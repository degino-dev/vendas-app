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walter\vendas-app\"/>
    </mc:Choice>
  </mc:AlternateContent>
  <xr:revisionPtr revIDLastSave="0" documentId="13_ncr:1_{7EC306E9-86F0-4670-885E-D485A11D671A}" xr6:coauthVersionLast="47" xr6:coauthVersionMax="47" xr10:uidLastSave="{00000000-0000-0000-0000-000000000000}"/>
  <bookViews>
    <workbookView xWindow="-120" yWindow="-120" windowWidth="29040" windowHeight="15720" firstSheet="1" activeTab="4" xr2:uid="{C79A0DDE-F4C1-4F3B-B92D-4CE5BDDC5514}"/>
  </bookViews>
  <sheets>
    <sheet name="CONFIG" sheetId="2" state="hidden" r:id="rId1"/>
    <sheet name="DINAMICOS" sheetId="6" r:id="rId2"/>
    <sheet name="LIGACAO" sheetId="4" r:id="rId3"/>
    <sheet name="CLIENTES" sheetId="1" r:id="rId4"/>
    <sheet name="DADOS" sheetId="3" r:id="rId5"/>
    <sheet name="DASHBOARD 3.0" sheetId="5" r:id="rId6"/>
  </sheets>
  <definedNames>
    <definedName name="_xlnm._FilterDatabase" localSheetId="3" hidden="1">CLIENTES!$I$1:$I$2</definedName>
    <definedName name="_xlnm._FilterDatabase" localSheetId="4" hidden="1">DADOS!$A$1:$A$2</definedName>
    <definedName name="SegmentaçãodeDados_Anos__DATA">#N/A</definedName>
    <definedName name="SegmentaçãodeDados_Meses__DATA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5" l="1"/>
  <c r="M5" i="5" l="1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4" i="5"/>
  <c r="H7" i="5" l="1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5" i="5"/>
  <c r="D1" i="6"/>
  <c r="H1" i="6"/>
  <c r="F1" i="6"/>
  <c r="B13" i="5" l="1"/>
  <c r="B16" i="5"/>
  <c r="B10" i="5"/>
  <c r="J2" i="1" l="1"/>
  <c r="B1" i="6"/>
  <c r="B7" i="5" l="1"/>
  <c r="H2" i="1"/>
  <c r="G2" i="1"/>
  <c r="B2" i="5" l="1"/>
  <c r="L13" i="5" s="1"/>
  <c r="E1" i="2"/>
  <c r="I2" i="1" l="1"/>
  <c r="L4" i="5"/>
  <c r="L20" i="5"/>
  <c r="L21" i="5"/>
  <c r="L10" i="5"/>
  <c r="L17" i="5"/>
  <c r="L9" i="5"/>
  <c r="L15" i="5"/>
  <c r="L7" i="5"/>
  <c r="L18" i="5"/>
  <c r="L22" i="5"/>
  <c r="E7" i="5"/>
  <c r="L23" i="5"/>
  <c r="L19" i="5"/>
  <c r="L12" i="5"/>
  <c r="L8" i="5"/>
  <c r="L5" i="5"/>
  <c r="L16" i="5"/>
  <c r="L6" i="5"/>
  <c r="L11" i="5"/>
  <c r="E2" i="5"/>
  <c r="L14" i="5"/>
  <c r="L24" i="5" l="1"/>
</calcChain>
</file>

<file path=xl/sharedStrings.xml><?xml version="1.0" encoding="utf-8"?>
<sst xmlns="http://schemas.openxmlformats.org/spreadsheetml/2006/main" count="62" uniqueCount="54">
  <si>
    <t>SKU</t>
  </si>
  <si>
    <t>NOME</t>
  </si>
  <si>
    <t>EMAIL</t>
  </si>
  <si>
    <t>WHATS</t>
  </si>
  <si>
    <t>CIDADE</t>
  </si>
  <si>
    <t>PRIMEIRA COMPRA</t>
  </si>
  <si>
    <t>ULTIMA COMPRA</t>
  </si>
  <si>
    <t>SIM</t>
  </si>
  <si>
    <t>"Sentimos sua falta!"</t>
  </si>
  <si>
    <t>NÃO</t>
  </si>
  <si>
    <t>META</t>
  </si>
  <si>
    <t>CLIENTE</t>
  </si>
  <si>
    <t>ENVIO</t>
  </si>
  <si>
    <t>PEDIDO INSUMOS</t>
  </si>
  <si>
    <t>VALOR INSUMOS</t>
  </si>
  <si>
    <t>PEDIDO EQUIPAMENTO</t>
  </si>
  <si>
    <t>VALOR EQUIPAMENTO</t>
  </si>
  <si>
    <t>LOCAÇÃO</t>
  </si>
  <si>
    <t>DATA</t>
  </si>
  <si>
    <t>RESPONSÁVEL</t>
  </si>
  <si>
    <t>HORA</t>
  </si>
  <si>
    <t>ATENDEU</t>
  </si>
  <si>
    <t>OBSERVAÇÃO</t>
  </si>
  <si>
    <t>VISITA</t>
  </si>
  <si>
    <t>MOTIVO</t>
  </si>
  <si>
    <t xml:space="preserve">EMAIL </t>
  </si>
  <si>
    <t>Estamos há prontos para renovar nossa parceria! Volte a comprar conosco e descubra ofertas exclusivas pensadas para você.</t>
  </si>
  <si>
    <t>INAT(DIAS)</t>
  </si>
  <si>
    <t>Total Geral</t>
  </si>
  <si>
    <t>Soma de VALOR INSUMOS</t>
  </si>
  <si>
    <t>META MENSAL</t>
  </si>
  <si>
    <t>VENDAS ISUMOS</t>
  </si>
  <si>
    <t>Soma de VALOR EQUIPAMENTO</t>
  </si>
  <si>
    <t>VENDAS EQUIPAMENTOS</t>
  </si>
  <si>
    <t>META ANUAL</t>
  </si>
  <si>
    <t>VENDAS TOTAIS</t>
  </si>
  <si>
    <t>PEDIDOS INSUMOS</t>
  </si>
  <si>
    <t>PEDIDOS EQUIPAMENTOS</t>
  </si>
  <si>
    <t>Contagem de PEDIDO INSUMOS</t>
  </si>
  <si>
    <t>Contagem de PEDIDO EQUIPAMENTO</t>
  </si>
  <si>
    <t>VALORES INSUMOS</t>
  </si>
  <si>
    <t>VALORES EQUIPAMENTOS</t>
  </si>
  <si>
    <t>TOP 20 CLIENTES</t>
  </si>
  <si>
    <t>% VENDA</t>
  </si>
  <si>
    <t>SEGMENTO</t>
  </si>
  <si>
    <t>FARMACIA</t>
  </si>
  <si>
    <t>INDUSTRIA</t>
  </si>
  <si>
    <t>VETERINARIA</t>
  </si>
  <si>
    <t>LABORATORIO</t>
  </si>
  <si>
    <t>HOSPITAL</t>
  </si>
  <si>
    <t>FACULDADE</t>
  </si>
  <si>
    <t>REVENDA</t>
  </si>
  <si>
    <t>OBSERVAÇAO</t>
  </si>
  <si>
    <t>POPULAR 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</si>
</sst>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-F400]h:mm:ss\ AM/PM"/>
    <numFmt numFmtId="165" formatCode="&quot;R$&quot;\ #,##0.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164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63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44" fontId="0" fillId="0" borderId="0" xfId="2" applyFont="1"/>
    <xf numFmtId="44" fontId="0" fillId="0" borderId="0" xfId="0" applyNumberFormat="1"/>
    <xf numFmtId="0" fontId="0" fillId="0" borderId="1" xfId="0" applyBorder="1" applyAlignment="1">
      <alignment horizontal="center"/>
    </xf>
    <xf numFmtId="0" fontId="8" fillId="3" borderId="0" xfId="0" applyFont="1" applyFill="1"/>
    <xf numFmtId="165" fontId="8" fillId="3" borderId="0" xfId="0" applyNumberFormat="1" applyFont="1" applyFill="1"/>
    <xf numFmtId="14" fontId="8" fillId="3" borderId="0" xfId="0" applyNumberFormat="1" applyFont="1" applyFill="1"/>
    <xf numFmtId="0" fontId="0" fillId="0" borderId="1" xfId="0" applyBorder="1"/>
    <xf numFmtId="0" fontId="7" fillId="0" borderId="0" xfId="0" applyFont="1" applyAlignment="1">
      <alignment horizontal="left"/>
    </xf>
    <xf numFmtId="0" fontId="9" fillId="3" borderId="5" xfId="0" applyFont="1" applyFill="1" applyBorder="1"/>
    <xf numFmtId="0" fontId="9" fillId="3" borderId="8" xfId="0" applyFont="1" applyFill="1" applyBorder="1"/>
    <xf numFmtId="165" fontId="9" fillId="3" borderId="8" xfId="0" applyNumberFormat="1" applyFont="1" applyFill="1" applyBorder="1"/>
    <xf numFmtId="14" fontId="9" fillId="3" borderId="4" xfId="0" applyNumberFormat="1" applyFont="1" applyFill="1" applyBorder="1"/>
    <xf numFmtId="0" fontId="10" fillId="0" borderId="7" xfId="0" applyFont="1" applyBorder="1"/>
    <xf numFmtId="0" fontId="10" fillId="0" borderId="1" xfId="0" applyFont="1" applyBorder="1"/>
    <xf numFmtId="165" fontId="10" fillId="0" borderId="1" xfId="0" applyNumberFormat="1" applyFont="1" applyBorder="1"/>
    <xf numFmtId="14" fontId="10" fillId="0" borderId="6" xfId="0" applyNumberFormat="1" applyFont="1" applyBorder="1"/>
    <xf numFmtId="44" fontId="10" fillId="0" borderId="1" xfId="2" applyFont="1" applyBorder="1"/>
    <xf numFmtId="0" fontId="8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9" fontId="0" fillId="0" borderId="1" xfId="3" applyFont="1" applyBorder="1"/>
    <xf numFmtId="0" fontId="0" fillId="2" borderId="1" xfId="0" applyFill="1" applyBorder="1"/>
    <xf numFmtId="9" fontId="1" fillId="2" borderId="1" xfId="0" applyNumberFormat="1" applyFont="1" applyFill="1" applyBorder="1"/>
    <xf numFmtId="0" fontId="7" fillId="0" borderId="0" xfId="0" applyFont="1"/>
    <xf numFmtId="0" fontId="11" fillId="3" borderId="5" xfId="0" applyFont="1" applyFill="1" applyBorder="1" applyAlignment="1">
      <alignment horizontal="left"/>
    </xf>
    <xf numFmtId="0" fontId="11" fillId="3" borderId="8" xfId="0" applyFont="1" applyFill="1" applyBorder="1" applyAlignment="1">
      <alignment horizontal="left"/>
    </xf>
    <xf numFmtId="165" fontId="11" fillId="3" borderId="8" xfId="0" applyNumberFormat="1" applyFont="1" applyFill="1" applyBorder="1" applyAlignment="1">
      <alignment horizontal="left"/>
    </xf>
    <xf numFmtId="0" fontId="12" fillId="3" borderId="0" xfId="0" applyFont="1" applyFill="1"/>
    <xf numFmtId="14" fontId="11" fillId="3" borderId="8" xfId="0" applyNumberFormat="1" applyFont="1" applyFill="1" applyBorder="1" applyAlignment="1">
      <alignment horizontal="left"/>
    </xf>
    <xf numFmtId="0" fontId="11" fillId="3" borderId="4" xfId="0" applyFont="1" applyFill="1" applyBorder="1" applyAlignment="1">
      <alignment horizontal="left"/>
    </xf>
    <xf numFmtId="0" fontId="13" fillId="0" borderId="7" xfId="0" applyFont="1" applyBorder="1"/>
    <xf numFmtId="0" fontId="13" fillId="0" borderId="1" xfId="0" applyFont="1" applyBorder="1"/>
    <xf numFmtId="14" fontId="13" fillId="0" borderId="1" xfId="0" applyNumberFormat="1" applyFont="1" applyBorder="1"/>
    <xf numFmtId="0" fontId="13" fillId="0" borderId="1" xfId="0" applyFont="1" applyBorder="1" applyAlignment="1">
      <alignment horizontal="center"/>
    </xf>
    <xf numFmtId="0" fontId="14" fillId="0" borderId="1" xfId="1" applyFont="1" applyBorder="1"/>
    <xf numFmtId="0" fontId="13" fillId="0" borderId="6" xfId="0" applyFont="1" applyBorder="1"/>
    <xf numFmtId="0" fontId="13" fillId="0" borderId="0" xfId="0" applyFont="1"/>
    <xf numFmtId="14" fontId="13" fillId="0" borderId="0" xfId="0" applyNumberFormat="1" applyFont="1"/>
    <xf numFmtId="0" fontId="10" fillId="0" borderId="0" xfId="0" applyFont="1"/>
    <xf numFmtId="0" fontId="10" fillId="0" borderId="1" xfId="0" applyFont="1" applyBorder="1" applyAlignment="1">
      <alignment horizontal="right"/>
    </xf>
    <xf numFmtId="44" fontId="9" fillId="3" borderId="8" xfId="2" applyFont="1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9" fontId="0" fillId="0" borderId="2" xfId="3" applyFont="1" applyBorder="1" applyAlignment="1">
      <alignment horizontal="center"/>
    </xf>
    <xf numFmtId="9" fontId="0" fillId="0" borderId="3" xfId="3" applyFont="1" applyBorder="1" applyAlignment="1">
      <alignment horizontal="center"/>
    </xf>
    <xf numFmtId="9" fontId="0" fillId="0" borderId="4" xfId="3" applyFont="1" applyBorder="1" applyAlignment="1">
      <alignment horizontal="center"/>
    </xf>
    <xf numFmtId="9" fontId="0" fillId="0" borderId="5" xfId="3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4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4" fontId="0" fillId="0" borderId="1" xfId="0" applyNumberFormat="1" applyBorder="1" applyAlignment="1">
      <alignment horizontal="center"/>
    </xf>
  </cellXfs>
  <cellStyles count="4">
    <cellStyle name="Hiperlink" xfId="1" builtinId="8"/>
    <cellStyle name="Moeda" xfId="2" builtinId="4"/>
    <cellStyle name="Normal" xfId="0" builtinId="0"/>
    <cellStyle name="Porcentagem" xfId="3" builtinId="5"/>
  </cellStyles>
  <dxfs count="54"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fgColor auto="1"/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left" relativeIndent="1"/>
    </dxf>
    <dxf>
      <alignment horizontal="left" relativeIndent="1"/>
    </dxf>
    <dxf>
      <numFmt numFmtId="34" formatCode="_-&quot;R$&quot;\ * #,##0.00_-;\-&quot;R$&quot;\ * #,##0.00_-;_-&quot;R$&quot;\ * &quot;-&quot;??_-;_-@_-"/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164CC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-F400]h:mm:ss\ AM/PM"/>
    </dxf>
    <dxf>
      <numFmt numFmtId="19" formatCode="dd/mm/yyyy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164CC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9" formatCode="dd/mm/yyyy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164CC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7C80"/>
      <color rgb="FFFF99FF"/>
      <color rgb="FF00FFFF"/>
      <color rgb="FFFF6699"/>
      <color rgb="FFFF66FF"/>
      <color rgb="FFFF5050"/>
      <color rgb="FFEEF8E4"/>
      <color rgb="FF0164CC"/>
      <color rgb="FFFF3300"/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323850</xdr:colOff>
      <xdr:row>4</xdr:row>
      <xdr:rowOff>0</xdr:rowOff>
    </xdr:from>
    <xdr:to>
      <xdr:col>3</xdr:col>
      <xdr:colOff>514350</xdr:colOff>
      <xdr:row>17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es (DATA)">
              <a:extLst>
                <a:ext uri="{FF2B5EF4-FFF2-40B4-BE49-F238E27FC236}">
                  <a16:creationId xmlns:a16="http://schemas.microsoft.com/office/drawing/2014/main" id="{16324B47-70FD-E1BD-F64D-4C0BA6829D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DAT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1750" y="7620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9525</xdr:colOff>
      <xdr:row>4</xdr:row>
      <xdr:rowOff>0</xdr:rowOff>
    </xdr:from>
    <xdr:to>
      <xdr:col>2</xdr:col>
      <xdr:colOff>200025</xdr:colOff>
      <xdr:row>17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nos (DATA)">
              <a:extLst>
                <a:ext uri="{FF2B5EF4-FFF2-40B4-BE49-F238E27FC236}">
                  <a16:creationId xmlns:a16="http://schemas.microsoft.com/office/drawing/2014/main" id="{7E054AD1-5B84-449E-D9B2-4809205EA4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 (DAT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125" y="7620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476249</xdr:colOff>
      <xdr:row>11</xdr:row>
      <xdr:rowOff>11906</xdr:rowOff>
    </xdr:from>
    <xdr:to>
      <xdr:col>6</xdr:col>
      <xdr:colOff>138111</xdr:colOff>
      <xdr:row>31</xdr:row>
      <xdr:rowOff>130969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es (DATA) 1">
              <a:extLst>
                <a:ext uri="{FF2B5EF4-FFF2-40B4-BE49-F238E27FC236}">
                  <a16:creationId xmlns:a16="http://schemas.microsoft.com/office/drawing/2014/main" id="{1D8D0CCB-44D1-45A8-9BA1-E34B422D46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DATA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12280" y="2297906"/>
              <a:ext cx="1828800" cy="39290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11905</xdr:colOff>
      <xdr:row>18</xdr:row>
      <xdr:rowOff>107156</xdr:rowOff>
    </xdr:from>
    <xdr:to>
      <xdr:col>2</xdr:col>
      <xdr:colOff>888205</xdr:colOff>
      <xdr:row>31</xdr:row>
      <xdr:rowOff>154781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nos (DATA) 1">
              <a:extLst>
                <a:ext uri="{FF2B5EF4-FFF2-40B4-BE49-F238E27FC236}">
                  <a16:creationId xmlns:a16="http://schemas.microsoft.com/office/drawing/2014/main" id="{DDD00881-94D8-4066-916F-2B8262862E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 (DATA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124" y="3726656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ANE DE SOUZA" refreshedDate="46204.375833564816" createdVersion="8" refreshedVersion="8" minRefreshableVersion="3" recordCount="24" xr:uid="{A282E0B8-4DC4-4B90-96D3-492EADBFCD22}">
  <cacheSource type="worksheet">
    <worksheetSource name="tVendas"/>
  </cacheSource>
  <cacheFields count="13">
    <cacheField name="W" numFmtId="0">
      <sharedItems containsString="0" containsBlank="1" containsNumber="1" containsInteger="1" minValue="1889" maxValue="501029"/>
    </cacheField>
    <cacheField name="NOME" numFmtId="0">
      <sharedItems containsMixedTypes="1" containsNumber="1" containsInteger="1" minValue="0" maxValue="0" count="6">
        <s v="JAVARONI ANALISES CLINICAS"/>
        <s v="CENTROLAB"/>
        <s v="ARCA DE NOE"/>
        <s v="JUNQUEIRA LABORATORIO S/C LTDA."/>
        <s v="CADASTRAR CLIENTE"/>
        <n v="0" u="1"/>
      </sharedItems>
    </cacheField>
    <cacheField name="ENVIO" numFmtId="0">
      <sharedItems containsNonDate="0" containsString="0" containsBlank="1"/>
    </cacheField>
    <cacheField name="PEDIDO INSUMOS" numFmtId="0">
      <sharedItems containsNonDate="0" containsString="0" containsBlank="1"/>
    </cacheField>
    <cacheField name="VALOR INSUMOS" numFmtId="44">
      <sharedItems containsString="0" containsBlank="1" containsNumber="1" containsInteger="1" minValue="394" maxValue="2634"/>
    </cacheField>
    <cacheField name="PEDIDO EQUIPAMENTO" numFmtId="0">
      <sharedItems containsNonDate="0" containsString="0" containsBlank="1"/>
    </cacheField>
    <cacheField name="VALOR EQUIPAMENTO" numFmtId="165">
      <sharedItems containsSemiMixedTypes="0" containsString="0" containsNumber="1" containsInteger="1" minValue="0" maxValue="0"/>
    </cacheField>
    <cacheField name="LOCAÇÃO" numFmtId="0">
      <sharedItems containsNonDate="0" containsString="0" containsBlank="1"/>
    </cacheField>
    <cacheField name="DATA" numFmtId="14">
      <sharedItems containsSemiMixedTypes="0" containsNonDate="0" containsDate="1" containsString="0" minDate="2024-01-01T00:00:00" maxDate="2029-06-30T00:00:00" count="558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4-03-04T00:00:00" u="1"/>
        <d v="2024-03-05T00:00:00" u="1"/>
        <d v="2024-03-06T00:00:00" u="1"/>
        <d v="2024-03-07T00:00:00" u="1"/>
        <d v="2024-03-08T00:00:00" u="1"/>
        <d v="2024-03-11T00:00:00" u="1"/>
        <d v="2024-03-12T00:00:00" u="1"/>
        <d v="2024-03-13T00:00:00" u="1"/>
        <d v="2024-03-14T00:00:00" u="1"/>
        <d v="2024-03-15T00:00:00" u="1"/>
        <d v="2024-03-18T00:00:00" u="1"/>
        <d v="2024-03-19T00:00:00" u="1"/>
        <d v="2024-03-20T00:00:00" u="1"/>
        <d v="2024-03-21T00:00:00" u="1"/>
        <d v="2024-03-22T00:00:00" u="1"/>
        <d v="2024-03-25T00:00:00" u="1"/>
        <d v="2024-03-26T00:00:00" u="1"/>
        <d v="2024-03-27T00:00:00" u="1"/>
        <d v="2024-03-28T00:00:00" u="1"/>
        <d v="2024-04-02T00:00:00" u="1"/>
        <d v="2024-04-03T00:00:00" u="1"/>
        <d v="2024-04-04T00:00:00" u="1"/>
        <d v="2024-04-05T00:00:00" u="1"/>
        <d v="2024-04-08T00:00:00" u="1"/>
        <d v="2024-04-09T00:00:00" u="1"/>
        <d v="2024-04-10T00:00:00" u="1"/>
        <d v="2024-04-11T00:00:00" u="1"/>
        <d v="2024-04-12T00:00:00" u="1"/>
        <d v="2024-04-15T00:00:00" u="1"/>
        <d v="2024-04-16T00:00:00" u="1"/>
        <d v="2024-04-17T00:00:00" u="1"/>
        <d v="2024-04-18T00:00:00" u="1"/>
        <d v="2024-04-19T00:00:00" u="1"/>
        <d v="2024-04-22T00:00:00" u="1"/>
        <d v="2024-04-23T00:00:00" u="1"/>
        <d v="2024-04-24T00:00:00" u="1"/>
        <d v="2024-04-25T00:00:00" u="1"/>
        <d v="2024-04-26T00:00:00" u="1"/>
        <d v="2024-04-29T00:00:00" u="1"/>
        <d v="2024-05-02T00:00:00" u="1"/>
        <d v="2024-05-03T00:00:00" u="1"/>
        <d v="2024-05-06T00:00:00" u="1"/>
        <d v="2024-05-07T00:00:00" u="1"/>
        <d v="2024-05-08T00:00:00" u="1"/>
        <d v="2024-05-09T00:00:00" u="1"/>
        <d v="2024-05-10T00:00:00" u="1"/>
        <d v="2024-05-13T00:00:00" u="1"/>
        <d v="2024-05-14T00:00:00" u="1"/>
        <d v="2024-05-15T00:00:00" u="1"/>
        <d v="2024-05-16T00:00:00" u="1"/>
        <d v="2024-05-17T00:00:00" u="1"/>
        <d v="2024-05-20T00:00:00" u="1"/>
        <d v="2024-05-21T00:00:00" u="1"/>
        <d v="2024-05-23T00:00:00" u="1"/>
        <d v="2024-05-24T00:00:00" u="1"/>
        <d v="2024-05-27T00:00:00" u="1"/>
        <d v="2024-05-28T00:00:00" u="1"/>
        <d v="2024-05-29T00:00:00" u="1"/>
        <d v="2024-06-03T00:00:00" u="1"/>
        <d v="2024-06-04T00:00:00" u="1"/>
        <d v="2024-06-05T00:00:00" u="1"/>
        <d v="2024-06-06T00:00:00" u="1"/>
        <d v="2024-06-07T00:00:00" u="1"/>
        <d v="2024-06-10T00:00:00" u="1"/>
        <d v="2024-06-11T00:00:00" u="1"/>
        <d v="2024-06-12T00:00:00" u="1"/>
        <d v="2024-06-13T00:00:00" u="1"/>
        <d v="2024-06-14T00:00:00" u="1"/>
        <d v="2024-06-17T00:00:00" u="1"/>
        <d v="2024-06-18T00:00:00" u="1"/>
        <d v="2024-06-19T00:00:00" u="1"/>
        <d v="2024-06-20T00:00:00" u="1"/>
        <d v="2024-06-21T00:00:00" u="1"/>
        <d v="2024-06-24T00:00:00" u="1"/>
        <d v="2024-06-25T00:00:00" u="1"/>
        <d v="2024-06-26T00:00:00" u="1"/>
        <d v="2024-06-27T00:00:00" u="1"/>
        <d v="2024-06-28T00:00:00" u="1"/>
        <d v="2024-07-02T00:00:00" u="1"/>
        <d v="2024-07-03T00:00:00" u="1"/>
        <d v="2024-07-04T00:00:00" u="1"/>
        <d v="2024-07-05T00:00:00" u="1"/>
        <d v="2024-07-08T00:00:00" u="1"/>
        <d v="2024-07-10T00:00:00" u="1"/>
        <d v="2024-07-11T00:00:00" u="1"/>
        <d v="2024-07-12T00:00:00" u="1"/>
        <d v="2024-07-15T00:00:00" u="1"/>
        <d v="2024-07-16T00:00:00" u="1"/>
        <d v="2024-07-17T00:00:00" u="1"/>
        <d v="2024-07-18T00:00:00" u="1"/>
        <d v="2024-07-19T00:00:00" u="1"/>
        <d v="2024-07-22T00:00:00" u="1"/>
        <d v="2024-07-23T00:00:00" u="1"/>
        <d v="2024-07-24T00:00:00" u="1"/>
        <d v="2024-07-25T00:00:00" u="1"/>
        <d v="2024-07-26T00:00:00" u="1"/>
        <d v="2024-07-29T00:00:00" u="1"/>
        <d v="2024-07-30T00:00:00" u="1"/>
        <d v="2024-07-31T00:00:00" u="1"/>
        <d v="2024-08-02T00:00:00" u="1"/>
        <d v="2024-08-05T00:00:00" u="1"/>
        <d v="2024-08-06T00:00:00" u="1"/>
        <d v="2024-08-07T00:00:00" u="1"/>
        <d v="2024-08-08T00:00:00" u="1"/>
        <d v="2024-08-09T00:00:00" u="1"/>
        <d v="2024-08-12T00:00:00" u="1"/>
        <d v="2024-08-13T00:00:00" u="1"/>
        <d v="2024-08-14T00:00:00" u="1"/>
        <d v="2024-08-15T00:00:00" u="1"/>
        <d v="2024-08-16T00:00:00" u="1"/>
        <d v="2024-08-19T00:00:00" u="1"/>
        <d v="2024-08-20T00:00:00" u="1"/>
        <d v="2024-08-21T00:00:00" u="1"/>
        <d v="2024-08-22T00:00:00" u="1"/>
        <d v="2024-08-23T00:00:00" u="1"/>
        <d v="2024-08-26T00:00:00" u="1"/>
        <d v="2024-08-27T00:00:00" u="1"/>
        <d v="2024-08-28T00:00:00" u="1"/>
        <d v="2024-08-29T00:00:00" u="1"/>
        <d v="2024-08-30T00:00:00" u="1"/>
        <d v="2024-09-02T00:00:00" u="1"/>
        <d v="2024-09-03T00:00:00" u="1"/>
        <d v="2024-09-04T00:00:00" u="1"/>
        <d v="2024-09-05T00:00:00" u="1"/>
        <d v="2024-09-09T00:00:00" u="1"/>
        <d v="2024-09-10T00:00:00" u="1"/>
        <d v="2024-09-11T00:00:00" u="1"/>
        <d v="2024-09-12T00:00:00" u="1"/>
        <d v="2024-09-13T00:00:00" u="1"/>
        <d v="2024-09-16T00:00:00" u="1"/>
        <d v="2024-09-17T00:00:00" u="1"/>
        <d v="2024-09-18T00:00:00" u="1"/>
        <d v="2024-09-19T00:00:00" u="1"/>
        <d v="2024-09-20T00:00:00" u="1"/>
        <d v="2024-09-23T00:00:00" u="1"/>
        <d v="2024-09-24T00:00:00" u="1"/>
        <d v="2024-09-25T00:00:00" u="1"/>
        <d v="2024-09-26T00:00:00" u="1"/>
        <d v="2024-09-27T00:00:00" u="1"/>
        <d v="2024-09-30T00:00:00" u="1"/>
        <d v="2024-10-02T00:00:00" u="1"/>
        <d v="2024-10-03T00:00:00" u="1"/>
        <d v="2024-10-07T00:00:00" u="1"/>
        <d v="2024-10-08T00:00:00" u="1"/>
        <d v="2024-10-09T00:00:00" u="1"/>
        <d v="2024-10-10T00:00:00" u="1"/>
        <d v="2024-10-11T00:00:00" u="1"/>
        <d v="2024-10-14T00:00:00" u="1"/>
        <d v="2024-10-15T00:00:00" u="1"/>
        <d v="2024-10-16T00:00:00" u="1"/>
        <d v="2024-10-17T00:00:00" u="1"/>
        <d v="2024-10-18T00:00:00" u="1"/>
        <d v="2024-10-21T00:00:00" u="1"/>
        <d v="2024-10-22T00:00:00" u="1"/>
        <d v="2024-10-23T00:00:00" u="1"/>
        <d v="2024-10-24T00:00:00" u="1"/>
        <d v="2024-10-25T00:00:00" u="1"/>
        <d v="2024-10-28T00:00:00" u="1"/>
        <d v="2024-10-29T00:00:00" u="1"/>
        <d v="2024-10-30T00:00:00" u="1"/>
        <d v="2024-10-31T00:00:00" u="1"/>
        <d v="2024-11-04T00:00:00" u="1"/>
        <d v="2024-11-05T00:00:00" u="1"/>
        <d v="2024-11-06T00:00:00" u="1"/>
        <d v="2024-11-07T00:00:00" u="1"/>
        <d v="2024-11-08T00:00:00" u="1"/>
        <d v="2024-11-11T00:00:00" u="1"/>
        <d v="2024-11-12T00:00:00" u="1"/>
        <d v="2024-11-13T00:00:00" u="1"/>
        <d v="2024-11-14T00:00:00" u="1"/>
        <d v="2024-11-18T00:00:00" u="1"/>
        <d v="2024-11-19T00:00:00" u="1"/>
        <d v="2024-11-21T00:00:00" u="1"/>
        <d v="2024-11-22T00:00:00" u="1"/>
        <d v="2024-11-25T00:00:00" u="1"/>
        <d v="2024-11-26T00:00:00" u="1"/>
        <d v="2024-11-27T00:00:00" u="1"/>
        <d v="2024-11-28T00:00:00" u="1"/>
        <d v="2024-11-29T00:00:00" u="1"/>
        <d v="2024-12-02T00:00:00" u="1"/>
        <d v="2024-12-17T00:00:00" u="1"/>
        <d v="2024-12-18T00:00:00" u="1"/>
        <d v="2024-12-26T00:00:00" u="1"/>
        <d v="2024-12-27T00:00:00" u="1"/>
        <d v="2024-12-30T00:00:00" u="1"/>
        <d v="2025-01-02T00:00:00" u="1"/>
        <d v="2025-01-06T00:00:00" u="1"/>
        <d v="2025-01-07T00:00:00" u="1"/>
        <d v="2025-01-08T00:00:00" u="1"/>
        <d v="2025-01-09T00:00:00" u="1"/>
        <d v="2025-01-10T00:00:00" u="1"/>
        <d v="2025-01-13T00:00:00" u="1"/>
        <d v="2025-01-14T00:00:00" u="1"/>
        <d v="2025-01-15T00:00:00" u="1"/>
        <d v="2025-01-17T00:00:00" u="1"/>
        <d v="2025-01-20T00:00:00" u="1"/>
        <d v="2025-01-21T00:00:00" u="1"/>
        <d v="2025-01-22T00:00:00" u="1"/>
        <d v="2025-01-23T00:00:00" u="1"/>
        <d v="2025-01-24T00:00:00" u="1"/>
        <d v="2025-01-27T00:00:00" u="1"/>
        <d v="2025-01-28T00:00:00" u="1"/>
        <d v="2025-01-29T00:00:00" u="1"/>
        <d v="2025-01-30T00:00:00" u="1"/>
        <d v="2025-01-31T00:00:00" u="1"/>
        <d v="2025-02-03T00:00:00" u="1"/>
        <d v="2025-02-04T00:00:00" u="1"/>
        <d v="2025-02-05T00:00:00" u="1"/>
        <d v="2025-02-06T00:00:00" u="1"/>
        <d v="2025-02-07T00:00:00" u="1"/>
        <d v="2025-02-10T00:00:00" u="1"/>
        <d v="2025-02-11T00:00:00" u="1"/>
        <d v="2025-02-12T00:00:00" u="1"/>
        <d v="2025-02-13T00:00:00" u="1"/>
        <d v="2025-02-14T00:00:00" u="1"/>
        <d v="2025-02-17T00:00:00" u="1"/>
        <d v="2025-02-18T00:00:00" u="1"/>
        <d v="2025-02-19T00:00:00" u="1"/>
        <d v="2025-02-20T00:00:00" u="1"/>
        <d v="2025-02-21T00:00:00" u="1"/>
        <d v="2025-02-24T00:00:00" u="1"/>
        <d v="2025-02-25T00:00:00" u="1"/>
        <d v="2025-02-26T00:00:00" u="1"/>
        <d v="2025-02-27T00:00:00" u="1"/>
        <d v="2025-02-28T00:00:00" u="1"/>
        <d v="2025-03-03T00:00:00" u="1"/>
        <d v="2025-03-05T00:00:00" u="1"/>
        <d v="2025-03-06T00:00:00" u="1"/>
        <d v="2025-03-07T00:00:00" u="1"/>
        <d v="2025-03-11T00:00:00" u="1"/>
        <d v="2025-03-12T00:00:00" u="1"/>
        <d v="2025-03-13T00:00:00" u="1"/>
        <d v="2025-03-14T00:00:00" u="1"/>
        <d v="2025-03-17T00:00:00" u="1"/>
        <d v="2025-03-18T00:00:00" u="1"/>
        <d v="2025-03-19T00:00:00" u="1"/>
        <d v="2025-03-20T00:00:00" u="1"/>
        <d v="2025-03-21T00:00:00" u="1"/>
        <d v="2025-03-24T00:00:00" u="1"/>
        <d v="2025-03-25T00:00:00" u="1"/>
        <d v="2025-03-26T00:00:00" u="1"/>
        <d v="2025-03-27T00:00:00" u="1"/>
        <d v="2025-03-31T00:00:00" u="1"/>
        <d v="2025-04-02T00:00:00" u="1"/>
        <d v="2025-04-03T00:00:00" u="1"/>
        <d v="2025-04-04T00:00:00" u="1"/>
        <d v="2025-04-07T00:00:00" u="1"/>
        <d v="2025-04-08T00:00:00" u="1"/>
        <d v="2025-04-09T00:00:00" u="1"/>
        <d v="2025-04-10T00:00:00" u="1"/>
        <d v="2025-04-11T00:00:00" u="1"/>
        <d v="2025-04-14T00:00:00" u="1"/>
        <d v="2025-04-15T00:00:00" u="1"/>
        <d v="2025-04-16T00:00:00" u="1"/>
        <d v="2025-04-17T00:00:00" u="1"/>
        <d v="2025-04-23T00:00:00" u="1"/>
        <d v="2025-04-22T00:00:00" u="1"/>
        <d v="2025-04-24T00:00:00" u="1"/>
        <d v="2025-04-25T00:00:00" u="1"/>
        <d v="2025-04-28T00:00:00" u="1"/>
        <d v="2025-04-29T00:00:00" u="1"/>
        <d v="2025-04-30T00:00:00" u="1"/>
        <d v="2025-05-06T00:00:00" u="1"/>
        <d v="2025-05-05T00:00:00" u="1"/>
        <d v="2025-05-07T00:00:00" u="1"/>
        <d v="2025-05-09T00:00:00" u="1"/>
        <d v="2025-05-13T00:00:00" u="1"/>
        <d v="2025-05-08T00:00:00" u="1"/>
        <d v="2025-05-12T00:00:00" u="1"/>
        <d v="2025-05-14T00:00:00" u="1"/>
        <d v="2025-05-15T00:00:00" u="1"/>
        <d v="2025-05-16T00:00:00" u="1"/>
        <d v="2025-05-19T00:00:00" u="1"/>
        <d v="2025-05-20T00:00:00" u="1"/>
        <d v="2025-05-21T00:00:00" u="1"/>
        <d v="2025-05-22T00:00:00" u="1"/>
        <d v="2025-05-23T00:00:00" u="1"/>
        <d v="2025-05-26T00:00:00" u="1"/>
        <d v="2025-05-27T00:00:00" u="1"/>
        <d v="2025-05-28T00:00:00" u="1"/>
        <d v="2025-05-29T00:00:00" u="1"/>
        <d v="2025-06-02T00:00:00" u="1"/>
        <d v="2025-06-03T00:00:00" u="1"/>
        <d v="2025-06-04T00:00:00" u="1"/>
        <d v="2025-06-05T00:00:00" u="1"/>
        <d v="2025-06-06T00:00:00" u="1"/>
        <d v="2025-06-09T00:00:00" u="1"/>
        <d v="2025-06-10T00:00:00" u="1"/>
        <d v="2025-06-11T00:00:00" u="1"/>
        <d v="2025-06-12T00:00:00" u="1"/>
        <d v="2025-06-13T00:00:00" u="1"/>
        <d v="2025-06-16T00:00:00" u="1"/>
        <d v="2025-06-17T00:00:00" u="1"/>
        <d v="2025-06-18T00:00:00" u="1"/>
        <d v="2025-06-20T00:00:00" u="1"/>
        <d v="2025-06-23T00:00:00" u="1"/>
        <d v="2025-06-24T00:00:00" u="1"/>
        <d v="2025-07-03T00:00:00" u="1"/>
        <d v="2025-07-04T00:00:00" u="1"/>
        <d v="2025-07-07T00:00:00" u="1"/>
        <d v="2025-07-08T00:00:00" u="1"/>
        <d v="2025-07-10T00:00:00" u="1"/>
        <d v="2025-07-11T00:00:00" u="1"/>
        <d v="2025-07-15T00:00:00" u="1"/>
        <d v="2025-07-14T00:00:00" u="1"/>
        <d v="2025-07-16T00:00:00" u="1"/>
        <d v="2025-07-17T00:00:00" u="1"/>
        <d v="2025-07-18T00:00:00" u="1"/>
        <d v="2025-07-21T00:00:00" u="1"/>
        <d v="2025-07-22T00:00:00" u="1"/>
        <d v="2025-07-23T00:00:00" u="1"/>
        <d v="2025-07-24T00:00:00" u="1"/>
        <d v="2025-07-25T00:00:00" u="1"/>
        <d v="2025-07-28T00:00:00" u="1"/>
        <d v="2025-07-29T00:00:00" u="1"/>
        <d v="2025-07-30T00:00:00" u="1"/>
        <d v="2025-07-31T00:00:00" u="1"/>
        <d v="2025-08-04T00:00:00" u="1"/>
        <d v="2025-08-06T00:00:00" u="1"/>
        <d v="2025-08-05T00:00:00" u="1"/>
        <d v="2025-08-07T00:00:00" u="1"/>
        <d v="2025-08-08T00:00:00" u="1"/>
        <d v="2025-08-11T00:00:00" u="1"/>
        <d v="2025-08-12T00:00:00" u="1"/>
        <d v="2025-08-13T00:00:00" u="1"/>
        <d v="2025-08-14T00:00:00" u="1"/>
        <d v="2025-08-15T00:00:00" u="1"/>
        <d v="2025-08-18T00:00:00" u="1"/>
        <d v="2025-08-25T00:00:00" u="1"/>
        <d v="2025-08-19T00:00:00" u="1"/>
        <d v="2025-08-20T00:00:00" u="1"/>
        <d v="2025-08-22T00:00:00" u="1"/>
        <d v="2025-08-21T00:00:00" u="1"/>
        <d v="2025-08-26T00:00:00" u="1"/>
        <d v="2025-08-27T00:00:00" u="1"/>
        <d v="2025-08-28T00:00:00" u="1"/>
        <d v="2025-08-29T00:00:00" u="1"/>
        <d v="2025-09-02T00:00:00" u="1"/>
        <d v="2025-09-03T00:00:00" u="1"/>
        <d v="2025-09-04T00:00:00" u="1"/>
        <d v="2025-09-05T00:00:00" u="1"/>
        <d v="2025-09-08T00:00:00" u="1"/>
        <d v="2025-09-09T00:00:00" u="1"/>
        <d v="2025-09-10T00:00:00" u="1"/>
        <d v="2025-09-11T00:00:00" u="1"/>
        <d v="2025-09-12T00:00:00" u="1"/>
        <d v="2025-09-15T00:00:00" u="1"/>
        <d v="2025-09-16T00:00:00" u="1"/>
        <d v="2025-09-17T00:00:00" u="1"/>
        <d v="2025-09-18T00:00:00" u="1"/>
        <d v="2025-09-19T00:00:00" u="1"/>
        <d v="2025-09-22T00:00:00" u="1"/>
        <d v="2025-09-23T00:00:00" u="1"/>
        <d v="2025-09-24T00:00:00" u="1"/>
        <d v="2025-09-25T00:00:00" u="1"/>
        <d v="2025-09-29T00:00:00" u="1"/>
        <d v="2025-09-30T00:00:00" u="1"/>
        <d v="2025-10-02T00:00:00" u="1"/>
        <d v="2025-10-03T00:00:00" u="1"/>
        <d v="2025-10-06T00:00:00" u="1"/>
        <d v="2025-10-07T00:00:00" u="1"/>
        <d v="2025-10-08T00:00:00" u="1"/>
        <d v="2025-10-09T00:00:00" u="1"/>
        <d v="2025-10-10T00:00:00" u="1"/>
        <d v="2025-10-13T00:00:00" u="1"/>
        <d v="2025-10-14T00:00:00" u="1"/>
        <d v="2025-10-15T00:00:00" u="1"/>
        <d v="2025-10-16T00:00:00" u="1"/>
        <d v="2025-10-20T00:00:00" u="1"/>
        <d v="2025-10-17T00:00:00" u="1"/>
        <d v="2025-10-21T00:00:00" u="1"/>
        <d v="2025-10-22T00:00:00" u="1"/>
        <d v="2025-10-23T00:00:00" u="1"/>
        <d v="2025-10-27T00:00:00" u="1"/>
        <d v="2025-10-28T00:00:00" u="1"/>
        <d v="2025-10-29T00:00:00" u="1"/>
        <d v="2025-10-30T00:00:00" u="1"/>
        <d v="2025-10-31T00:00:00" u="1"/>
        <d v="2025-11-03T00:00:00" u="1"/>
        <d v="2025-11-04T00:00:00" u="1"/>
        <d v="2025-11-05T00:00:00" u="1"/>
        <d v="2025-11-06T00:00:00" u="1"/>
        <d v="2025-11-10T00:00:00" u="1"/>
        <d v="2025-11-07T00:00:00" u="1"/>
        <d v="2025-11-11T00:00:00" u="1"/>
        <d v="2025-11-12T00:00:00" u="1"/>
        <d v="2025-11-13T00:00:00" u="1"/>
        <d v="2025-11-17T00:00:00" u="1"/>
        <d v="2025-11-18T00:00:00" u="1"/>
        <d v="2025-11-19T00:00:00" u="1"/>
        <d v="2025-11-21T00:00:00" u="1"/>
        <d v="2025-11-24T00:00:00" u="1"/>
        <d v="2025-11-26T00:00:00" u="1"/>
        <d v="2025-11-25T00:00:00" u="1"/>
        <d v="2025-11-27T00:00:00" u="1"/>
        <d v="2025-11-28T00:00:00" u="1"/>
        <d v="2025-12-02T00:00:00" u="1"/>
        <d v="2025-12-03T00:00:00" u="1"/>
        <d v="2025-12-04T00:00:00" u="1"/>
        <d v="2025-12-05T00:00:00" u="1"/>
        <d v="2025-12-08T00:00:00" u="1"/>
        <d v="2025-12-09T00:00:00" u="1"/>
        <d v="2025-12-10T00:00:00" u="1"/>
        <d v="2025-12-11T00:00:00" u="1"/>
        <d v="2025-12-12T00:00:00" u="1"/>
        <d v="2025-12-15T00:00:00" u="1"/>
        <d v="2025-12-16T00:00:00" u="1"/>
        <d v="2025-12-17T00:00:00" u="1"/>
        <d v="2025-12-18T00:00:00" u="1"/>
        <d v="2026-01-05T00:00:00" u="1"/>
        <d v="2026-01-06T00:00:00" u="1"/>
        <d v="2026-01-07T00:00:00" u="1"/>
        <d v="2026-01-08T00:00:00" u="1"/>
        <d v="2026-01-09T00:00:00" u="1"/>
        <d v="2026-01-12T00:00:00" u="1"/>
        <d v="2026-01-13T00:00:00" u="1"/>
        <d v="2026-01-14T00:00:00" u="1"/>
        <d v="2026-01-30T00:00:00" u="1"/>
        <d v="2026-01-15T00:00:00" u="1"/>
        <d v="2026-01-16T00:00:00" u="1"/>
        <d v="2026-01-19T00:00:00" u="1"/>
        <d v="2026-01-20T00:00:00" u="1"/>
        <d v="2026-01-21T00:00:00" u="1"/>
        <d v="2026-01-28T00:00:00" u="1"/>
        <d v="2026-01-22T00:00:00" u="1"/>
        <d v="2026-01-26T00:00:00" u="1"/>
        <d v="2026-01-23T00:00:00" u="1"/>
        <d v="2026-01-27T00:00:00" u="1"/>
        <d v="2026-01-29T00:00:00" u="1"/>
        <d v="2026-02-02T00:00:00" u="1"/>
        <d v="2026-02-03T00:00:00" u="1"/>
        <d v="2026-02-27T00:00:00" u="1"/>
        <d v="2026-02-16T00:00:00" u="1"/>
        <d v="2026-02-04T00:00:00" u="1"/>
        <d v="2026-02-05T00:00:00" u="1"/>
        <d v="2026-02-06T00:00:00" u="1"/>
        <d v="2026-02-09T00:00:00" u="1"/>
        <d v="2026-02-10T00:00:00" u="1"/>
        <d v="2026-02-11T00:00:00" u="1"/>
        <d v="2026-02-12T00:00:00" u="1"/>
        <d v="2026-02-13T00:00:00" u="1"/>
        <d v="2026-02-18T00:00:00" u="1"/>
        <d v="2026-02-19T00:00:00" u="1"/>
        <d v="2026-02-20T00:00:00" u="1"/>
        <d v="2026-02-23T00:00:00" u="1"/>
        <d v="2026-02-25T00:00:00" u="1"/>
        <d v="2026-02-24T00:00:00" u="1"/>
        <d v="2026-02-26T00:00:00" u="1"/>
        <d v="2026-03-02T00:00:00" u="1"/>
        <d v="2026-03-03T00:00:00" u="1"/>
        <d v="2026-03-04T00:00:00" u="1"/>
        <d v="2026-03-05T00:00:00" u="1"/>
        <d v="2026-03-09T00:00:00" u="1"/>
        <d v="2026-03-06T00:00:00" u="1"/>
        <d v="2026-03-10T00:00:00" u="1"/>
        <d v="2026-03-11T00:00:00" u="1"/>
        <d v="2026-03-12T00:00:00" u="1"/>
        <d v="2026-03-16T00:00:00" u="1"/>
        <d v="2026-03-18T00:00:00" u="1"/>
        <d v="2026-03-17T00:00:00" u="1"/>
        <d v="2026-03-19T00:00:00" u="1"/>
        <d v="2026-03-23T00:00:00" u="1"/>
        <d v="2026-03-29T00:00:00" u="1"/>
        <d v="2026-03-20T00:00:00" u="1"/>
        <d v="2026-03-24T00:00:00" u="1"/>
        <d v="2026-03-25T00:00:00" u="1"/>
        <d v="2026-03-27T00:00:00" u="1"/>
        <d v="2026-03-26T00:00:00" u="1"/>
        <d v="2026-03-30T00:00:00" u="1"/>
        <d v="2026-03-31T00:00:00" u="1"/>
        <d v="2026-04-01T00:00:00" u="1"/>
        <d v="2026-04-02T00:00:00" u="1"/>
        <d v="2026-04-07T00:00:00" u="1"/>
        <d v="2026-04-08T00:00:00" u="1"/>
        <d v="2026-04-06T00:00:00" u="1"/>
        <d v="2026-04-09T00:00:00" u="1"/>
        <d v="2026-04-10T00:00:00" u="1"/>
        <d v="2026-04-13T00:00:00" u="1"/>
        <d v="2026-04-14T00:00:00" u="1"/>
        <d v="2026-04-15T00:00:00" u="1"/>
        <d v="2026-04-27T00:00:00" u="1"/>
        <d v="2026-04-16T00:00:00" u="1"/>
        <d v="2026-04-17T00:00:00" u="1"/>
        <d v="2026-04-20T00:00:00" u="1"/>
        <d v="2026-04-22T00:00:00" u="1"/>
        <d v="2026-04-23T00:00:00" u="1"/>
        <d v="2026-04-24T00:00:00" u="1"/>
        <d v="2026-05-04T00:00:00" u="1"/>
        <d v="2026-05-05T00:00:00" u="1"/>
        <d v="2026-05-06T00:00:00" u="1"/>
        <d v="2026-05-07T00:00:00" u="1"/>
        <d v="2026-05-08T00:00:00" u="1"/>
        <d v="2026-05-11T00:00:00" u="1"/>
        <d v="2026-05-12T00:00:00" u="1"/>
        <d v="2026-05-13T00:00:00" u="1"/>
        <d v="2026-05-14T00:00:00" u="1"/>
        <d v="2026-05-15T00:00:00" u="1"/>
        <d v="2026-05-18T00:00:00" u="1"/>
        <d v="2026-05-19T00:00:00" u="1"/>
        <d v="2026-05-20T00:00:00" u="1"/>
        <d v="2026-05-21T00:00:00" u="1"/>
        <d v="2026-05-25T00:00:00" u="1"/>
        <d v="2026-05-26T00:00:00" u="1"/>
        <d v="2026-05-27T00:00:00" u="1"/>
        <d v="2026-05-28T00:00:00" u="1"/>
        <d v="2026-05-29T00:00:00" u="1"/>
        <d v="2026-06-01T00:00:00" u="1"/>
        <d v="2026-06-02T00:00:00" u="1"/>
        <d v="2026-06-03T00:00:00" u="1"/>
        <d v="2029-06-03T00:00:00" u="1"/>
        <d v="2026-06-05T00:00:00" u="1"/>
        <d v="2026-06-08T00:00:00" u="1"/>
        <d v="2026-06-09T00:00:00" u="1"/>
        <d v="2026-06-10T00:00:00" u="1"/>
        <d v="2026-06-15T00:00:00" u="1"/>
        <d v="2026-06-11T00:00:00" u="1"/>
        <d v="2026-06-12T00:00:00" u="1"/>
        <d v="2026-06-16T00:00:00" u="1"/>
        <d v="2026-06-17T00:00:00" u="1"/>
        <d v="2026-06-30T00:00:00" u="1"/>
        <d v="2026-06-18T00:00:00" u="1"/>
        <d v="2026-06-19T00:00:00" u="1"/>
        <d v="2026-06-22T00:00:00" u="1"/>
        <d v="2026-06-23T00:00:00" u="1"/>
        <d v="2026-06-24T00:00:00" u="1"/>
        <d v="2026-06-29T00:00:00" u="1"/>
        <d v="2026-06-25T00:00:00" u="1"/>
        <d v="2026-06-26T00:00:00" u="1"/>
        <d v="2026-07-02T00:00:00" u="1"/>
        <d v="2026-07-01T00:00:00" u="1"/>
        <d v="2029-06-29T00:00:00" u="1"/>
        <d v="2029-06-18T00:00:00" u="1"/>
        <d v="2027-06-17T00:00:00" u="1"/>
        <d v="2026-08-06T00:00:00" u="1"/>
      </sharedItems>
      <fieldGroup par="12"/>
    </cacheField>
    <cacheField name="OBSERVAÇAO" numFmtId="0">
      <sharedItems containsNonDate="0" containsString="0" containsBlank="1"/>
    </cacheField>
    <cacheField name="Meses (DATA)" numFmtId="0" databaseField="0">
      <fieldGroup base="8">
        <rangePr groupBy="months" startDate="2024-01-01T00:00:00" endDate="2025-12-02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12/2025"/>
        </groupItems>
      </fieldGroup>
    </cacheField>
    <cacheField name="Trimestres (DATA)" numFmtId="0" databaseField="0">
      <fieldGroup base="8">
        <rangePr groupBy="quarters" startDate="2024-01-01T00:00:00" endDate="2025-12-02T00:00:00"/>
        <groupItems count="6">
          <s v="&lt;01/01/2024"/>
          <s v="Trim1"/>
          <s v="Trim2"/>
          <s v="Trim3"/>
          <s v="Trim4"/>
          <s v="&gt;02/12/2025"/>
        </groupItems>
      </fieldGroup>
    </cacheField>
    <cacheField name="Anos (DATA)" numFmtId="0" databaseField="0">
      <fieldGroup base="8">
        <rangePr groupBy="years" startDate="2024-01-01T00:00:00" endDate="2025-12-02T00:00:00"/>
        <groupItems count="4">
          <s v="&lt;01/01/2024"/>
          <s v="2024"/>
          <s v="2025"/>
          <s v="&gt;02/12/2025"/>
        </groupItems>
      </fieldGroup>
    </cacheField>
  </cacheFields>
  <extLst>
    <ext xmlns:x14="http://schemas.microsoft.com/office/spreadsheetml/2009/9/main" uri="{725AE2AE-9491-48be-B2B4-4EB974FC3084}">
      <x14:pivotCacheDefinition pivotCacheId="17203798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1029"/>
    <x v="0"/>
    <m/>
    <m/>
    <n v="700"/>
    <m/>
    <n v="0"/>
    <m/>
    <x v="0"/>
    <m/>
  </r>
  <r>
    <n v="50949"/>
    <x v="1"/>
    <m/>
    <m/>
    <n v="2634"/>
    <m/>
    <n v="0"/>
    <m/>
    <x v="1"/>
    <m/>
  </r>
  <r>
    <n v="1889"/>
    <x v="2"/>
    <m/>
    <m/>
    <n v="394"/>
    <m/>
    <n v="0"/>
    <m/>
    <x v="2"/>
    <m/>
  </r>
  <r>
    <n v="2120"/>
    <x v="3"/>
    <m/>
    <m/>
    <n v="477"/>
    <m/>
    <n v="0"/>
    <m/>
    <x v="3"/>
    <m/>
  </r>
  <r>
    <m/>
    <x v="4"/>
    <m/>
    <m/>
    <m/>
    <m/>
    <n v="0"/>
    <m/>
    <x v="4"/>
    <m/>
  </r>
  <r>
    <m/>
    <x v="4"/>
    <m/>
    <m/>
    <m/>
    <m/>
    <n v="0"/>
    <m/>
    <x v="5"/>
    <m/>
  </r>
  <r>
    <m/>
    <x v="4"/>
    <m/>
    <m/>
    <m/>
    <m/>
    <n v="0"/>
    <m/>
    <x v="6"/>
    <m/>
  </r>
  <r>
    <m/>
    <x v="4"/>
    <m/>
    <m/>
    <m/>
    <m/>
    <n v="0"/>
    <m/>
    <x v="7"/>
    <m/>
  </r>
  <r>
    <m/>
    <x v="4"/>
    <m/>
    <m/>
    <m/>
    <m/>
    <n v="0"/>
    <m/>
    <x v="8"/>
    <m/>
  </r>
  <r>
    <m/>
    <x v="4"/>
    <m/>
    <m/>
    <m/>
    <m/>
    <n v="0"/>
    <m/>
    <x v="9"/>
    <m/>
  </r>
  <r>
    <m/>
    <x v="4"/>
    <m/>
    <m/>
    <m/>
    <m/>
    <n v="0"/>
    <m/>
    <x v="10"/>
    <m/>
  </r>
  <r>
    <m/>
    <x v="4"/>
    <m/>
    <m/>
    <m/>
    <m/>
    <n v="0"/>
    <m/>
    <x v="11"/>
    <m/>
  </r>
  <r>
    <m/>
    <x v="4"/>
    <m/>
    <m/>
    <m/>
    <m/>
    <n v="0"/>
    <m/>
    <x v="12"/>
    <m/>
  </r>
  <r>
    <m/>
    <x v="4"/>
    <m/>
    <m/>
    <m/>
    <m/>
    <n v="0"/>
    <m/>
    <x v="13"/>
    <m/>
  </r>
  <r>
    <m/>
    <x v="4"/>
    <m/>
    <m/>
    <m/>
    <m/>
    <n v="0"/>
    <m/>
    <x v="14"/>
    <m/>
  </r>
  <r>
    <m/>
    <x v="4"/>
    <m/>
    <m/>
    <m/>
    <m/>
    <n v="0"/>
    <m/>
    <x v="15"/>
    <m/>
  </r>
  <r>
    <m/>
    <x v="4"/>
    <m/>
    <m/>
    <m/>
    <m/>
    <n v="0"/>
    <m/>
    <x v="16"/>
    <m/>
  </r>
  <r>
    <m/>
    <x v="4"/>
    <m/>
    <m/>
    <m/>
    <m/>
    <n v="0"/>
    <m/>
    <x v="17"/>
    <m/>
  </r>
  <r>
    <m/>
    <x v="4"/>
    <m/>
    <m/>
    <m/>
    <m/>
    <n v="0"/>
    <m/>
    <x v="18"/>
    <m/>
  </r>
  <r>
    <m/>
    <x v="4"/>
    <m/>
    <m/>
    <m/>
    <m/>
    <n v="0"/>
    <m/>
    <x v="19"/>
    <m/>
  </r>
  <r>
    <m/>
    <x v="4"/>
    <m/>
    <m/>
    <m/>
    <m/>
    <n v="0"/>
    <m/>
    <x v="20"/>
    <m/>
  </r>
  <r>
    <m/>
    <x v="4"/>
    <m/>
    <m/>
    <m/>
    <m/>
    <n v="0"/>
    <m/>
    <x v="21"/>
    <m/>
  </r>
  <r>
    <m/>
    <x v="4"/>
    <m/>
    <m/>
    <m/>
    <m/>
    <n v="0"/>
    <m/>
    <x v="22"/>
    <m/>
  </r>
  <r>
    <m/>
    <x v="4"/>
    <m/>
    <m/>
    <m/>
    <m/>
    <n v="0"/>
    <m/>
    <x v="2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EBD66-07AC-46B4-B698-D05660987384}" name="ped-insu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:F3" firstHeaderRow="1" firstDataRow="1" firstDataCol="0"/>
  <pivotFields count="13"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4" showAll="0">
      <items count="559">
        <item x="0"/>
        <item x="1"/>
        <item x="2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x="3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4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x="5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x="6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x="7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x="8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x="9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x="10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x="11"/>
        <item m="1" x="203"/>
        <item m="1" x="204"/>
        <item m="1" x="205"/>
        <item m="1" x="206"/>
        <item m="1" x="207"/>
        <item m="1" x="208"/>
        <item x="12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x="13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x="14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x="15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80"/>
        <item m="1" x="279"/>
        <item m="1" x="281"/>
        <item m="1" x="282"/>
        <item m="1" x="283"/>
        <item m="1" x="284"/>
        <item m="1" x="285"/>
        <item x="16"/>
        <item m="1" x="287"/>
        <item m="1" x="286"/>
        <item m="1" x="288"/>
        <item m="1" x="291"/>
        <item m="1" x="289"/>
        <item m="1" x="292"/>
        <item m="1" x="290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x="17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x="18"/>
        <item m="1" x="321"/>
        <item m="1" x="322"/>
        <item m="1" x="323"/>
        <item m="1" x="324"/>
        <item m="1" x="325"/>
        <item m="1" x="326"/>
        <item m="1" x="328"/>
        <item m="1" x="327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x="19"/>
        <item m="1" x="341"/>
        <item m="1" x="343"/>
        <item m="1" x="342"/>
        <item m="1" x="344"/>
        <item m="1" x="345"/>
        <item m="1" x="346"/>
        <item m="1" x="347"/>
        <item m="1" x="348"/>
        <item m="1" x="349"/>
        <item m="1" x="350"/>
        <item m="1" x="351"/>
        <item m="1" x="353"/>
        <item m="1" x="354"/>
        <item m="1" x="356"/>
        <item m="1" x="355"/>
        <item m="1" x="352"/>
        <item m="1" x="357"/>
        <item m="1" x="358"/>
        <item m="1" x="359"/>
        <item m="1" x="360"/>
        <item x="2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x="21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3"/>
        <item m="1" x="392"/>
        <item m="1" x="394"/>
        <item m="1" x="395"/>
        <item m="1" x="396"/>
        <item m="1" x="397"/>
        <item m="1" x="398"/>
        <item m="1" x="399"/>
        <item m="1" x="400"/>
        <item m="1" x="401"/>
        <item x="22"/>
        <item m="1" x="402"/>
        <item m="1" x="403"/>
        <item m="1" x="404"/>
        <item m="1" x="405"/>
        <item m="1" x="407"/>
        <item m="1" x="406"/>
        <item m="1" x="408"/>
        <item m="1" x="409"/>
        <item m="1" x="410"/>
        <item m="1" x="411"/>
        <item m="1" x="412"/>
        <item m="1" x="413"/>
        <item m="1" x="414"/>
        <item m="1" x="415"/>
        <item m="1" x="417"/>
        <item m="1" x="416"/>
        <item m="1" x="418"/>
        <item m="1" x="419"/>
        <item x="23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2"/>
        <item m="1" x="443"/>
        <item m="1" x="444"/>
        <item m="1" x="445"/>
        <item m="1" x="446"/>
        <item m="1" x="448"/>
        <item m="1" x="450"/>
        <item m="1" x="449"/>
        <item m="1" x="451"/>
        <item m="1" x="447"/>
        <item m="1" x="452"/>
        <item m="1" x="441"/>
        <item m="1" x="453"/>
        <item m="1" x="454"/>
        <item m="1" x="457"/>
        <item m="1" x="458"/>
        <item m="1" x="459"/>
        <item m="1" x="460"/>
        <item m="1" x="461"/>
        <item m="1" x="462"/>
        <item m="1" x="463"/>
        <item m="1" x="464"/>
        <item m="1" x="456"/>
        <item m="1" x="465"/>
        <item m="1" x="466"/>
        <item m="1" x="467"/>
        <item m="1" x="468"/>
        <item m="1" x="470"/>
        <item m="1" x="469"/>
        <item m="1" x="471"/>
        <item m="1" x="455"/>
        <item m="1" x="472"/>
        <item m="1" x="473"/>
        <item m="1" x="474"/>
        <item m="1" x="475"/>
        <item m="1" x="477"/>
        <item m="1" x="476"/>
        <item m="1" x="478"/>
        <item m="1" x="479"/>
        <item m="1" x="480"/>
        <item m="1" x="481"/>
        <item m="1" x="483"/>
        <item m="1" x="482"/>
        <item m="1" x="484"/>
        <item m="1" x="541"/>
        <item m="1" x="542"/>
        <item m="1" x="485"/>
        <item m="1" x="486"/>
        <item m="1" x="487"/>
        <item m="1" x="488"/>
        <item m="1" x="489"/>
        <item m="1" x="491"/>
        <item m="1" x="490"/>
        <item m="1" x="492"/>
        <item m="1" x="543"/>
        <item m="1" x="493"/>
        <item m="1" x="494"/>
        <item m="1" x="495"/>
        <item m="1" x="496"/>
        <item m="1" x="497"/>
        <item m="1" x="498"/>
        <item m="1" x="557"/>
        <item m="1" x="499"/>
        <item m="1" x="500"/>
        <item m="1" x="501"/>
        <item m="1" x="502"/>
        <item m="1" x="503"/>
        <item m="1" x="505"/>
        <item m="1" x="506"/>
        <item m="1" x="507"/>
        <item m="1" x="508"/>
        <item m="1" x="509"/>
        <item m="1" x="504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9"/>
        <item m="1" x="540"/>
        <item m="1" x="538"/>
        <item m="1" x="556"/>
        <item m="1" x="555"/>
        <item m="1" x="544"/>
        <item m="1" x="545"/>
        <item m="1" x="546"/>
        <item m="1" x="547"/>
        <item m="1" x="548"/>
        <item m="1" x="550"/>
        <item m="1" x="551"/>
        <item m="1" x="549"/>
        <item m="1" x="554"/>
        <item m="1" x="552"/>
        <item m="1" x="55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h="1"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h="1" x="0"/>
        <item h="1" x="1"/>
        <item x="2"/>
        <item h="1" x="3"/>
        <item t="default"/>
      </items>
    </pivotField>
  </pivotFields>
  <rowItems count="1">
    <i/>
  </rowItems>
  <colItems count="1">
    <i/>
  </colItems>
  <dataFields count="1">
    <dataField name="Contagem de PEDIDO INSUMOS" fld="3" subtotal="countNums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FAE235-1453-4416-81DC-AEB5301350AC}" name="totais-equip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2:D3" firstHeaderRow="1" firstDataRow="1" firstDataCol="0"/>
  <pivotFields count="13"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4" showAll="0">
      <items count="559">
        <item x="0"/>
        <item x="1"/>
        <item x="2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x="3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4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x="5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x="6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x="7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x="8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x="9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x="10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x="11"/>
        <item m="1" x="203"/>
        <item m="1" x="204"/>
        <item m="1" x="205"/>
        <item m="1" x="206"/>
        <item m="1" x="207"/>
        <item m="1" x="208"/>
        <item x="12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x="13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x="14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x="15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80"/>
        <item m="1" x="279"/>
        <item m="1" x="281"/>
        <item m="1" x="282"/>
        <item m="1" x="283"/>
        <item m="1" x="284"/>
        <item m="1" x="285"/>
        <item x="16"/>
        <item m="1" x="287"/>
        <item m="1" x="286"/>
        <item m="1" x="288"/>
        <item m="1" x="291"/>
        <item m="1" x="289"/>
        <item m="1" x="292"/>
        <item m="1" x="290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x="17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x="18"/>
        <item m="1" x="321"/>
        <item m="1" x="322"/>
        <item m="1" x="323"/>
        <item m="1" x="324"/>
        <item m="1" x="325"/>
        <item m="1" x="326"/>
        <item m="1" x="328"/>
        <item m="1" x="327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x="19"/>
        <item m="1" x="341"/>
        <item m="1" x="343"/>
        <item m="1" x="342"/>
        <item m="1" x="344"/>
        <item m="1" x="345"/>
        <item m="1" x="346"/>
        <item m="1" x="347"/>
        <item m="1" x="348"/>
        <item m="1" x="349"/>
        <item m="1" x="350"/>
        <item m="1" x="351"/>
        <item m="1" x="353"/>
        <item m="1" x="354"/>
        <item m="1" x="356"/>
        <item m="1" x="355"/>
        <item m="1" x="352"/>
        <item m="1" x="357"/>
        <item m="1" x="358"/>
        <item m="1" x="359"/>
        <item m="1" x="360"/>
        <item x="2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x="21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3"/>
        <item m="1" x="392"/>
        <item m="1" x="394"/>
        <item m="1" x="395"/>
        <item m="1" x="396"/>
        <item m="1" x="397"/>
        <item m="1" x="398"/>
        <item m="1" x="399"/>
        <item m="1" x="400"/>
        <item m="1" x="401"/>
        <item x="22"/>
        <item m="1" x="402"/>
        <item m="1" x="403"/>
        <item m="1" x="404"/>
        <item m="1" x="405"/>
        <item m="1" x="407"/>
        <item m="1" x="406"/>
        <item m="1" x="408"/>
        <item m="1" x="409"/>
        <item m="1" x="410"/>
        <item m="1" x="411"/>
        <item m="1" x="412"/>
        <item m="1" x="413"/>
        <item m="1" x="414"/>
        <item m="1" x="415"/>
        <item m="1" x="417"/>
        <item m="1" x="416"/>
        <item m="1" x="418"/>
        <item m="1" x="419"/>
        <item x="23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2"/>
        <item m="1" x="443"/>
        <item m="1" x="444"/>
        <item m="1" x="445"/>
        <item m="1" x="446"/>
        <item m="1" x="448"/>
        <item m="1" x="450"/>
        <item m="1" x="449"/>
        <item m="1" x="451"/>
        <item m="1" x="447"/>
        <item m="1" x="452"/>
        <item m="1" x="441"/>
        <item m="1" x="453"/>
        <item m="1" x="454"/>
        <item m="1" x="457"/>
        <item m="1" x="458"/>
        <item m="1" x="459"/>
        <item m="1" x="460"/>
        <item m="1" x="461"/>
        <item m="1" x="462"/>
        <item m="1" x="463"/>
        <item m="1" x="464"/>
        <item m="1" x="456"/>
        <item m="1" x="465"/>
        <item m="1" x="466"/>
        <item m="1" x="467"/>
        <item m="1" x="468"/>
        <item m="1" x="470"/>
        <item m="1" x="469"/>
        <item m="1" x="471"/>
        <item m="1" x="455"/>
        <item m="1" x="472"/>
        <item m="1" x="473"/>
        <item m="1" x="474"/>
        <item m="1" x="475"/>
        <item m="1" x="477"/>
        <item m="1" x="476"/>
        <item m="1" x="478"/>
        <item m="1" x="479"/>
        <item m="1" x="480"/>
        <item m="1" x="481"/>
        <item m="1" x="483"/>
        <item m="1" x="482"/>
        <item m="1" x="484"/>
        <item m="1" x="541"/>
        <item m="1" x="542"/>
        <item m="1" x="485"/>
        <item m="1" x="486"/>
        <item m="1" x="487"/>
        <item m="1" x="488"/>
        <item m="1" x="489"/>
        <item m="1" x="491"/>
        <item m="1" x="490"/>
        <item m="1" x="492"/>
        <item m="1" x="543"/>
        <item m="1" x="493"/>
        <item m="1" x="494"/>
        <item m="1" x="495"/>
        <item m="1" x="496"/>
        <item m="1" x="497"/>
        <item m="1" x="498"/>
        <item m="1" x="557"/>
        <item m="1" x="499"/>
        <item m="1" x="500"/>
        <item m="1" x="501"/>
        <item m="1" x="502"/>
        <item m="1" x="503"/>
        <item m="1" x="505"/>
        <item m="1" x="506"/>
        <item m="1" x="507"/>
        <item m="1" x="508"/>
        <item m="1" x="509"/>
        <item m="1" x="504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9"/>
        <item m="1" x="540"/>
        <item m="1" x="538"/>
        <item m="1" x="556"/>
        <item m="1" x="555"/>
        <item m="1" x="544"/>
        <item m="1" x="545"/>
        <item m="1" x="546"/>
        <item m="1" x="547"/>
        <item m="1" x="548"/>
        <item m="1" x="550"/>
        <item m="1" x="551"/>
        <item m="1" x="549"/>
        <item m="1" x="554"/>
        <item m="1" x="552"/>
        <item m="1" x="55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h="1"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h="1" x="0"/>
        <item h="1" x="1"/>
        <item x="2"/>
        <item h="1" x="3"/>
        <item t="default"/>
      </items>
    </pivotField>
  </pivotFields>
  <rowItems count="1">
    <i/>
  </rowItems>
  <colItems count="1">
    <i/>
  </colItems>
  <dataFields count="1">
    <dataField name="Soma de VALOR EQUIPAMENTO" fld="6" baseField="0" baseItem="0" numFmtId="44"/>
  </dataFields>
  <formats count="1">
    <format dxfId="3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5C154-EBED-461A-959A-7BB4687527AD}" name="totais-insu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:B3" firstHeaderRow="1" firstDataRow="1" firstDataCol="0"/>
  <pivotFields count="13"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>
      <items count="559">
        <item x="0"/>
        <item x="1"/>
        <item x="2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x="3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4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x="5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x="6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x="7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x="8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x="9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x="10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x="11"/>
        <item m="1" x="203"/>
        <item m="1" x="204"/>
        <item m="1" x="205"/>
        <item m="1" x="206"/>
        <item m="1" x="207"/>
        <item m="1" x="208"/>
        <item x="12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x="13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x="14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x="15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80"/>
        <item m="1" x="279"/>
        <item m="1" x="281"/>
        <item m="1" x="282"/>
        <item m="1" x="283"/>
        <item m="1" x="284"/>
        <item m="1" x="285"/>
        <item x="16"/>
        <item m="1" x="287"/>
        <item m="1" x="286"/>
        <item m="1" x="288"/>
        <item m="1" x="291"/>
        <item m="1" x="289"/>
        <item m="1" x="292"/>
        <item m="1" x="290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x="17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x="18"/>
        <item m="1" x="321"/>
        <item m="1" x="322"/>
        <item m="1" x="323"/>
        <item m="1" x="324"/>
        <item m="1" x="325"/>
        <item m="1" x="326"/>
        <item m="1" x="328"/>
        <item m="1" x="327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x="19"/>
        <item m="1" x="341"/>
        <item m="1" x="343"/>
        <item m="1" x="342"/>
        <item m="1" x="344"/>
        <item m="1" x="345"/>
        <item m="1" x="346"/>
        <item m="1" x="347"/>
        <item m="1" x="348"/>
        <item m="1" x="349"/>
        <item m="1" x="350"/>
        <item m="1" x="351"/>
        <item m="1" x="353"/>
        <item m="1" x="354"/>
        <item m="1" x="356"/>
        <item m="1" x="355"/>
        <item m="1" x="352"/>
        <item m="1" x="357"/>
        <item m="1" x="358"/>
        <item m="1" x="359"/>
        <item m="1" x="360"/>
        <item x="2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x="21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3"/>
        <item m="1" x="392"/>
        <item m="1" x="394"/>
        <item m="1" x="395"/>
        <item m="1" x="396"/>
        <item m="1" x="397"/>
        <item m="1" x="398"/>
        <item m="1" x="399"/>
        <item m="1" x="400"/>
        <item m="1" x="401"/>
        <item x="22"/>
        <item m="1" x="402"/>
        <item m="1" x="403"/>
        <item m="1" x="404"/>
        <item m="1" x="405"/>
        <item m="1" x="407"/>
        <item m="1" x="406"/>
        <item m="1" x="408"/>
        <item m="1" x="409"/>
        <item m="1" x="410"/>
        <item m="1" x="411"/>
        <item m="1" x="412"/>
        <item m="1" x="413"/>
        <item m="1" x="414"/>
        <item m="1" x="415"/>
        <item m="1" x="417"/>
        <item m="1" x="416"/>
        <item m="1" x="418"/>
        <item m="1" x="419"/>
        <item x="23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2"/>
        <item m="1" x="443"/>
        <item m="1" x="444"/>
        <item m="1" x="445"/>
        <item m="1" x="446"/>
        <item m="1" x="448"/>
        <item m="1" x="450"/>
        <item m="1" x="449"/>
        <item m="1" x="451"/>
        <item m="1" x="447"/>
        <item m="1" x="452"/>
        <item m="1" x="441"/>
        <item m="1" x="453"/>
        <item m="1" x="454"/>
        <item m="1" x="457"/>
        <item m="1" x="458"/>
        <item m="1" x="459"/>
        <item m="1" x="460"/>
        <item m="1" x="461"/>
        <item m="1" x="462"/>
        <item m="1" x="463"/>
        <item m="1" x="464"/>
        <item m="1" x="456"/>
        <item m="1" x="465"/>
        <item m="1" x="466"/>
        <item m="1" x="467"/>
        <item m="1" x="468"/>
        <item m="1" x="470"/>
        <item m="1" x="469"/>
        <item m="1" x="471"/>
        <item m="1" x="455"/>
        <item m="1" x="472"/>
        <item m="1" x="473"/>
        <item m="1" x="474"/>
        <item m="1" x="475"/>
        <item m="1" x="477"/>
        <item m="1" x="476"/>
        <item m="1" x="478"/>
        <item m="1" x="479"/>
        <item m="1" x="480"/>
        <item m="1" x="481"/>
        <item m="1" x="483"/>
        <item m="1" x="482"/>
        <item m="1" x="484"/>
        <item m="1" x="541"/>
        <item m="1" x="542"/>
        <item m="1" x="485"/>
        <item m="1" x="486"/>
        <item m="1" x="487"/>
        <item m="1" x="488"/>
        <item m="1" x="489"/>
        <item m="1" x="491"/>
        <item m="1" x="490"/>
        <item m="1" x="492"/>
        <item m="1" x="543"/>
        <item m="1" x="493"/>
        <item m="1" x="494"/>
        <item m="1" x="495"/>
        <item m="1" x="496"/>
        <item m="1" x="497"/>
        <item m="1" x="498"/>
        <item m="1" x="557"/>
        <item m="1" x="499"/>
        <item m="1" x="500"/>
        <item m="1" x="501"/>
        <item m="1" x="502"/>
        <item m="1" x="503"/>
        <item m="1" x="505"/>
        <item m="1" x="506"/>
        <item m="1" x="507"/>
        <item m="1" x="508"/>
        <item m="1" x="509"/>
        <item m="1" x="504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9"/>
        <item m="1" x="540"/>
        <item m="1" x="538"/>
        <item m="1" x="556"/>
        <item m="1" x="555"/>
        <item m="1" x="544"/>
        <item m="1" x="545"/>
        <item m="1" x="546"/>
        <item m="1" x="547"/>
        <item m="1" x="548"/>
        <item m="1" x="550"/>
        <item m="1" x="551"/>
        <item m="1" x="549"/>
        <item m="1" x="554"/>
        <item m="1" x="552"/>
        <item m="1" x="553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h="1"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h="1" sd="0" x="0"/>
        <item h="1" sd="0" x="1"/>
        <item sd="0" x="2"/>
        <item h="1" x="3"/>
        <item t="default"/>
      </items>
    </pivotField>
  </pivotFields>
  <rowItems count="1">
    <i/>
  </rowItems>
  <colItems count="1">
    <i/>
  </colItems>
  <dataFields count="1">
    <dataField name="Soma de VALOR INSUMOS" fld="4" baseField="0" baseItem="0" numFmtId="44"/>
  </dataFields>
  <formats count="1">
    <format dxfId="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E067A-F5AE-4AA7-B5F9-4B8272A3B5B9}" name="ped-equip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2:H3" firstHeaderRow="1" firstDataRow="1" firstDataCol="0"/>
  <pivotFields count="13"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>
      <items count="559">
        <item x="0"/>
        <item x="1"/>
        <item x="2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x="3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4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x="5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x="6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x="7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x="8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x="9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x="10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x="11"/>
        <item m="1" x="203"/>
        <item m="1" x="204"/>
        <item m="1" x="205"/>
        <item m="1" x="206"/>
        <item m="1" x="207"/>
        <item m="1" x="208"/>
        <item x="12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x="13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x="14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x="15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80"/>
        <item m="1" x="279"/>
        <item m="1" x="281"/>
        <item m="1" x="282"/>
        <item m="1" x="283"/>
        <item m="1" x="284"/>
        <item m="1" x="285"/>
        <item x="16"/>
        <item m="1" x="287"/>
        <item m="1" x="286"/>
        <item m="1" x="288"/>
        <item m="1" x="291"/>
        <item m="1" x="289"/>
        <item m="1" x="292"/>
        <item m="1" x="290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x="17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x="18"/>
        <item m="1" x="321"/>
        <item m="1" x="322"/>
        <item m="1" x="323"/>
        <item m="1" x="324"/>
        <item m="1" x="325"/>
        <item m="1" x="326"/>
        <item m="1" x="328"/>
        <item m="1" x="327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x="19"/>
        <item m="1" x="341"/>
        <item m="1" x="343"/>
        <item m="1" x="342"/>
        <item m="1" x="344"/>
        <item m="1" x="345"/>
        <item m="1" x="346"/>
        <item m="1" x="347"/>
        <item m="1" x="348"/>
        <item m="1" x="349"/>
        <item m="1" x="350"/>
        <item m="1" x="351"/>
        <item m="1" x="353"/>
        <item m="1" x="354"/>
        <item m="1" x="356"/>
        <item m="1" x="355"/>
        <item m="1" x="352"/>
        <item m="1" x="357"/>
        <item m="1" x="358"/>
        <item m="1" x="359"/>
        <item m="1" x="360"/>
        <item x="2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x="21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3"/>
        <item m="1" x="392"/>
        <item m="1" x="394"/>
        <item m="1" x="395"/>
        <item m="1" x="396"/>
        <item m="1" x="397"/>
        <item m="1" x="398"/>
        <item m="1" x="399"/>
        <item m="1" x="400"/>
        <item m="1" x="401"/>
        <item x="22"/>
        <item m="1" x="402"/>
        <item m="1" x="403"/>
        <item m="1" x="404"/>
        <item m="1" x="405"/>
        <item m="1" x="407"/>
        <item m="1" x="406"/>
        <item m="1" x="408"/>
        <item m="1" x="409"/>
        <item m="1" x="410"/>
        <item m="1" x="411"/>
        <item m="1" x="412"/>
        <item m="1" x="413"/>
        <item m="1" x="414"/>
        <item m="1" x="415"/>
        <item m="1" x="417"/>
        <item m="1" x="416"/>
        <item m="1" x="418"/>
        <item m="1" x="419"/>
        <item x="23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2"/>
        <item m="1" x="443"/>
        <item m="1" x="444"/>
        <item m="1" x="445"/>
        <item m="1" x="446"/>
        <item m="1" x="448"/>
        <item m="1" x="450"/>
        <item m="1" x="449"/>
        <item m="1" x="451"/>
        <item m="1" x="447"/>
        <item m="1" x="452"/>
        <item m="1" x="441"/>
        <item m="1" x="453"/>
        <item m="1" x="454"/>
        <item m="1" x="457"/>
        <item m="1" x="458"/>
        <item m="1" x="459"/>
        <item m="1" x="460"/>
        <item m="1" x="461"/>
        <item m="1" x="462"/>
        <item m="1" x="463"/>
        <item m="1" x="464"/>
        <item m="1" x="456"/>
        <item m="1" x="465"/>
        <item m="1" x="466"/>
        <item m="1" x="467"/>
        <item m="1" x="468"/>
        <item m="1" x="470"/>
        <item m="1" x="469"/>
        <item m="1" x="471"/>
        <item m="1" x="455"/>
        <item m="1" x="472"/>
        <item m="1" x="473"/>
        <item m="1" x="474"/>
        <item m="1" x="475"/>
        <item m="1" x="477"/>
        <item m="1" x="476"/>
        <item m="1" x="478"/>
        <item m="1" x="479"/>
        <item m="1" x="480"/>
        <item m="1" x="481"/>
        <item m="1" x="483"/>
        <item m="1" x="482"/>
        <item m="1" x="484"/>
        <item m="1" x="541"/>
        <item m="1" x="542"/>
        <item m="1" x="485"/>
        <item m="1" x="486"/>
        <item m="1" x="487"/>
        <item m="1" x="488"/>
        <item m="1" x="489"/>
        <item m="1" x="491"/>
        <item m="1" x="490"/>
        <item m="1" x="492"/>
        <item m="1" x="543"/>
        <item m="1" x="493"/>
        <item m="1" x="494"/>
        <item m="1" x="495"/>
        <item m="1" x="496"/>
        <item m="1" x="497"/>
        <item m="1" x="498"/>
        <item m="1" x="557"/>
        <item m="1" x="499"/>
        <item m="1" x="500"/>
        <item m="1" x="501"/>
        <item m="1" x="502"/>
        <item m="1" x="503"/>
        <item m="1" x="505"/>
        <item m="1" x="506"/>
        <item m="1" x="507"/>
        <item m="1" x="508"/>
        <item m="1" x="509"/>
        <item m="1" x="504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9"/>
        <item m="1" x="540"/>
        <item m="1" x="538"/>
        <item m="1" x="556"/>
        <item m="1" x="555"/>
        <item m="1" x="544"/>
        <item m="1" x="545"/>
        <item m="1" x="546"/>
        <item m="1" x="547"/>
        <item m="1" x="548"/>
        <item m="1" x="550"/>
        <item m="1" x="551"/>
        <item m="1" x="549"/>
        <item m="1" x="554"/>
        <item m="1" x="552"/>
        <item m="1" x="55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h="1"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h="1" x="0"/>
        <item h="1" x="1"/>
        <item x="2"/>
        <item h="1" x="3"/>
        <item t="default"/>
      </items>
    </pivotField>
  </pivotFields>
  <rowItems count="1">
    <i/>
  </rowItems>
  <colItems count="1">
    <i/>
  </colItems>
  <dataFields count="1">
    <dataField name="Contagem de PEDIDO EQUIPAMENT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6F5A7-1849-4FBD-9492-99673D60DEA0}" name="tTOP2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NOME">
  <location ref="I3:K5" firstHeaderRow="0" firstDataRow="1" firstDataCol="1"/>
  <pivotFields count="13">
    <pivotField showAll="0"/>
    <pivotField axis="axisRow" showAll="0" measureFilter="1" sortType="descending">
      <items count="7">
        <item m="1" x="5"/>
        <item n="POPULAR PET"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dataField="1" showAll="0"/>
    <pivotField showAll="0"/>
    <pivotField numFmtId="14" showAll="0">
      <items count="559">
        <item x="0"/>
        <item x="1"/>
        <item x="2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x="3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4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x="5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x="6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x="7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x="8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x="9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x="10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x="11"/>
        <item m="1" x="203"/>
        <item m="1" x="204"/>
        <item m="1" x="205"/>
        <item m="1" x="206"/>
        <item m="1" x="207"/>
        <item m="1" x="208"/>
        <item x="12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x="13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x="14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x="15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80"/>
        <item m="1" x="279"/>
        <item m="1" x="281"/>
        <item m="1" x="282"/>
        <item m="1" x="283"/>
        <item m="1" x="284"/>
        <item m="1" x="285"/>
        <item x="16"/>
        <item m="1" x="287"/>
        <item m="1" x="286"/>
        <item m="1" x="288"/>
        <item m="1" x="291"/>
        <item m="1" x="289"/>
        <item m="1" x="292"/>
        <item m="1" x="290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x="17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x="18"/>
        <item m="1" x="321"/>
        <item m="1" x="322"/>
        <item m="1" x="323"/>
        <item m="1" x="324"/>
        <item m="1" x="325"/>
        <item m="1" x="326"/>
        <item m="1" x="328"/>
        <item m="1" x="327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x="19"/>
        <item m="1" x="341"/>
        <item m="1" x="343"/>
        <item m="1" x="342"/>
        <item m="1" x="344"/>
        <item m="1" x="345"/>
        <item m="1" x="346"/>
        <item m="1" x="347"/>
        <item m="1" x="348"/>
        <item m="1" x="349"/>
        <item m="1" x="350"/>
        <item m="1" x="351"/>
        <item m="1" x="353"/>
        <item m="1" x="354"/>
        <item m="1" x="356"/>
        <item m="1" x="355"/>
        <item m="1" x="352"/>
        <item m="1" x="357"/>
        <item m="1" x="358"/>
        <item m="1" x="359"/>
        <item m="1" x="360"/>
        <item x="2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x="21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3"/>
        <item m="1" x="392"/>
        <item m="1" x="394"/>
        <item m="1" x="395"/>
        <item m="1" x="396"/>
        <item m="1" x="397"/>
        <item m="1" x="398"/>
        <item m="1" x="399"/>
        <item m="1" x="400"/>
        <item m="1" x="401"/>
        <item x="22"/>
        <item m="1" x="402"/>
        <item m="1" x="403"/>
        <item m="1" x="404"/>
        <item m="1" x="405"/>
        <item m="1" x="407"/>
        <item m="1" x="406"/>
        <item m="1" x="408"/>
        <item m="1" x="409"/>
        <item m="1" x="410"/>
        <item m="1" x="411"/>
        <item m="1" x="412"/>
        <item m="1" x="413"/>
        <item m="1" x="414"/>
        <item m="1" x="415"/>
        <item m="1" x="417"/>
        <item m="1" x="416"/>
        <item m="1" x="418"/>
        <item m="1" x="419"/>
        <item x="23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2"/>
        <item m="1" x="443"/>
        <item m="1" x="444"/>
        <item m="1" x="445"/>
        <item m="1" x="446"/>
        <item m="1" x="448"/>
        <item m="1" x="450"/>
        <item m="1" x="449"/>
        <item m="1" x="451"/>
        <item m="1" x="447"/>
        <item m="1" x="452"/>
        <item m="1" x="441"/>
        <item m="1" x="453"/>
        <item m="1" x="454"/>
        <item m="1" x="457"/>
        <item m="1" x="458"/>
        <item m="1" x="459"/>
        <item m="1" x="460"/>
        <item m="1" x="461"/>
        <item m="1" x="462"/>
        <item m="1" x="463"/>
        <item m="1" x="464"/>
        <item m="1" x="456"/>
        <item m="1" x="465"/>
        <item m="1" x="466"/>
        <item m="1" x="467"/>
        <item m="1" x="468"/>
        <item m="1" x="470"/>
        <item m="1" x="469"/>
        <item m="1" x="471"/>
        <item m="1" x="455"/>
        <item m="1" x="472"/>
        <item m="1" x="473"/>
        <item m="1" x="474"/>
        <item m="1" x="475"/>
        <item m="1" x="477"/>
        <item m="1" x="476"/>
        <item m="1" x="478"/>
        <item m="1" x="479"/>
        <item m="1" x="480"/>
        <item m="1" x="481"/>
        <item m="1" x="483"/>
        <item m="1" x="482"/>
        <item m="1" x="484"/>
        <item m="1" x="541"/>
        <item m="1" x="542"/>
        <item m="1" x="485"/>
        <item m="1" x="486"/>
        <item m="1" x="487"/>
        <item m="1" x="488"/>
        <item m="1" x="489"/>
        <item m="1" x="491"/>
        <item m="1" x="490"/>
        <item m="1" x="492"/>
        <item m="1" x="543"/>
        <item m="1" x="493"/>
        <item m="1" x="494"/>
        <item m="1" x="495"/>
        <item m="1" x="496"/>
        <item m="1" x="497"/>
        <item m="1" x="498"/>
        <item m="1" x="557"/>
        <item m="1" x="499"/>
        <item m="1" x="500"/>
        <item m="1" x="501"/>
        <item m="1" x="502"/>
        <item m="1" x="503"/>
        <item m="1" x="505"/>
        <item m="1" x="506"/>
        <item m="1" x="507"/>
        <item m="1" x="508"/>
        <item m="1" x="509"/>
        <item m="1" x="504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9"/>
        <item m="1" x="540"/>
        <item m="1" x="538"/>
        <item m="1" x="556"/>
        <item m="1" x="555"/>
        <item m="1" x="544"/>
        <item m="1" x="545"/>
        <item m="1" x="546"/>
        <item m="1" x="547"/>
        <item m="1" x="548"/>
        <item m="1" x="550"/>
        <item m="1" x="551"/>
        <item m="1" x="549"/>
        <item m="1" x="554"/>
        <item m="1" x="552"/>
        <item m="1" x="55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h="1"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h="1" x="0"/>
        <item h="1" x="1"/>
        <item x="2"/>
        <item h="1" x="3"/>
        <item t="default"/>
      </items>
    </pivotField>
  </pivotFields>
  <rowFields count="1">
    <field x="1"/>
  </rowFields>
  <rowItems count="2"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VALORES INSUMOS" fld="4" baseField="0" baseItem="0" numFmtId="44"/>
    <dataField name="VALORES EQUIPAMENTOS" fld="6" baseField="0" baseItem="0"/>
  </dataFields>
  <formats count="10">
    <format dxfId="15">
      <pivotArea outline="0" collapsedLevelsAreSubtotals="1" fieldPosition="0"/>
    </format>
    <format dxfId="14">
      <pivotArea dataOnly="0" labelOnly="1" outline="0" axis="axisValues" fieldPosition="0"/>
    </format>
    <format dxfId="13">
      <pivotArea dataOnly="0" labelOnly="1" outline="0" axis="axisValues" fieldPosition="0"/>
    </format>
    <format dxfId="12">
      <pivotArea field="1" type="button" dataOnly="0" labelOnly="1" outline="0" axis="axisRow" fieldPosition="0"/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1" type="button" dataOnly="0" labelOnly="1" outline="0" axis="axisRow" fieldPosition="0"/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DATA" xr10:uid="{344F46E7-3D34-4502-907B-CAC8CA5E65EE}" sourceName="Meses (DATA)">
  <pivotTables>
    <pivotTable tabId="6" name="totais-insu"/>
    <pivotTable tabId="5" name="tTOP20"/>
    <pivotTable tabId="6" name="ped-equip"/>
    <pivotTable tabId="6" name="ped-insu"/>
    <pivotTable tabId="6" name="totais-equip"/>
  </pivotTables>
  <data>
    <tabular pivotCacheId="1720379860" showMissing="0">
      <items count="14">
        <i x="1" s="1"/>
        <i x="2" s="1"/>
        <i x="3" s="1"/>
        <i x="4" s="1"/>
        <i x="5" s="1"/>
        <i x="6" s="1"/>
        <i x="7"/>
        <i x="8" s="1"/>
        <i x="9" s="1"/>
        <i x="10" s="1"/>
        <i x="11" s="1"/>
        <i x="12" s="1"/>
        <i x="0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s__DATA" xr10:uid="{993C64C1-B242-43D5-BC58-0C68AD936EF6}" sourceName="Anos (DATA)">
  <pivotTables>
    <pivotTable tabId="6" name="totais-insu"/>
    <pivotTable tabId="5" name="tTOP20"/>
    <pivotTable tabId="6" name="ped-equip"/>
    <pivotTable tabId="6" name="ped-insu"/>
    <pivotTable tabId="6" name="totais-equip"/>
  </pivotTables>
  <data>
    <tabular pivotCacheId="1720379860">
      <items count="4">
        <i x="1"/>
        <i x="2" s="1"/>
        <i x="0" nd="1"/>
        <i x="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 (DATA)" xr10:uid="{2023CEDE-3AB9-43BE-BE46-F0B19CCD0EE6}" cache="SegmentaçãodeDados_Meses__DATA" caption="Meses (DATA)" rowHeight="241300"/>
  <slicer name="Anos (DATA)" xr10:uid="{B1DD1935-DF63-4729-BEEA-6D1FE64D01BB}" cache="SegmentaçãodeDados_Anos__DATA" caption="Anos (DATA)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 (DATA) 1" xr10:uid="{4A22BCA9-2CE4-4A87-818E-AA6CF78AA82C}" cache="SegmentaçãodeDados_Meses__DATA" caption="Meses (DATA)" rowHeight="241300"/>
  <slicer name="Anos (DATA) 1" xr10:uid="{698E54BD-8056-4B67-9406-00F8B6256818}" cache="SegmentaçãodeDados_Anos__DATA" caption="Anos (DATA)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8F7F69-6EA3-4206-96E5-DD0667C4DF40}" name="LIG" displayName="LIG" ref="A1:I2" totalsRowShown="0" headerRowDxfId="36" headerRowBorderDxfId="35" tableBorderDxfId="34">
  <autoFilter ref="A1:I2" xr:uid="{298F7F69-6EA3-4206-96E5-DD0667C4DF40}"/>
  <tableColumns count="9">
    <tableColumn id="1" xr3:uid="{27AEFBB0-F7D3-46C6-B76D-453CA6ACA2BD}" name="CLIENTE"/>
    <tableColumn id="2" xr3:uid="{D932BBBB-6D07-4A0D-8196-7834C4660237}" name="NOME"/>
    <tableColumn id="3" xr3:uid="{7BED3286-D25C-4EE0-BFF4-4032731262F1}" name="RESPONSÁVEL"/>
    <tableColumn id="4" xr3:uid="{2C1FB025-1CF4-4E40-9B25-79ADA2A9BCA6}" name="DATA" dataDxfId="33"/>
    <tableColumn id="5" xr3:uid="{7A88052B-54F6-4448-A7CF-FAFAB96508F7}" name="HORA" dataDxfId="32"/>
    <tableColumn id="6" xr3:uid="{C274668A-E36D-4F2F-A0D5-2EAF787300C8}" name="ATENDEU"/>
    <tableColumn id="7" xr3:uid="{BDE6DE29-391C-485B-907E-04BB3D43C93F}" name="OBSERVAÇÃO"/>
    <tableColumn id="8" xr3:uid="{9080AC18-54CD-4BF3-9315-69A924B1F1C1}" name="VISITA"/>
    <tableColumn id="9" xr3:uid="{900E3664-F457-4A03-B798-2002422C2102}" name="MOTIVO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E84CEA-9C5F-49F9-962D-FE7ECFE62A26}" name="CLI" displayName="CLI" ref="A1:K2" totalsRowShown="0" headerRowDxfId="31" dataDxfId="29" headerRowBorderDxfId="30" tableBorderDxfId="28" totalsRowBorderDxfId="27">
  <autoFilter ref="A1:K2" xr:uid="{74E84CEA-9C5F-49F9-962D-FE7ECFE62A26}"/>
  <tableColumns count="11">
    <tableColumn id="1" xr3:uid="{9C6E8D59-47DD-46BF-9269-0B685DF95931}" name="SKU" dataDxfId="26"/>
    <tableColumn id="2" xr3:uid="{5489E9DC-3D74-4EFA-84E7-CD4F5C3F0F7A}" name="NOME" dataDxfId="25"/>
    <tableColumn id="3" xr3:uid="{73625F97-E74F-48B0-B4DF-5C9DCCDB73AE}" name="EMAIL" dataDxfId="24"/>
    <tableColumn id="4" xr3:uid="{3573CBCC-80DD-48C3-AC1C-67A3159798F9}" name="WHATS" dataDxfId="23"/>
    <tableColumn id="5" xr3:uid="{3A443CD7-4FCA-4BD2-AC31-06FEDEF4A07D}" name="CIDADE" dataDxfId="22"/>
    <tableColumn id="10" xr3:uid="{5B7C7F8F-C303-4875-ADFA-1D50CF3B407D}" name="SEGMENTO" dataDxfId="21" dataCellStyle="Hiperlink"/>
    <tableColumn id="6" xr3:uid="{2DF2A923-D2F1-44F3-9ED0-939801F74E14}" name="PRIMEIRA COMPRA" dataDxfId="20"/>
    <tableColumn id="7" xr3:uid="{7998C5A4-87C1-45B5-9378-F291D9B941EF}" name="ULTIMA COMPRA" dataDxfId="19"/>
    <tableColumn id="8" xr3:uid="{B8FD1CF7-5E34-490B-81FE-73E0CC653A54}" name="INAT(DIAS)" dataDxfId="18">
      <calculatedColumnFormula>CONFIG!$E$1-CLIENTES!H2</calculatedColumnFormula>
    </tableColumn>
    <tableColumn id="9" xr3:uid="{C95EB2A0-B64E-4EF7-9B80-A1BF4AB8E70A}" name="EMAIL " dataDxfId="17" dataCellStyle="Hiperlink">
      <calculatedColumnFormula>HYPERLINK("mailto:"&amp;C2&amp;"?subject="&amp;CONFIG!$G$1&amp;"&amp;body="&amp;CONFIG!$G$3,"Enviar e-mail")</calculatedColumnFormula>
    </tableColumn>
    <tableColumn id="11" xr3:uid="{203C8B9F-98B0-43AE-9243-18744001D602}" name="OBSERVAÇÃO" dataDxfId="16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02EB8A-F10F-4CD4-83FA-62D01FD8FC77}" name="tVendas" displayName="tVendas" ref="A1:J2" insertRow="1" totalsRowShown="0" headerRowDxfId="53" dataDxfId="51" headerRowBorderDxfId="52" tableBorderDxfId="50" totalsRowBorderDxfId="49">
  <autoFilter ref="A1:J2" xr:uid="{FF02EB8A-F10F-4CD4-83FA-62D01FD8FC77}"/>
  <tableColumns count="10">
    <tableColumn id="1" xr3:uid="{3BB643D8-6CAD-48D2-9E3A-4871E6440795}" name="CLIENTE" dataDxfId="48"/>
    <tableColumn id="2" xr3:uid="{383C322A-82D2-4DCA-A6FC-81D8E50AA590}" name="NOME" dataDxfId="47">
      <calculatedColumnFormula>IFERROR(VLOOKUP(A2,CLIENTES!A:E,2,0),"CADASTRAR CLIENTE")</calculatedColumnFormula>
    </tableColumn>
    <tableColumn id="3" xr3:uid="{817BBA6F-A47C-4856-9922-8147FDB75DDE}" name="ENVIO" dataDxfId="46"/>
    <tableColumn id="4" xr3:uid="{05CCEA0A-09FF-4BB6-A5CB-7FDF1D1C8D06}" name="PEDIDO INSUMOS" dataDxfId="45"/>
    <tableColumn id="5" xr3:uid="{1A33E653-9A54-456B-9852-8FD0AEC4569F}" name="VALOR INSUMOS" dataDxfId="44" dataCellStyle="Moeda"/>
    <tableColumn id="6" xr3:uid="{448BD062-BE3C-4767-B43B-04A73245A11D}" name="PEDIDO EQUIPAMENTO" dataDxfId="43"/>
    <tableColumn id="7" xr3:uid="{108C1FD2-52BA-475F-BD16-8E4D5B130D4D}" name="VALOR EQUIPAMENTO" dataDxfId="42"/>
    <tableColumn id="8" xr3:uid="{F847CAA3-AF59-43DC-91B7-B73343BD9845}" name="LOCAÇÃO" dataDxfId="41"/>
    <tableColumn id="9" xr3:uid="{AE8F68F6-A181-4BF0-820B-8C8D34D20DE9}" name="DATA" dataDxfId="40"/>
    <tableColumn id="10" xr3:uid="{BBD5A642-235C-4510-BA46-85AC8C287980}" name="OBSERVAÇAO" dataDxfId="39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6FFB3-C98F-405D-879F-881CB653B5D9}">
  <dimension ref="A1:G13"/>
  <sheetViews>
    <sheetView zoomScaleNormal="100" workbookViewId="0">
      <selection activeCell="A5" sqref="A5"/>
    </sheetView>
  </sheetViews>
  <sheetFormatPr defaultRowHeight="15" x14ac:dyDescent="0.25"/>
  <cols>
    <col min="2" max="2" width="13.85546875" bestFit="1" customWidth="1"/>
    <col min="5" max="5" width="10.7109375" bestFit="1" customWidth="1"/>
    <col min="6" max="6" width="41.140625" bestFit="1" customWidth="1"/>
    <col min="7" max="7" width="21.85546875" bestFit="1" customWidth="1"/>
  </cols>
  <sheetData>
    <row r="1" spans="1:7" x14ac:dyDescent="0.25">
      <c r="A1" t="s">
        <v>7</v>
      </c>
      <c r="E1" s="1">
        <f ca="1">TODAY()</f>
        <v>46254</v>
      </c>
      <c r="G1" s="2" t="s">
        <v>8</v>
      </c>
    </row>
    <row r="2" spans="1:7" x14ac:dyDescent="0.25">
      <c r="A2" t="s">
        <v>9</v>
      </c>
      <c r="B2" s="3" t="s">
        <v>10</v>
      </c>
      <c r="G2" s="4"/>
    </row>
    <row r="3" spans="1:7" x14ac:dyDescent="0.25">
      <c r="B3" s="5">
        <v>80000</v>
      </c>
      <c r="G3" t="s">
        <v>26</v>
      </c>
    </row>
    <row r="7" spans="1:7" x14ac:dyDescent="0.25">
      <c r="B7" t="s">
        <v>48</v>
      </c>
    </row>
    <row r="8" spans="1:7" x14ac:dyDescent="0.25">
      <c r="B8" t="s">
        <v>47</v>
      </c>
    </row>
    <row r="9" spans="1:7" x14ac:dyDescent="0.25">
      <c r="B9" t="s">
        <v>46</v>
      </c>
    </row>
    <row r="10" spans="1:7" x14ac:dyDescent="0.25">
      <c r="B10" t="s">
        <v>45</v>
      </c>
    </row>
    <row r="11" spans="1:7" x14ac:dyDescent="0.25">
      <c r="B11" t="s">
        <v>49</v>
      </c>
    </row>
    <row r="12" spans="1:7" x14ac:dyDescent="0.25">
      <c r="B12" t="s">
        <v>50</v>
      </c>
    </row>
    <row r="13" spans="1:7" x14ac:dyDescent="0.25">
      <c r="B13" t="s">
        <v>51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2D4EB-EC39-4228-BD07-C55A952DA704}">
  <dimension ref="B1:H3"/>
  <sheetViews>
    <sheetView topLeftCell="A2" workbookViewId="0">
      <selection activeCell="A2" sqref="A2"/>
    </sheetView>
  </sheetViews>
  <sheetFormatPr defaultRowHeight="15" x14ac:dyDescent="0.25"/>
  <cols>
    <col min="2" max="3" width="24.5703125" bestFit="1" customWidth="1"/>
    <col min="4" max="4" width="29.7109375" bestFit="1" customWidth="1"/>
    <col min="6" max="6" width="29.7109375" bestFit="1" customWidth="1"/>
    <col min="8" max="8" width="34.7109375" bestFit="1" customWidth="1"/>
  </cols>
  <sheetData>
    <row r="1" spans="2:8" x14ac:dyDescent="0.25">
      <c r="B1" s="8">
        <f>GETPIVOTDATA("VALOR INSUMOS",$B$2)</f>
        <v>0</v>
      </c>
      <c r="D1" s="8">
        <f>GETPIVOTDATA("VALOR EQUIPAMENTO",$D$2)</f>
        <v>0</v>
      </c>
      <c r="F1">
        <f>GETPIVOTDATA("PEDIDO INSUMOS",$F$2)</f>
        <v>0</v>
      </c>
      <c r="H1">
        <f>GETPIVOTDATA("PEDIDO EQUIPAMENTO",$H$2)</f>
        <v>0</v>
      </c>
    </row>
    <row r="2" spans="2:8" x14ac:dyDescent="0.25">
      <c r="B2" t="s">
        <v>29</v>
      </c>
      <c r="D2" t="s">
        <v>32</v>
      </c>
      <c r="F2" t="s">
        <v>38</v>
      </c>
      <c r="H2" t="s">
        <v>39</v>
      </c>
    </row>
    <row r="3" spans="2:8" x14ac:dyDescent="0.25">
      <c r="B3" s="9"/>
      <c r="D3" s="9">
        <v>0</v>
      </c>
    </row>
  </sheetData>
  <pageMargins left="0.511811024" right="0.511811024" top="0.78740157499999996" bottom="0.78740157499999996" header="0.31496062000000002" footer="0.31496062000000002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8F2CB-DD9A-4EBB-AC05-A19C0898FE67}">
  <dimension ref="A1:I2"/>
  <sheetViews>
    <sheetView zoomScale="98" zoomScaleNormal="98" workbookViewId="0">
      <selection activeCell="A2" sqref="A2:XFD2"/>
    </sheetView>
  </sheetViews>
  <sheetFormatPr defaultRowHeight="15" x14ac:dyDescent="0.25"/>
  <cols>
    <col min="1" max="1" width="10.140625" customWidth="1"/>
    <col min="2" max="2" width="45" bestFit="1" customWidth="1"/>
    <col min="3" max="3" width="15.7109375" customWidth="1"/>
    <col min="4" max="4" width="10.7109375" bestFit="1" customWidth="1"/>
    <col min="5" max="5" width="12" bestFit="1" customWidth="1"/>
    <col min="6" max="6" width="11.5703125" customWidth="1"/>
    <col min="7" max="7" width="23.42578125" bestFit="1" customWidth="1"/>
    <col min="8" max="8" width="11.28515625" bestFit="1" customWidth="1"/>
    <col min="9" max="9" width="13.140625" bestFit="1" customWidth="1"/>
  </cols>
  <sheetData>
    <row r="1" spans="1:9" s="25" customFormat="1" x14ac:dyDescent="0.25">
      <c r="A1" s="11" t="s">
        <v>11</v>
      </c>
      <c r="B1" s="11" t="s">
        <v>1</v>
      </c>
      <c r="C1" s="11" t="s">
        <v>19</v>
      </c>
      <c r="D1" s="11" t="s">
        <v>18</v>
      </c>
      <c r="E1" s="12" t="s">
        <v>20</v>
      </c>
      <c r="F1" s="11" t="s">
        <v>21</v>
      </c>
      <c r="G1" s="12" t="s">
        <v>22</v>
      </c>
      <c r="H1" s="11" t="s">
        <v>23</v>
      </c>
      <c r="I1" s="13" t="s">
        <v>24</v>
      </c>
    </row>
    <row r="2" spans="1:9" x14ac:dyDescent="0.25">
      <c r="D2" s="1"/>
      <c r="E2" s="6"/>
    </row>
  </sheetData>
  <conditionalFormatting sqref="B1:B1048576">
    <cfRule type="containsText" dxfId="5" priority="1" operator="containsText" text="CADASTRAR CLIENTE">
      <formula>NOT(ISERROR(SEARCH("CADASTRAR CLIENTE",B1)))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542B0-031A-4413-BE95-410716EF0270}">
  <dimension ref="A1:K2"/>
  <sheetViews>
    <sheetView showGridLines="0" zoomScale="73" zoomScaleNormal="73" workbookViewId="0">
      <pane ySplit="1" topLeftCell="A2" activePane="bottomLeft" state="frozen"/>
      <selection pane="bottomLeft" activeCell="A3" sqref="A3:XFD18"/>
    </sheetView>
  </sheetViews>
  <sheetFormatPr defaultRowHeight="15.75" x14ac:dyDescent="0.25"/>
  <cols>
    <col min="1" max="1" width="8.5703125" style="46" bestFit="1" customWidth="1"/>
    <col min="2" max="2" width="77.28515625" style="46" bestFit="1" customWidth="1"/>
    <col min="3" max="3" width="44.7109375" style="46" customWidth="1"/>
    <col min="4" max="4" width="19.5703125" style="46" customWidth="1"/>
    <col min="5" max="5" width="33.85546875" style="46" bestFit="1" customWidth="1"/>
    <col min="6" max="6" width="16.7109375" style="46" customWidth="1"/>
    <col min="7" max="7" width="20.85546875" style="47" bestFit="1" customWidth="1"/>
    <col min="8" max="8" width="19" style="47" bestFit="1" customWidth="1"/>
    <col min="9" max="9" width="13.28515625" style="47" bestFit="1" customWidth="1"/>
    <col min="10" max="10" width="15.85546875" style="46" customWidth="1"/>
    <col min="11" max="11" width="15.5703125" style="46" bestFit="1" customWidth="1"/>
    <col min="12" max="12" width="15.5703125" bestFit="1" customWidth="1"/>
  </cols>
  <sheetData>
    <row r="1" spans="1:11" s="15" customFormat="1" x14ac:dyDescent="0.25">
      <c r="A1" s="34" t="s">
        <v>0</v>
      </c>
      <c r="B1" s="35" t="s">
        <v>1</v>
      </c>
      <c r="C1" s="35" t="s">
        <v>2</v>
      </c>
      <c r="D1" s="35" t="s">
        <v>3</v>
      </c>
      <c r="E1" s="36" t="s">
        <v>4</v>
      </c>
      <c r="F1" s="37" t="s">
        <v>44</v>
      </c>
      <c r="G1" s="35" t="s">
        <v>5</v>
      </c>
      <c r="H1" s="36" t="s">
        <v>6</v>
      </c>
      <c r="I1" s="35" t="s">
        <v>27</v>
      </c>
      <c r="J1" s="38" t="s">
        <v>25</v>
      </c>
      <c r="K1" s="39" t="s">
        <v>22</v>
      </c>
    </row>
    <row r="2" spans="1:11" x14ac:dyDescent="0.25">
      <c r="A2" s="40"/>
      <c r="B2" s="41"/>
      <c r="C2" s="41"/>
      <c r="D2" s="41"/>
      <c r="E2" s="41"/>
      <c r="F2" s="44"/>
      <c r="G2" s="42">
        <f>_xlfn.MINIFS(DADOS!$I:$I,DADOS!$B:$B,B2)</f>
        <v>0</v>
      </c>
      <c r="H2" s="42">
        <f>_xlfn.MAXIFS(DADOS!$I:$I,DADOS!$B:$B,B2)</f>
        <v>0</v>
      </c>
      <c r="I2" s="43">
        <f ca="1">CONFIG!$E$1-CLIENTES!H2</f>
        <v>46254</v>
      </c>
      <c r="J2" s="44" t="str">
        <f>HYPERLINK("mailto:"&amp;C2&amp;"?subject="&amp;CONFIG!$G$1&amp;"&amp;body="&amp;CONFIG!$G$3,"Enviar e-mail")</f>
        <v>Enviar e-mail</v>
      </c>
      <c r="K2" s="45"/>
    </row>
  </sheetData>
  <conditionalFormatting sqref="B1">
    <cfRule type="containsText" dxfId="4" priority="1" operator="containsText" text="CADASTRAR CLIENTE">
      <formula>NOT(ISERROR(SEARCH("CADASTRAR CLIENTE",B1)))</formula>
    </cfRule>
  </conditionalFormatting>
  <conditionalFormatting sqref="I2:I1048576">
    <cfRule type="cellIs" dxfId="3" priority="5" operator="between">
      <formula>31</formula>
      <formula>89</formula>
    </cfRule>
    <cfRule type="cellIs" dxfId="2" priority="6" operator="between">
      <formula>1</formula>
      <formula>30</formula>
    </cfRule>
    <cfRule type="cellIs" dxfId="1" priority="9" operator="greaterThanOrEqual">
      <formula>90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F244D5-F24D-402B-A118-EFDD42BC924B}">
          <x14:formula1>
            <xm:f>CONFIG!$B$7:$B$13</xm:f>
          </x14:formula1>
          <xm:sqref>F2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43309-5E3D-40B3-9405-7B710BF53956}">
  <dimension ref="A1:J2"/>
  <sheetViews>
    <sheetView showGridLines="0" tabSelected="1" zoomScaleNormal="100" workbookViewId="0">
      <pane ySplit="1" topLeftCell="A2" activePane="bottomLeft" state="frozen"/>
      <selection pane="bottomLeft" activeCell="A2" sqref="A2:XFD12"/>
    </sheetView>
  </sheetViews>
  <sheetFormatPr defaultRowHeight="15" x14ac:dyDescent="0.25"/>
  <cols>
    <col min="1" max="1" width="10.140625" customWidth="1"/>
    <col min="2" max="2" width="91" customWidth="1"/>
    <col min="3" max="3" width="17.85546875" customWidth="1"/>
    <col min="4" max="4" width="34.28515625" customWidth="1"/>
    <col min="5" max="5" width="19.5703125" style="8" customWidth="1"/>
    <col min="6" max="6" width="23.85546875" customWidth="1"/>
    <col min="7" max="7" width="23.7109375" style="7" customWidth="1"/>
    <col min="8" max="8" width="11.7109375" customWidth="1"/>
    <col min="9" max="9" width="11.5703125" style="1" bestFit="1" customWidth="1"/>
    <col min="10" max="10" width="45.140625" customWidth="1"/>
  </cols>
  <sheetData>
    <row r="1" spans="1:10" s="33" customFormat="1" x14ac:dyDescent="0.25">
      <c r="A1" s="16" t="s">
        <v>11</v>
      </c>
      <c r="B1" s="17" t="s">
        <v>1</v>
      </c>
      <c r="C1" s="17" t="s">
        <v>12</v>
      </c>
      <c r="D1" s="17" t="s">
        <v>13</v>
      </c>
      <c r="E1" s="50" t="s">
        <v>14</v>
      </c>
      <c r="F1" s="17" t="s">
        <v>15</v>
      </c>
      <c r="G1" s="18" t="s">
        <v>16</v>
      </c>
      <c r="H1" s="17" t="s">
        <v>17</v>
      </c>
      <c r="I1" s="19" t="s">
        <v>18</v>
      </c>
      <c r="J1" s="17" t="s">
        <v>52</v>
      </c>
    </row>
    <row r="2" spans="1:10" x14ac:dyDescent="0.25">
      <c r="A2" s="20"/>
      <c r="B2" s="21"/>
      <c r="C2" s="49"/>
      <c r="D2" s="21"/>
      <c r="E2" s="24"/>
      <c r="F2" s="21"/>
      <c r="G2" s="22"/>
      <c r="H2" s="21"/>
      <c r="I2" s="23"/>
      <c r="J2" s="48"/>
    </row>
  </sheetData>
  <conditionalFormatting sqref="B1:B1048576">
    <cfRule type="containsText" dxfId="0" priority="1" operator="containsText" text="CADASTRAR CLIENTE">
      <formula>NOT(ISERROR(SEARCH("CADASTRAR CLIENTE",B1)))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9AF28-2789-49A7-B2B8-159F9DFA2199}">
  <dimension ref="B2:M24"/>
  <sheetViews>
    <sheetView showGridLines="0" zoomScale="80" zoomScaleNormal="80" workbookViewId="0">
      <selection activeCell="K14" sqref="K14"/>
    </sheetView>
  </sheetViews>
  <sheetFormatPr defaultRowHeight="15" x14ac:dyDescent="0.25"/>
  <cols>
    <col min="2" max="2" width="14.28515625" bestFit="1" customWidth="1"/>
    <col min="3" max="3" width="14.7109375" customWidth="1"/>
    <col min="5" max="5" width="14.28515625" bestFit="1" customWidth="1"/>
    <col min="7" max="7" width="12.5703125" bestFit="1" customWidth="1"/>
    <col min="8" max="8" width="12.5703125" customWidth="1"/>
    <col min="9" max="9" width="13.42578125" bestFit="1" customWidth="1"/>
    <col min="10" max="10" width="19.140625" bestFit="1" customWidth="1"/>
    <col min="11" max="11" width="25.140625" bestFit="1" customWidth="1"/>
    <col min="12" max="12" width="9.5703125" bestFit="1" customWidth="1"/>
    <col min="13" max="13" width="22.5703125" bestFit="1" customWidth="1"/>
  </cols>
  <sheetData>
    <row r="2" spans="2:13" ht="26.25" x14ac:dyDescent="0.4">
      <c r="B2" s="60">
        <f>B7+B10</f>
        <v>0</v>
      </c>
      <c r="C2" s="60"/>
      <c r="E2" s="54">
        <f>B2/CONFIG!B3</f>
        <v>0</v>
      </c>
      <c r="F2" s="55"/>
      <c r="H2" s="53" t="s">
        <v>42</v>
      </c>
      <c r="I2" s="53"/>
      <c r="J2" s="53"/>
      <c r="K2" s="53"/>
      <c r="L2" s="53"/>
      <c r="M2" s="53"/>
    </row>
    <row r="3" spans="2:13" x14ac:dyDescent="0.25">
      <c r="B3" s="60"/>
      <c r="C3" s="60"/>
      <c r="E3" s="56"/>
      <c r="F3" s="57"/>
      <c r="H3" s="26" t="s">
        <v>0</v>
      </c>
      <c r="I3" s="27" t="s">
        <v>1</v>
      </c>
      <c r="J3" s="10" t="s">
        <v>40</v>
      </c>
      <c r="K3" s="10" t="s">
        <v>41</v>
      </c>
      <c r="L3" s="26" t="s">
        <v>43</v>
      </c>
      <c r="M3" s="26" t="s">
        <v>4</v>
      </c>
    </row>
    <row r="4" spans="2:13" ht="18.75" x14ac:dyDescent="0.3">
      <c r="B4" s="61" t="s">
        <v>35</v>
      </c>
      <c r="C4" s="61"/>
      <c r="E4" s="58" t="s">
        <v>30</v>
      </c>
      <c r="F4" s="59"/>
      <c r="H4" s="14">
        <v>501094</v>
      </c>
      <c r="I4" s="28" t="s">
        <v>53</v>
      </c>
      <c r="J4" s="29"/>
      <c r="K4" s="29">
        <v>0</v>
      </c>
      <c r="L4" s="30" t="e">
        <f>(J4+K4)/$B$2</f>
        <v>#DIV/0!</v>
      </c>
      <c r="M4" s="14" t="e">
        <f>INDEX(CLIENTES!E:E,(MATCH('DASHBOARD 3.0'!I4,CLIENTES!B:B,0)))</f>
        <v>#N/A</v>
      </c>
    </row>
    <row r="5" spans="2:13" x14ac:dyDescent="0.25">
      <c r="H5" s="14" t="e">
        <f>INDEX(CLIENTES!A:A,(MATCH('DASHBOARD 3.0'!I5,CLIENTES!B:B,0)))</f>
        <v>#N/A</v>
      </c>
      <c r="I5" s="28" t="s">
        <v>28</v>
      </c>
      <c r="J5" s="29"/>
      <c r="K5" s="29">
        <v>0</v>
      </c>
      <c r="L5" s="30" t="e">
        <f t="shared" ref="L5:L23" si="0">(J5+K5)/$B$2</f>
        <v>#DIV/0!</v>
      </c>
      <c r="M5" s="14" t="e">
        <f>INDEX(CLIENTES!E:E,(MATCH('DASHBOARD 3.0'!I5,CLIENTES!B:B,0)))</f>
        <v>#N/A</v>
      </c>
    </row>
    <row r="6" spans="2:13" x14ac:dyDescent="0.25">
      <c r="H6" s="14" t="e">
        <f>INDEX(CLIENTES!A:A,(MATCH('DASHBOARD 3.0'!I6,CLIENTES!B:B,0)))</f>
        <v>#N/A</v>
      </c>
      <c r="L6" s="30" t="e">
        <f t="shared" si="0"/>
        <v>#DIV/0!</v>
      </c>
      <c r="M6" s="14" t="e">
        <f>INDEX(CLIENTES!E:E,(MATCH('DASHBOARD 3.0'!I6,CLIENTES!B:B,0)))</f>
        <v>#N/A</v>
      </c>
    </row>
    <row r="7" spans="2:13" x14ac:dyDescent="0.25">
      <c r="B7" s="62">
        <f>DINAMICOS!$B$1</f>
        <v>0</v>
      </c>
      <c r="C7" s="51"/>
      <c r="E7" s="54">
        <f>B2/(CONFIG!B3*12)</f>
        <v>0</v>
      </c>
      <c r="F7" s="55"/>
      <c r="H7" s="14" t="e">
        <f>INDEX(CLIENTES!A:A,(MATCH('DASHBOARD 3.0'!I7,CLIENTES!B:B,0)))</f>
        <v>#N/A</v>
      </c>
      <c r="L7" s="30" t="e">
        <f t="shared" si="0"/>
        <v>#DIV/0!</v>
      </c>
      <c r="M7" s="14" t="e">
        <f>INDEX(CLIENTES!E:E,(MATCH('DASHBOARD 3.0'!I7,CLIENTES!B:B,0)))</f>
        <v>#N/A</v>
      </c>
    </row>
    <row r="8" spans="2:13" x14ac:dyDescent="0.25">
      <c r="B8" s="52" t="s">
        <v>31</v>
      </c>
      <c r="C8" s="52"/>
      <c r="E8" s="56"/>
      <c r="F8" s="57"/>
      <c r="H8" s="14" t="e">
        <f>INDEX(CLIENTES!A:A,(MATCH('DASHBOARD 3.0'!I8,CLIENTES!B:B,0)))</f>
        <v>#N/A</v>
      </c>
      <c r="L8" s="30" t="e">
        <f t="shared" si="0"/>
        <v>#DIV/0!</v>
      </c>
      <c r="M8" s="14" t="e">
        <f>INDEX(CLIENTES!E:E,(MATCH('DASHBOARD 3.0'!I8,CLIENTES!B:B,0)))</f>
        <v>#N/A</v>
      </c>
    </row>
    <row r="9" spans="2:13" x14ac:dyDescent="0.25">
      <c r="E9" s="58" t="s">
        <v>34</v>
      </c>
      <c r="F9" s="59"/>
      <c r="H9" s="14" t="e">
        <f>INDEX(CLIENTES!A:A,(MATCH('DASHBOARD 3.0'!I9,CLIENTES!B:B,0)))</f>
        <v>#N/A</v>
      </c>
      <c r="L9" s="30" t="e">
        <f t="shared" si="0"/>
        <v>#DIV/0!</v>
      </c>
      <c r="M9" s="14" t="e">
        <f>INDEX(CLIENTES!E:E,(MATCH('DASHBOARD 3.0'!I9,CLIENTES!B:B,0)))</f>
        <v>#N/A</v>
      </c>
    </row>
    <row r="10" spans="2:13" x14ac:dyDescent="0.25">
      <c r="B10" s="62">
        <f>DINAMICOS!$D$1</f>
        <v>0</v>
      </c>
      <c r="C10" s="51"/>
      <c r="H10" s="14" t="e">
        <f>INDEX(CLIENTES!A:A,(MATCH('DASHBOARD 3.0'!I10,CLIENTES!B:B,0)))</f>
        <v>#N/A</v>
      </c>
      <c r="L10" s="30" t="e">
        <f t="shared" si="0"/>
        <v>#DIV/0!</v>
      </c>
      <c r="M10" s="14" t="e">
        <f>INDEX(CLIENTES!E:E,(MATCH('DASHBOARD 3.0'!I10,CLIENTES!B:B,0)))</f>
        <v>#N/A</v>
      </c>
    </row>
    <row r="11" spans="2:13" x14ac:dyDescent="0.25">
      <c r="B11" s="52" t="s">
        <v>33</v>
      </c>
      <c r="C11" s="52"/>
      <c r="H11" s="14" t="e">
        <f>INDEX(CLIENTES!A:A,(MATCH('DASHBOARD 3.0'!I11,CLIENTES!B:B,0)))</f>
        <v>#N/A</v>
      </c>
      <c r="L11" s="30" t="e">
        <f t="shared" si="0"/>
        <v>#DIV/0!</v>
      </c>
      <c r="M11" s="14" t="e">
        <f>INDEX(CLIENTES!E:E,(MATCH('DASHBOARD 3.0'!I11,CLIENTES!B:B,0)))</f>
        <v>#N/A</v>
      </c>
    </row>
    <row r="12" spans="2:13" x14ac:dyDescent="0.25">
      <c r="H12" s="14" t="e">
        <f>INDEX(CLIENTES!A:A,(MATCH('DASHBOARD 3.0'!I12,CLIENTES!B:B,0)))</f>
        <v>#N/A</v>
      </c>
      <c r="L12" s="30" t="e">
        <f t="shared" si="0"/>
        <v>#DIV/0!</v>
      </c>
      <c r="M12" s="14" t="e">
        <f>INDEX(CLIENTES!E:E,(MATCH('DASHBOARD 3.0'!I12,CLIENTES!B:B,0)))</f>
        <v>#N/A</v>
      </c>
    </row>
    <row r="13" spans="2:13" x14ac:dyDescent="0.25">
      <c r="B13" s="51">
        <f>DINAMICOS!$F$1</f>
        <v>0</v>
      </c>
      <c r="C13" s="51"/>
      <c r="H13" s="14" t="e">
        <f>INDEX(CLIENTES!A:A,(MATCH('DASHBOARD 3.0'!I13,CLIENTES!B:B,0)))</f>
        <v>#N/A</v>
      </c>
      <c r="L13" s="30" t="e">
        <f t="shared" si="0"/>
        <v>#DIV/0!</v>
      </c>
      <c r="M13" s="14" t="e">
        <f>INDEX(CLIENTES!E:E,(MATCH('DASHBOARD 3.0'!I13,CLIENTES!B:B,0)))</f>
        <v>#N/A</v>
      </c>
    </row>
    <row r="14" spans="2:13" x14ac:dyDescent="0.25">
      <c r="B14" s="52" t="s">
        <v>36</v>
      </c>
      <c r="C14" s="52"/>
      <c r="H14" s="14" t="e">
        <f>INDEX(CLIENTES!A:A,(MATCH('DASHBOARD 3.0'!I14,CLIENTES!B:B,0)))</f>
        <v>#N/A</v>
      </c>
      <c r="L14" s="30" t="e">
        <f t="shared" si="0"/>
        <v>#DIV/0!</v>
      </c>
      <c r="M14" s="14" t="e">
        <f>INDEX(CLIENTES!E:E,(MATCH('DASHBOARD 3.0'!I14,CLIENTES!B:B,0)))</f>
        <v>#N/A</v>
      </c>
    </row>
    <row r="15" spans="2:13" x14ac:dyDescent="0.25">
      <c r="H15" s="14" t="e">
        <f>INDEX(CLIENTES!A:A,(MATCH('DASHBOARD 3.0'!I15,CLIENTES!B:B,0)))</f>
        <v>#N/A</v>
      </c>
      <c r="L15" s="30" t="e">
        <f t="shared" si="0"/>
        <v>#DIV/0!</v>
      </c>
      <c r="M15" s="14" t="e">
        <f>INDEX(CLIENTES!E:E,(MATCH('DASHBOARD 3.0'!I15,CLIENTES!B:B,0)))</f>
        <v>#N/A</v>
      </c>
    </row>
    <row r="16" spans="2:13" x14ac:dyDescent="0.25">
      <c r="B16" s="51">
        <f>DINAMICOS!$H$1</f>
        <v>0</v>
      </c>
      <c r="C16" s="51"/>
      <c r="H16" s="14" t="e">
        <f>INDEX(CLIENTES!A:A,(MATCH('DASHBOARD 3.0'!I16,CLIENTES!B:B,0)))</f>
        <v>#N/A</v>
      </c>
      <c r="L16" s="30" t="e">
        <f t="shared" si="0"/>
        <v>#DIV/0!</v>
      </c>
      <c r="M16" s="14" t="e">
        <f>INDEX(CLIENTES!E:E,(MATCH('DASHBOARD 3.0'!I16,CLIENTES!B:B,0)))</f>
        <v>#N/A</v>
      </c>
    </row>
    <row r="17" spans="2:13" x14ac:dyDescent="0.25">
      <c r="B17" s="52" t="s">
        <v>37</v>
      </c>
      <c r="C17" s="52"/>
      <c r="H17" s="14" t="e">
        <f>INDEX(CLIENTES!A:A,(MATCH('DASHBOARD 3.0'!I17,CLIENTES!B:B,0)))</f>
        <v>#N/A</v>
      </c>
      <c r="L17" s="30" t="e">
        <f t="shared" si="0"/>
        <v>#DIV/0!</v>
      </c>
      <c r="M17" s="14" t="e">
        <f>INDEX(CLIENTES!E:E,(MATCH('DASHBOARD 3.0'!I17,CLIENTES!B:B,0)))</f>
        <v>#N/A</v>
      </c>
    </row>
    <row r="18" spans="2:13" x14ac:dyDescent="0.25">
      <c r="H18" s="14" t="e">
        <f>INDEX(CLIENTES!A:A,(MATCH('DASHBOARD 3.0'!I18,CLIENTES!B:B,0)))</f>
        <v>#N/A</v>
      </c>
      <c r="L18" s="30" t="e">
        <f t="shared" si="0"/>
        <v>#DIV/0!</v>
      </c>
      <c r="M18" s="14" t="e">
        <f>INDEX(CLIENTES!E:E,(MATCH('DASHBOARD 3.0'!I18,CLIENTES!B:B,0)))</f>
        <v>#N/A</v>
      </c>
    </row>
    <row r="19" spans="2:13" x14ac:dyDescent="0.25">
      <c r="H19" s="14" t="e">
        <f>INDEX(CLIENTES!A:A,(MATCH('DASHBOARD 3.0'!I19,CLIENTES!B:B,0)))</f>
        <v>#N/A</v>
      </c>
      <c r="L19" s="30" t="e">
        <f t="shared" si="0"/>
        <v>#DIV/0!</v>
      </c>
      <c r="M19" s="14" t="e">
        <f>INDEX(CLIENTES!E:E,(MATCH('DASHBOARD 3.0'!I19,CLIENTES!B:B,0)))</f>
        <v>#N/A</v>
      </c>
    </row>
    <row r="20" spans="2:13" x14ac:dyDescent="0.25">
      <c r="H20" s="14" t="e">
        <f>INDEX(CLIENTES!A:A,(MATCH('DASHBOARD 3.0'!I20,CLIENTES!B:B,0)))</f>
        <v>#N/A</v>
      </c>
      <c r="L20" s="30" t="e">
        <f t="shared" si="0"/>
        <v>#DIV/0!</v>
      </c>
      <c r="M20" s="14" t="e">
        <f>INDEX(CLIENTES!E:E,(MATCH('DASHBOARD 3.0'!I20,CLIENTES!B:B,0)))</f>
        <v>#N/A</v>
      </c>
    </row>
    <row r="21" spans="2:13" x14ac:dyDescent="0.25">
      <c r="H21" s="14" t="e">
        <f>INDEX(CLIENTES!A:A,(MATCH('DASHBOARD 3.0'!I21,CLIENTES!B:B,0)))</f>
        <v>#N/A</v>
      </c>
      <c r="L21" s="30" t="e">
        <f t="shared" si="0"/>
        <v>#DIV/0!</v>
      </c>
      <c r="M21" s="14" t="e">
        <f>INDEX(CLIENTES!E:E,(MATCH('DASHBOARD 3.0'!I21,CLIENTES!B:B,0)))</f>
        <v>#N/A</v>
      </c>
    </row>
    <row r="22" spans="2:13" x14ac:dyDescent="0.25">
      <c r="H22" s="14" t="e">
        <f>INDEX(CLIENTES!A:A,(MATCH('DASHBOARD 3.0'!I22,CLIENTES!B:B,0)))</f>
        <v>#N/A</v>
      </c>
      <c r="L22" s="30" t="e">
        <f t="shared" si="0"/>
        <v>#DIV/0!</v>
      </c>
      <c r="M22" s="14" t="e">
        <f>INDEX(CLIENTES!E:E,(MATCH('DASHBOARD 3.0'!I22,CLIENTES!B:B,0)))</f>
        <v>#N/A</v>
      </c>
    </row>
    <row r="23" spans="2:13" x14ac:dyDescent="0.25">
      <c r="H23" s="14" t="e">
        <f>INDEX(CLIENTES!A:A,(MATCH('DASHBOARD 3.0'!I23,CLIENTES!B:B,0)))</f>
        <v>#N/A</v>
      </c>
      <c r="L23" s="30" t="e">
        <f t="shared" si="0"/>
        <v>#DIV/0!</v>
      </c>
      <c r="M23" s="14" t="e">
        <f>INDEX(CLIENTES!E:E,(MATCH('DASHBOARD 3.0'!I23,CLIENTES!B:B,0)))</f>
        <v>#N/A</v>
      </c>
    </row>
    <row r="24" spans="2:13" x14ac:dyDescent="0.25">
      <c r="H24" s="31"/>
      <c r="L24" s="32" t="e">
        <f>SUM(L4:L23)</f>
        <v>#DIV/0!</v>
      </c>
      <c r="M24" s="31"/>
    </row>
  </sheetData>
  <mergeCells count="15">
    <mergeCell ref="B13:C13"/>
    <mergeCell ref="B14:C14"/>
    <mergeCell ref="B16:C16"/>
    <mergeCell ref="B17:C17"/>
    <mergeCell ref="H2:M2"/>
    <mergeCell ref="B11:C11"/>
    <mergeCell ref="E2:F3"/>
    <mergeCell ref="E4:F4"/>
    <mergeCell ref="E7:F8"/>
    <mergeCell ref="B2:C3"/>
    <mergeCell ref="B4:C4"/>
    <mergeCell ref="B7:C7"/>
    <mergeCell ref="B8:C8"/>
    <mergeCell ref="B10:C10"/>
    <mergeCell ref="E9:F9"/>
  </mergeCells>
  <conditionalFormatting sqref="E2">
    <cfRule type="dataBar" priority="2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{37A648D9-7158-42EF-9521-B346F3BFD173}</x14:id>
        </ext>
      </extLst>
    </cfRule>
  </conditionalFormatting>
  <conditionalFormatting sqref="E7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{A7CDDBD3-5064-473A-8EC2-C7B5C6654574}</x14:id>
        </ext>
      </extLst>
    </cfRule>
  </conditionalFormatting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A648D9-7158-42EF-9521-B346F3BFD17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A7CDDBD3-5064-473A-8EC2-C7B5C665457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E7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CONFIG</vt:lpstr>
      <vt:lpstr>DINAMICOS</vt:lpstr>
      <vt:lpstr>LIGACAO</vt:lpstr>
      <vt:lpstr>CLIENTES</vt:lpstr>
      <vt:lpstr>DADOS</vt:lpstr>
      <vt:lpstr>DASHBOARD 3.0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DE GINO MODA</dc:creator>
  <cp:lastModifiedBy>WALTER DE GINO MODA</cp:lastModifiedBy>
  <dcterms:created xsi:type="dcterms:W3CDTF">2024-11-19T19:18:42Z</dcterms:created>
  <dcterms:modified xsi:type="dcterms:W3CDTF">2026-08-20T19:13:15Z</dcterms:modified>
</cp:coreProperties>
</file>