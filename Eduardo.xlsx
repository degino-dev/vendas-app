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duardo\Desktop\"/>
    </mc:Choice>
  </mc:AlternateContent>
  <xr:revisionPtr revIDLastSave="0" documentId="8_{1DC1C8CB-D2F5-42E7-A640-97B8527601A0}" xr6:coauthVersionLast="47" xr6:coauthVersionMax="47" xr10:uidLastSave="{00000000-0000-0000-0000-000000000000}"/>
  <bookViews>
    <workbookView xWindow="-120" yWindow="-120" windowWidth="20730" windowHeight="11040" firstSheet="2" activeTab="4" xr2:uid="{C79A0DDE-F4C1-4F3B-B92D-4CE5BDDC5514}"/>
  </bookViews>
  <sheets>
    <sheet name="CONFIG" sheetId="2" state="hidden" r:id="rId1"/>
    <sheet name="DINAMICOS" sheetId="6" r:id="rId2"/>
    <sheet name="LIGACAO" sheetId="4" r:id="rId3"/>
    <sheet name="CLIENTES" sheetId="1" r:id="rId4"/>
    <sheet name="DADOS" sheetId="3" r:id="rId5"/>
    <sheet name="DASHBOARD 3.0" sheetId="5" r:id="rId6"/>
  </sheets>
  <definedNames>
    <definedName name="_xlnm._FilterDatabase" localSheetId="3" hidden="1">CLIENTES!$H$1:$H$251</definedName>
    <definedName name="_xlnm._FilterDatabase" localSheetId="4" hidden="1">DADOS!$A$1:$A$535</definedName>
    <definedName name="SegmentaçãodeDados_Anos__DATA">#N/A</definedName>
    <definedName name="SegmentaçãodeDados_Meses__DATA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2" i="4" l="1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4" i="5"/>
  <c r="H6" i="5" l="1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5" i="5"/>
  <c r="H4" i="5"/>
  <c r="F1" i="6"/>
  <c r="D1" i="6"/>
  <c r="H1" i="6"/>
  <c r="B13" i="5" l="1"/>
  <c r="B16" i="5"/>
  <c r="B10" i="5"/>
  <c r="B1" i="6" l="1"/>
  <c r="B7" i="5" l="1"/>
  <c r="B2" i="5" l="1"/>
  <c r="L13" i="5" s="1"/>
  <c r="E1" i="2"/>
  <c r="L4" i="5" l="1"/>
  <c r="L20" i="5"/>
  <c r="L21" i="5"/>
  <c r="L10" i="5"/>
  <c r="L17" i="5"/>
  <c r="L9" i="5"/>
  <c r="L15" i="5"/>
  <c r="L7" i="5"/>
  <c r="L18" i="5"/>
  <c r="L22" i="5"/>
  <c r="E7" i="5"/>
  <c r="L23" i="5"/>
  <c r="L19" i="5"/>
  <c r="L12" i="5"/>
  <c r="L8" i="5"/>
  <c r="L5" i="5"/>
  <c r="L16" i="5"/>
  <c r="L6" i="5"/>
  <c r="L11" i="5"/>
  <c r="E2" i="5"/>
  <c r="L14" i="5"/>
  <c r="L24" i="5" l="1"/>
</calcChain>
</file>

<file path=xl/sharedStrings.xml><?xml version="1.0" encoding="utf-8"?>
<sst xmlns="http://schemas.openxmlformats.org/spreadsheetml/2006/main" count="796" uniqueCount="440">
  <si>
    <t>SKU</t>
  </si>
  <si>
    <t>NOME</t>
  </si>
  <si>
    <t>EMAIL</t>
  </si>
  <si>
    <t>CIDADE</t>
  </si>
  <si>
    <t>PRIMEIRA COMPRA</t>
  </si>
  <si>
    <t>ULTIMA COMPRA</t>
  </si>
  <si>
    <t>CAMPINAS</t>
  </si>
  <si>
    <t>ITAPETININGA</t>
  </si>
  <si>
    <t>CENTRO DE ANAL.CLIN. UNILAB  SC LTDA.</t>
  </si>
  <si>
    <t>PRESIDENTE PRUDENTE</t>
  </si>
  <si>
    <t>EXAME-LABORAT. DE ANAL. CLIN. CITODIAGNOSTICO S/S LTDA</t>
  </si>
  <si>
    <t>GUARANESIA</t>
  </si>
  <si>
    <t>LABORATORIO DE ANALISES CLINICAS SRC LTDA</t>
  </si>
  <si>
    <t>CATANDUVA</t>
  </si>
  <si>
    <t>LAB SAO LUCAS</t>
  </si>
  <si>
    <t>TECNOLAB PATOLOGIA CLINICA S/C LTDA</t>
  </si>
  <si>
    <t>BAURU</t>
  </si>
  <si>
    <t>CLINILAB LABORAT. ANAL. CLIN SC LTDA</t>
  </si>
  <si>
    <t>IBITINGA</t>
  </si>
  <si>
    <t>POMPEIA</t>
  </si>
  <si>
    <t>TUPA</t>
  </si>
  <si>
    <t>SAO ROQUE MEDICINA DIAGNOSTICA LTDA EPP</t>
  </si>
  <si>
    <t>SAO JOSE DO RIO PRETO</t>
  </si>
  <si>
    <t>VOTUPORANGA</t>
  </si>
  <si>
    <t>ANDRADINA</t>
  </si>
  <si>
    <t>ARACATUBA</t>
  </si>
  <si>
    <t>EXAME CENTRO DIAG.M.ARACATUBA SC LTDA.</t>
  </si>
  <si>
    <t>STA. CASA MISERICORDIA DE ARACATUBA</t>
  </si>
  <si>
    <t>BIRIGUI</t>
  </si>
  <si>
    <t>AMERICO BRASILIENSE</t>
  </si>
  <si>
    <t>MEDCLINICA MORATENSE SC LTDA ME</t>
  </si>
  <si>
    <t>FRANCISCO MORATO</t>
  </si>
  <si>
    <t>ARARAQUARA</t>
  </si>
  <si>
    <t>SAO PAULO</t>
  </si>
  <si>
    <t>FUNDACAO DE DESENVOLVIMENTO DA PESQUISA</t>
  </si>
  <si>
    <t>BELO HORIZONTE</t>
  </si>
  <si>
    <t>MARILIA</t>
  </si>
  <si>
    <t>NOVO HORIZONTE</t>
  </si>
  <si>
    <t>A.C. BARBOSA S/C LTDA.</t>
  </si>
  <si>
    <t>PAULO DE FARIA</t>
  </si>
  <si>
    <t>SAO CARLOS</t>
  </si>
  <si>
    <t>LAB. ANAL. CLIN. COFFERS S/C LTDA</t>
  </si>
  <si>
    <t>OURO FINO</t>
  </si>
  <si>
    <t>MOCOCA</t>
  </si>
  <si>
    <t>ASSOCIACAO SANTA CASA SAUDE DE ARACATUBA</t>
  </si>
  <si>
    <t>ARARAS</t>
  </si>
  <si>
    <t>LABORATORIO DE ANALISES CLINICAS VIDA BIRIGUI LTDA</t>
  </si>
  <si>
    <t>SANTA RITA DO PASSA QUATRO</t>
  </si>
  <si>
    <t>BEBEDOURO</t>
  </si>
  <si>
    <t>LINS</t>
  </si>
  <si>
    <t>INDAIATUBA</t>
  </si>
  <si>
    <t>ASSOCIACAO EDUCACIONAL DE ENSINO SUPERIOR</t>
  </si>
  <si>
    <t>SIM</t>
  </si>
  <si>
    <t>"Sentimos sua falta!"</t>
  </si>
  <si>
    <t>NÃO</t>
  </si>
  <si>
    <t>META</t>
  </si>
  <si>
    <t>149 CLIENTES 19/11/2024</t>
  </si>
  <si>
    <t>CLIENTE</t>
  </si>
  <si>
    <t>ENVIO</t>
  </si>
  <si>
    <t>PEDIDO INSUMOS</t>
  </si>
  <si>
    <t>VALOR INSUMOS</t>
  </si>
  <si>
    <t>VALOR EQUIPAMENTO</t>
  </si>
  <si>
    <t>LOCAÇÃO</t>
  </si>
  <si>
    <t>DATA</t>
  </si>
  <si>
    <t>RESPONSÁVEL</t>
  </si>
  <si>
    <t>HORA</t>
  </si>
  <si>
    <t>ATENDEU</t>
  </si>
  <si>
    <t>OBSERVAÇÃO</t>
  </si>
  <si>
    <t>VISITA</t>
  </si>
  <si>
    <t>MOTIVO</t>
  </si>
  <si>
    <t xml:space="preserve">EMAIL </t>
  </si>
  <si>
    <t>Estamos há prontos para renovar nossa parceria! Volte a comprar conosco e descubra ofertas exclusivas pensadas para você.</t>
  </si>
  <si>
    <t>INAT(DIAS)</t>
  </si>
  <si>
    <t>Total Geral</t>
  </si>
  <si>
    <t>Soma de VALOR INSUMOS</t>
  </si>
  <si>
    <t>META MENSAL</t>
  </si>
  <si>
    <t>VENDAS ISUMOS</t>
  </si>
  <si>
    <t>Soma de VALOR EQUIPAMENTO</t>
  </si>
  <si>
    <t>VENDAS EQUIPAMENTOS</t>
  </si>
  <si>
    <t>META ANUAL</t>
  </si>
  <si>
    <t>VENDAS TOTAIS</t>
  </si>
  <si>
    <t>PEDIDOS INSUMOS</t>
  </si>
  <si>
    <t>PEDIDOS EQUIPAMENTOS</t>
  </si>
  <si>
    <t>Contagem de PEDIDO INSUMOS</t>
  </si>
  <si>
    <t>Contagem de PEDIDO EQUIPAMENTO</t>
  </si>
  <si>
    <t>VALORES INSUMOS</t>
  </si>
  <si>
    <t>VALORES EQUIPAMENTOS</t>
  </si>
  <si>
    <t>TOP 20 CLIENTES</t>
  </si>
  <si>
    <t>% VENDA</t>
  </si>
  <si>
    <t>SEGMENTO</t>
  </si>
  <si>
    <t>FARMACIA</t>
  </si>
  <si>
    <t>INDUSTRIA</t>
  </si>
  <si>
    <t>VETERINARIA</t>
  </si>
  <si>
    <t>LABORATORIO</t>
  </si>
  <si>
    <t>HOSPITAL</t>
  </si>
  <si>
    <t>FACULDADE</t>
  </si>
  <si>
    <t>REVENDA</t>
  </si>
  <si>
    <t>administrativo@laboratorioguimaraes.com</t>
  </si>
  <si>
    <t>DIADEMA</t>
  </si>
  <si>
    <t>Dra Rosely</t>
  </si>
  <si>
    <t>SAO ROQUE MEDICINA DIAGNOSTICA LTDA</t>
  </si>
  <si>
    <t>UBERABA</t>
  </si>
  <si>
    <t>ASSOCIACAO BENEFICIENTE NOSSA SENHORA DE NAZARE</t>
  </si>
  <si>
    <t>SOCIEDADE EDUCACIONAL UBERABENSE</t>
  </si>
  <si>
    <t>BIOLABOR LAB. ANAL. CLIN. SC LTDA.</t>
  </si>
  <si>
    <t>LABORATORIOS DOCTOR</t>
  </si>
  <si>
    <t>EASYMED SERVICOS MEDICOS LTDA</t>
  </si>
  <si>
    <t>LABORATORIO SAO ROQUE LTDA</t>
  </si>
  <si>
    <t>&amp;CO. INDUSTRIA E COMERCIO DE COSMETICOS LTDA</t>
  </si>
  <si>
    <t>LEME</t>
  </si>
  <si>
    <t>Industria</t>
  </si>
  <si>
    <t>Laboratorio</t>
  </si>
  <si>
    <t>A3Q LABORATORIOS LTDA</t>
  </si>
  <si>
    <t>CASCAVEL</t>
  </si>
  <si>
    <t>ABERTTA SAUDE - ASSOCIACAO BENEFICENTE DOS EMPREGADOS DA ARCELORMITTAL NO BRASIL</t>
  </si>
  <si>
    <t>Hospital</t>
  </si>
  <si>
    <t>ADORA PET CENTRO VETERINARIO LTDA</t>
  </si>
  <si>
    <t>Veterinário</t>
  </si>
  <si>
    <t>ALERGOCLINICA CENTRO DE ALERGIA E DERMATOLOGIA LTDA</t>
  </si>
  <si>
    <t>ALESSANDRO DA SILVA PEREIRA</t>
  </si>
  <si>
    <t>PIRAPETINGA</t>
  </si>
  <si>
    <t>ANDERSON BARROSO FAVACHO LABORATORIO ME</t>
  </si>
  <si>
    <t>ANDO X ANDO S/C LTDA.</t>
  </si>
  <si>
    <t>SAO JOSE DO RIO PARDO</t>
  </si>
  <si>
    <t>AQUA RIO AQUARIO MARINHO DO RIO DE JANEIRO S A</t>
  </si>
  <si>
    <t>RIO DE JANEIRO</t>
  </si>
  <si>
    <t>ARACA PROLAB PRODUTOS PARA LABORATORIOS EIRELI</t>
  </si>
  <si>
    <t>Revenda</t>
  </si>
  <si>
    <t>ARBUZ QUIMICA LTDA</t>
  </si>
  <si>
    <t>ASS.CARIDADE DA SANTA CASA MISERIC.DE ASSIS</t>
  </si>
  <si>
    <t>ASSIS</t>
  </si>
  <si>
    <t>ASSOC. L. S. FRANC. DE A. NA P. DE DEUS</t>
  </si>
  <si>
    <t>ASSOCIACAO BENEFICENTE SAMARITANO</t>
  </si>
  <si>
    <t>ASSOCIACAO CLINICA VETERINARIA UNAR ARARAS</t>
  </si>
  <si>
    <t>BENSAUDE PLANO DE ASSISTENCIA MEDICA HOSPITALAR LTDA</t>
  </si>
  <si>
    <t>BESSER VET CLINICA VETERINARIA LTDA</t>
  </si>
  <si>
    <t>JUNDIAI</t>
  </si>
  <si>
    <t>BIOCLIN ANALISES CLINICAS MIRASSOL LTDA</t>
  </si>
  <si>
    <t>MIRASSOL</t>
  </si>
  <si>
    <t>BIOLABOR - LABORATORIO DE ANALISES CLINICAS LTDA.</t>
  </si>
  <si>
    <t>CRICIUMA</t>
  </si>
  <si>
    <t>BIOLABOR LABORAT ANAL CLIN LTDA</t>
  </si>
  <si>
    <t>SANTA BARBARA D OESTE</t>
  </si>
  <si>
    <t>BISACCHI FENIX COMERCIAL EIRELI</t>
  </si>
  <si>
    <t>SANTANA DE PARNAIBA</t>
  </si>
  <si>
    <t>BORTOLUCI &amp; ASSOLINE ANALISES CLINICAS LTDA ME</t>
  </si>
  <si>
    <t>BRUNA ROCHA PASSOS BARBOSA</t>
  </si>
  <si>
    <t>CASA DE CARIDADE DE OURO FINO</t>
  </si>
  <si>
    <t>CASA DE NOSSA SENHORA DA PAZ ASF</t>
  </si>
  <si>
    <t>BRAGANCA PAULISTA</t>
  </si>
  <si>
    <t>CDAC CENTRO DIAGNOSTICO DE ANALISES CLINICAS LTDA</t>
  </si>
  <si>
    <t>NOVA GRANADA</t>
  </si>
  <si>
    <t>CENTRO DE ESTUDOS E PESQUISAS DR. JOAO AMORIM-HOSP. MUN. BOI MIRIM</t>
  </si>
  <si>
    <t>CENTRO DE HEMATOLOGIA E HEMOTERAPIA E TERAPIA CELULAR LTDA</t>
  </si>
  <si>
    <t>CENTRO DIAG. ANEMIAS S/C LTDA</t>
  </si>
  <si>
    <t>CENTRO VETERINARIO JUSTOLIN LTDA</t>
  </si>
  <si>
    <t>PIRACICABA</t>
  </si>
  <si>
    <t>CENTROLAB  LABORATORIO ANAL. CLIN. SC LTDA</t>
  </si>
  <si>
    <t>CLAUDIA HERRERA TAMBELI</t>
  </si>
  <si>
    <t>CLINICA MED MAIS LTDA</t>
  </si>
  <si>
    <t>SALINAS</t>
  </si>
  <si>
    <t>CLINICA MEDICA E ODONTOLOGICA SJRP LTDA</t>
  </si>
  <si>
    <t>CLINICA NASCER SERVICOS MEDICOS - LTDA</t>
  </si>
  <si>
    <t>DELNER JULIANO DOS SANTOS XAVIER</t>
  </si>
  <si>
    <t>SOROCABA</t>
  </si>
  <si>
    <t>DUAL VET CLINICA VETERINARIA LTDA</t>
  </si>
  <si>
    <t>CARAGUATATUBA</t>
  </si>
  <si>
    <t>E BRAGA LABORATORIO CLINICO LTDA</t>
  </si>
  <si>
    <t>EDNAIDE DA COSTA MARCONDES LABORAT. ME</t>
  </si>
  <si>
    <t>FARTURA</t>
  </si>
  <si>
    <t>EIMAR TINTI JUNIOR LTDA</t>
  </si>
  <si>
    <t>EXAME MEDICINA DIAGNOSTICA LTDA</t>
  </si>
  <si>
    <t>LUIS EDUARDO MAGALHAES</t>
  </si>
  <si>
    <t>EXR ANALISES CLINICAS LTDA</t>
  </si>
  <si>
    <t>F &amp; N CENTRO DIAG E PATOLOGIA CLINICA VETERINARIA LTDA</t>
  </si>
  <si>
    <t>F. B. GOMES VETERINARIA LTDA</t>
  </si>
  <si>
    <t>FRANCISCO MATEUS PINEDA GARCIA</t>
  </si>
  <si>
    <t>FRANCO &amp; ALASKA CLINICA VETERINARIA LTDA</t>
  </si>
  <si>
    <t>FUND PARA O DESENV DA CIÊNCIA, TEC E INOV DO ESTADO DO R G NORTE FUNCITERN</t>
  </si>
  <si>
    <t>MOSSORO</t>
  </si>
  <si>
    <t>FUNDAÇAO DA UFPR PARA O DCTC</t>
  </si>
  <si>
    <t>CURITIBA</t>
  </si>
  <si>
    <t>Faculdade</t>
  </si>
  <si>
    <t>FUNDACAO DR. JAYME RODRIGUES</t>
  </si>
  <si>
    <t>FUNDACAO FACULDADE DE MEDICINA</t>
  </si>
  <si>
    <t>FUNDACAO FACULDADE MEDICINA/ICESP</t>
  </si>
  <si>
    <t>FUNDACAO FELICE ROSSO</t>
  </si>
  <si>
    <t>FUNDACAO HOSPITALAR DR. MOISES MAGALHAES FREIRE</t>
  </si>
  <si>
    <t>PIRAPORA</t>
  </si>
  <si>
    <t>FUNDACAO HOSPITALAR NOSSA SENHORA DE LOURDES</t>
  </si>
  <si>
    <t>NOVA LIMA</t>
  </si>
  <si>
    <t>FUNDACAO P/ DES.MEDICO E HOSP. MATERNIDADE STA ISABEL</t>
  </si>
  <si>
    <t>FUNDACAO PARA O DESENVOLVIMENTO M E HOSP AMB. ESP TUPA</t>
  </si>
  <si>
    <t>FUNDACAO UNIVERSIDADE DO CONTESTADO - FUNC</t>
  </si>
  <si>
    <t>CONCORDIA</t>
  </si>
  <si>
    <t>GABRIELA MONTILHA GASPARETI</t>
  </si>
  <si>
    <t>SAO JOSE DOS CAMPOS</t>
  </si>
  <si>
    <t>GENESIS DIAGNOSTICA &amp; CIENTIFICA LTDA ME</t>
  </si>
  <si>
    <t>GILIANA VALEZI MANTOVANELI</t>
  </si>
  <si>
    <t>DRACENA</t>
  </si>
  <si>
    <t>HELLEN CRISTINA SOUTO LTDA</t>
  </si>
  <si>
    <t>HOSPITAL E MATERNIDADE SANTA TEREZA</t>
  </si>
  <si>
    <t>HOSPITAL LEONARDO DA VINCI LTDA</t>
  </si>
  <si>
    <t>ATIBAIA</t>
  </si>
  <si>
    <t>HOSPITAL PE JULIO MARIA</t>
  </si>
  <si>
    <t>MANHUMIRIM</t>
  </si>
  <si>
    <t>HOSPITAL REGIONAL DO SUL DE MINAS</t>
  </si>
  <si>
    <t>VARGINHA</t>
  </si>
  <si>
    <t>HOSPITAL SANTA IGNES LTDA</t>
  </si>
  <si>
    <t>SUMARE</t>
  </si>
  <si>
    <t>HOSPITAL SAO FRANCISCO SC LTDA</t>
  </si>
  <si>
    <t>COTIA</t>
  </si>
  <si>
    <t>I.S.B.J.P DA STA CASA DE MISER. DE BRAG. PAULISTA</t>
  </si>
  <si>
    <t>IMLAB VETERINARIA LTDA</t>
  </si>
  <si>
    <t>CERQUEIRA CESAR</t>
  </si>
  <si>
    <t>INSTITUTO DE RESPONSABILIDADE SOCIAL SIRIO LIBANES</t>
  </si>
  <si>
    <t>BARUERI</t>
  </si>
  <si>
    <t>INSTITUTO NACIONAL DE DESENVOLVIMENTO SOCIAL E HUMANO INDSH</t>
  </si>
  <si>
    <t>PONTA GROSSA</t>
  </si>
  <si>
    <t>IRMAND.DA SANTA CASA DE MISERICORDIA DE TAMBAU</t>
  </si>
  <si>
    <t>TAMBAU</t>
  </si>
  <si>
    <t>IRMANDADE BOITUVA DE SAUDE E EDUCACAO</t>
  </si>
  <si>
    <t>POA</t>
  </si>
  <si>
    <t>IRMANDADE DA SANTA CASA DE ANDRADINA</t>
  </si>
  <si>
    <t>IRMANDADE DO HOSPITAL DE NOSSA SENHORA DAS DORES</t>
  </si>
  <si>
    <t>PONTE NOVA</t>
  </si>
  <si>
    <t>IRMANDADE SANTA CASA DE MISER. DE LIMEIRA</t>
  </si>
  <si>
    <t>LIMEIRA</t>
  </si>
  <si>
    <t>IRMANDADE SANTA CASA DE MISERICORDIA DE MOCOCA</t>
  </si>
  <si>
    <t>IRMANDADE SANTA CASA MISERICORDIA DE GUARIBA</t>
  </si>
  <si>
    <t>GUARIBA</t>
  </si>
  <si>
    <t>IRMANDADE SAO JOSE DE NOVO HORIZONTE</t>
  </si>
  <si>
    <t>ISALAB LABORATORIO DE  ANALISES CLINICAS SIMPLES LTDA</t>
  </si>
  <si>
    <t>ILHA SOLTEIRA</t>
  </si>
  <si>
    <t>IVANEIDA F.DOS SANTOS &amp; MARIA AUREA SOARES CHIMENTAO</t>
  </si>
  <si>
    <t>DIVINOLANDIA</t>
  </si>
  <si>
    <t>J. L. SAUDE - ASSISTENCIA MEDICA LTDA</t>
  </si>
  <si>
    <t>OURINHOS</t>
  </si>
  <si>
    <t>JOAO PAULO DE MARTIN</t>
  </si>
  <si>
    <t>BORBOREMA</t>
  </si>
  <si>
    <t>JORGE EIMORI</t>
  </si>
  <si>
    <t>JOSE RICARDO SOLFA LTDA</t>
  </si>
  <si>
    <t>SUD MENNUCCI</t>
  </si>
  <si>
    <t>JULIO SCHARFSTEIN</t>
  </si>
  <si>
    <t>KATIA A. PELVINE DE MORAES</t>
  </si>
  <si>
    <t>KENKO INDUSTRIA, COMERCIO E SERVICOS LTDA</t>
  </si>
  <si>
    <t>CAMPO MOURAO</t>
  </si>
  <si>
    <t>LAB LAMINA ANALISES CLINICAS LTDA</t>
  </si>
  <si>
    <t>POUSO ALEGRE</t>
  </si>
  <si>
    <t>LAB. ANAL. CLIN. MARACA GUAIRA LTDA</t>
  </si>
  <si>
    <t>GUAIRA</t>
  </si>
  <si>
    <t>LAB. ANAL. CLIN. PAULISTA</t>
  </si>
  <si>
    <t>LAB. ANAL. CLIN. SAO JORGE SC  LTDA.</t>
  </si>
  <si>
    <t>BARIRI</t>
  </si>
  <si>
    <t>LAB. ANALISES CLINICA CABO VERDE LTDA</t>
  </si>
  <si>
    <t>CABO VERDE</t>
  </si>
  <si>
    <t>LAB. DR. SHOITI MITSUUSHI S/C LTDA</t>
  </si>
  <si>
    <t>LAB. MANOEL DIAS LTDA</t>
  </si>
  <si>
    <t>PATOS DE MINAS</t>
  </si>
  <si>
    <t>LAB. SALBEGO ANAL. CLIN.</t>
  </si>
  <si>
    <t>LAB.DR RAUF EID ANAL.CLINICAS SS LTDA</t>
  </si>
  <si>
    <t>LAB.SAO FRANCISCO SC LTDA</t>
  </si>
  <si>
    <t>AURIFLAMA</t>
  </si>
  <si>
    <t>LABCLIN LAB. ANAL. CLIN. SC LTDA</t>
  </si>
  <si>
    <t>LABOR QUALY LTDA</t>
  </si>
  <si>
    <t>RIO CLARO</t>
  </si>
  <si>
    <t>LABORACELL LABORATORIO VETERINARIO LTDA</t>
  </si>
  <si>
    <t>LABORANALISE VOTUPORANGA SC LTDA.</t>
  </si>
  <si>
    <t>LABORATORIO ANAL CLIN SANTANA LTDA</t>
  </si>
  <si>
    <t>LABORATORIO DE ANALISES CLINICAS ADOLFO LTDA ME</t>
  </si>
  <si>
    <t>ADOLFO</t>
  </si>
  <si>
    <t>LABORATORIO DE ANALISES CLINICAS BARUK LTDA</t>
  </si>
  <si>
    <t>UBATUBA</t>
  </si>
  <si>
    <t>LABORATORIO DE ANALISES CLINICAS CLINAC LTDA</t>
  </si>
  <si>
    <t>JAU</t>
  </si>
  <si>
    <t>LABORATORIO DE ANALISES CLINICAS CMB LTDA</t>
  </si>
  <si>
    <t>CAMBORIU</t>
  </si>
  <si>
    <t>LABORATORIO DE ANALISES CLINICAS QUIEZIE &amp; QUIEZIE LTDA-EPP</t>
  </si>
  <si>
    <t>LABORATORIO DE ANALISES CLINICAS UNILAB DE POMPEIA LTDA</t>
  </si>
  <si>
    <t>LABORATORIO HEMOPACLI  SC LTDA</t>
  </si>
  <si>
    <t>PIRANGI</t>
  </si>
  <si>
    <t>LABORATORIO MEDICO ESPECIALIZADO LTDA</t>
  </si>
  <si>
    <t>LABORATORIO MONTE SINAI LTDA</t>
  </si>
  <si>
    <t>JUIZ DE FORA</t>
  </si>
  <si>
    <t>LABORATORIO SAO MARCOS DE ANALISES CLINICAS LTDA.</t>
  </si>
  <si>
    <t>LABORATORIO UNIVIDA LTDA</t>
  </si>
  <si>
    <t>GUANHAES</t>
  </si>
  <si>
    <t>LABORATORIOS BOTEGA LTDA</t>
  </si>
  <si>
    <t>JAGUARIUNA</t>
  </si>
  <si>
    <t>LABORPATAS LABORATORIO VETERINARIO LTDA</t>
  </si>
  <si>
    <t>LACAP LABORATORIO DE ANALISES CLINICAS LTDA</t>
  </si>
  <si>
    <t>POTIRENDABA</t>
  </si>
  <si>
    <t>LAFROIS LABORATORIO DE ANALISES CLINICAS LTDA</t>
  </si>
  <si>
    <t>SERRA AZUL</t>
  </si>
  <si>
    <t>LEAL NUCLEO MEDICO VETERINARIO LTDA</t>
  </si>
  <si>
    <t>LEMOS LABORATORIO DE ANALISES CLINICAS LTDA</t>
  </si>
  <si>
    <t>MACEDO E PEREZ LTDA</t>
  </si>
  <si>
    <t>LUCELIA</t>
  </si>
  <si>
    <t>MADILEINE F. AMERICO</t>
  </si>
  <si>
    <t>MARDEN MEDICAL LTDA</t>
  </si>
  <si>
    <t>MAYLA NAOMI OKADO SALATA</t>
  </si>
  <si>
    <t>MEDALFA PRODUTOS HOSPITALARES LTDA</t>
  </si>
  <si>
    <t xml:space="preserve">MEDICAL CENTER DIAGNOSE </t>
  </si>
  <si>
    <t>MMHP COMERCIO DE MEDICAMENTOS LTDA</t>
  </si>
  <si>
    <t>NATHIELI RENATA GALDINO</t>
  </si>
  <si>
    <t>PIUMHI</t>
  </si>
  <si>
    <t>NERY E REIS COMERCIO DE MEDICAMENTOS E MATERIAIS LTDA</t>
  </si>
  <si>
    <t>NEXUS SERVICOS VETERINARIOS LTDA</t>
  </si>
  <si>
    <t>ONCO STAR SP ONCOLOGIA LTDA</t>
  </si>
  <si>
    <t>ORDEMILK LTDA.</t>
  </si>
  <si>
    <t>SAO JOAO BATISTA DO GLORIA</t>
  </si>
  <si>
    <t>PATOLOGIA SOARES SC LTDA</t>
  </si>
  <si>
    <t>FRANCA</t>
  </si>
  <si>
    <t>PAULA MENDES LABORATORIO VETERINARIO LTDA</t>
  </si>
  <si>
    <t>PEGOLO CLINICA VETERINARIA LTDA</t>
  </si>
  <si>
    <t>PINDORAMA LABORATORIO DE ANALISES CLINICAS LTDA ME</t>
  </si>
  <si>
    <t>PINDORAMA</t>
  </si>
  <si>
    <t>PREFEITURA MUNICIPAL DE TAIACU</t>
  </si>
  <si>
    <t>TAIACU</t>
  </si>
  <si>
    <t>PRO ANALISES LAB DE HORMONIOS E ANALISES CLINICAS LTDA</t>
  </si>
  <si>
    <t>PASSOS</t>
  </si>
  <si>
    <t>PRO SAUDE ASSOC BENEFICENTE DE ASSISTENCIA SOCIAL E HOSP</t>
  </si>
  <si>
    <t>CORONEL FABRICIANO</t>
  </si>
  <si>
    <t>PRO SCIENCE SAUDE ANIMAL LTDA</t>
  </si>
  <si>
    <t>ITATIBA</t>
  </si>
  <si>
    <t>PRODLAC PRODS MEDICOS HOSPITALARES LTDA</t>
  </si>
  <si>
    <t>RECIPRCHOCAL ASSESSORIA EMPRESARIAL LTDA</t>
  </si>
  <si>
    <t>RENAN FERNANDO DALSOGLIO SEGATO</t>
  </si>
  <si>
    <t>BOITUVA</t>
  </si>
  <si>
    <t>RIO DE JANEIRO SEC MUNICIPAL DE SAUDE</t>
  </si>
  <si>
    <t>RODRIGO ACHOUR MARTINS ME</t>
  </si>
  <si>
    <t>GUAPIARA</t>
  </si>
  <si>
    <t>RODRIGO FERNANDO DUTRA - ME</t>
  </si>
  <si>
    <t>HORTOLANDIA</t>
  </si>
  <si>
    <t>SAMEDIL - SERVICOS DE ATENDIMENTO MEDICO S/A</t>
  </si>
  <si>
    <t>SERGIO MACHADO CAMARGO</t>
  </si>
  <si>
    <t>SOCIEDADE BENEFICIENTE DE CRAVINHOS</t>
  </si>
  <si>
    <t>CRAVINHOS</t>
  </si>
  <si>
    <t>SOCIEDADE BENEFICIENTE SAO CAMILO</t>
  </si>
  <si>
    <t>CAMPOS DO JORDAO</t>
  </si>
  <si>
    <t>SOUZA &amp; AMARO VETERINARIA LTDA.</t>
  </si>
  <si>
    <t>SPDM - ASSOCIAÇÃO PAULISATA PARA O DESENVOLVIMENTO DA MED</t>
  </si>
  <si>
    <t>SPDM - ASSOCIACAO PAULISTA PARA O DESENVOLVIMENTO DA MEDICINA</t>
  </si>
  <si>
    <t>SPDM ASS PAUL DESENV DA MED AMB MEDICO DE ESP MARIA ZÉLIA</t>
  </si>
  <si>
    <t>SPDM ASSOCIAÇÃO  PAULISTA P/ O DESENVOLVIMENTO DA MEDICINA</t>
  </si>
  <si>
    <t>SPDM ASSOCIACAO PAULISTA P/ O DESENV. DA MEDICINA</t>
  </si>
  <si>
    <t>TABOAO DA SERRA</t>
  </si>
  <si>
    <t>SPDM ASSOCIACAO PAULISTA P/DESENVOLVIMENTO DA MEDICINA</t>
  </si>
  <si>
    <t>SPDM ASSOCIACAO PAULISTA P/O DESENV. DA MED. AME IDOSO OESTE</t>
  </si>
  <si>
    <t>SPDM- ASSOCIAÇAO PAULISTA PARA O DESENV DA MEDICINA</t>
  </si>
  <si>
    <t>SPDM ASSOCIACAO PAULISTA PARA O DESENV. DA MED HOSP GERAL</t>
  </si>
  <si>
    <t>GUARULHOS</t>
  </si>
  <si>
    <t>SPDM ASSOCIACAO PAULISTA PARA O DESENV. DA MEDICINA</t>
  </si>
  <si>
    <t>SPDM ASSOCIACAO PAULISTA PARA O DESENVOLVIMENTO DA MEDICINA</t>
  </si>
  <si>
    <t>SPDM ASSOCIAÇÃO PAULISTA PARA O DESENVOLVIMENTO DA MEDICINA -AME IDOSO SUDESTE</t>
  </si>
  <si>
    <t>SPDM HOSPITAL PROFESSORA LYDIA STOROPOLLI</t>
  </si>
  <si>
    <t>SPDM-ASSOCIACAO PAULISTA P/ O DESENV. DA MEDICINA</t>
  </si>
  <si>
    <t>SPDM-ASSOCIAÇÃO PAULISTA P/ O DESENVOLVIMENTO DA MEDICINA</t>
  </si>
  <si>
    <t>SPDM-ASSOCIAÇÃO PAULISTA P/ O DESENVOLVIMENTO DA MEDICINA AME PQ DRA. JANDIRA MASUR</t>
  </si>
  <si>
    <t>STA. CASA MISERICORDIA DE AVARE</t>
  </si>
  <si>
    <t>AVARE</t>
  </si>
  <si>
    <t>STA. CASA MISERICORDIA DE SAO SEB. DO PARAISO</t>
  </si>
  <si>
    <t>SAO SEBASTIAO DO PARAISO</t>
  </si>
  <si>
    <t>CAFELANDIA</t>
  </si>
  <si>
    <t>TANYA CRISTINA RIBEIRO NOBREGA</t>
  </si>
  <si>
    <t>TCS - LABORATORIO DE PATOLOGIA CLINICA VETERINARIA LTDA</t>
  </si>
  <si>
    <t>TIMEH PRODUTOS HOSPITALARES LTDA</t>
  </si>
  <si>
    <t>UNIMED CURITIBA PARTICIPACOES S/A</t>
  </si>
  <si>
    <t>UNIMED DE BIRIGUI COOPERATIVA DO TRABALHO MEDICO</t>
  </si>
  <si>
    <t>UNIMED DE CACAPAVA COOPERATIVA DE TRABALHO MEDICO</t>
  </si>
  <si>
    <t>CACAPAVA</t>
  </si>
  <si>
    <t>UNIMED DE CATANDUVA COOPERATIVA DE TRABALHO MEDICO</t>
  </si>
  <si>
    <t>UNIMED DE PINDAMONHANGABA COOPERATIVA DE TRABALHO MEDICO</t>
  </si>
  <si>
    <t>PINDAMONHANGABA</t>
  </si>
  <si>
    <t>UNIMED DE PIRACICABA SOCIED.COOP.DE SERV.MEDICOS</t>
  </si>
  <si>
    <t>UNIMED SUL PAULISTA COOPERATIVA DE TRABALHO MEDICO</t>
  </si>
  <si>
    <t>UNIMED VALE DO ACO COOPERATIVA DE TRABALHO MEDICO</t>
  </si>
  <si>
    <t>UNIMED VARGINHA COOPERATIVA DE TRABALHO MEDICO</t>
  </si>
  <si>
    <t>VEROS HOSPITAL VETERINARIO LTDA.</t>
  </si>
  <si>
    <t>VITALABOR LABORATORIO DE ANALISES CLINICAS S/C LTDA</t>
  </si>
  <si>
    <t>ZABOTTO &amp; ZABOTTO LTDA</t>
  </si>
  <si>
    <t>FUNDO MUNICIPAL DE SAUDE DE PONTA GROSSA</t>
  </si>
  <si>
    <t>INSTITUTO NACIONAL DE DESENVOLVIMENTO SOCIAL E HUMANO - INDSH</t>
  </si>
  <si>
    <t>PINHAIS</t>
  </si>
  <si>
    <t>MARACAI</t>
  </si>
  <si>
    <t>LAB. ANAL. CLIN. RUDUEM JOSE SC LTDA.</t>
  </si>
  <si>
    <t>IGARAPAVA</t>
  </si>
  <si>
    <t>LAB. DE ANAL. CLIN. PENAPOLIS S/C LTDA.</t>
  </si>
  <si>
    <t>PENAPOLIS</t>
  </si>
  <si>
    <t>RAD LABORATORIO DE ANALISES CLINICAS LTDA</t>
  </si>
  <si>
    <t>SANTA CASA DE MISER DA IRSENHOR DOS PASSOS DE UBATUBA</t>
  </si>
  <si>
    <t>SUZANO</t>
  </si>
  <si>
    <t>SPDM ASSOCIAÇÃO PAULISTA P/ O DESENVOLVIMENTO DA MEDICINA- AME PQ DRA. JANDIRA MASUR</t>
  </si>
  <si>
    <t>SPDM-ASSOCIACAO PAULISTA PARA O DESENVOLVIMENTO DA MEDICINA</t>
  </si>
  <si>
    <t>PEDIDO EQUIPAMENTO2</t>
  </si>
  <si>
    <t>VANDERLEI SALVADOR BAGNATO</t>
  </si>
  <si>
    <t>SÃO CARLOS</t>
  </si>
  <si>
    <t>ASSOCIACAO HOSPITALAR BENEFICENTE DE PINHALZINHO</t>
  </si>
  <si>
    <t>PINHALZINHO</t>
  </si>
  <si>
    <t>FUNDACAO EDUCACIONAL LUCAS MACHADO FELUMA</t>
  </si>
  <si>
    <t>REAL E BENEMERITA ASSOCIACAO PORTUGUESA DE BENEFICENCIA</t>
  </si>
  <si>
    <t>SÃO PAULO</t>
  </si>
  <si>
    <t>CONGR. DAS FILHAS DE N. SRA.STELLA MARIS</t>
  </si>
  <si>
    <t>FUNDACAO DE ASSISTENCIA SOCIAL DE JANAUBA</t>
  </si>
  <si>
    <t>JANAUBA</t>
  </si>
  <si>
    <t>FUNDACAO SANTARRITENSE DE SAUDE E ASSISTENCIA SOCIAL</t>
  </si>
  <si>
    <t>SANTA RITA DO SAPUCAI</t>
  </si>
  <si>
    <t>IRMANDADE DA SANTA CASA DE MISERICORDIA DE PITANGUI</t>
  </si>
  <si>
    <t>PITANGUI</t>
  </si>
  <si>
    <t>LUIS PAULO FROELICH FERREIRA LTDA</t>
  </si>
  <si>
    <t>FUNDACAO DE ASSISTENCIA ESTUDO E PESQUISA DE UBERLANDIA</t>
  </si>
  <si>
    <t>JANAINA MARCHESI TORREZAN</t>
  </si>
  <si>
    <t>FUNDACAO DE ASSISTENCIA INTEGRAL A SAUDE - FAIS</t>
  </si>
  <si>
    <t>CASA DE SAUDE SANTA RITA S A</t>
  </si>
  <si>
    <t>FUNDACAO HOSPITAL SAO JOSE DE BOTELHOS</t>
  </si>
  <si>
    <t>BOTELHOS</t>
  </si>
  <si>
    <t>ELAB - EXAMES LABORATORIAIS LTDA</t>
  </si>
  <si>
    <t>RIBEIRA DO POMBAL</t>
  </si>
  <si>
    <t>CENTERLAB AMBIENTAL LABORATORIO DE ANALISE LTDA</t>
  </si>
  <si>
    <t>HOSPITAL E MATERNIDADE PRESIDENTE PRUDENTE LTDA</t>
  </si>
  <si>
    <t>MAFRA</t>
  </si>
  <si>
    <t>LAR DE MEIMEI</t>
  </si>
  <si>
    <t>CAMBUQUIRA</t>
  </si>
  <si>
    <t>FUNDACAO DE APOIO A PESQUISA</t>
  </si>
  <si>
    <t xml:space="preserve">GOIANIA </t>
  </si>
  <si>
    <t>LABORATORIO SILVA E TUISA LTDA</t>
  </si>
  <si>
    <t>CAMPINA VERDE</t>
  </si>
  <si>
    <t>HOSPITAL SANTA IGNES DE ITU LTDA</t>
  </si>
  <si>
    <t>ITU</t>
  </si>
  <si>
    <t>ASSOCIACAO EVANGELICA BENEFICENTE DE CAMPINAS</t>
  </si>
  <si>
    <t>CASA DE SAUDE DIVINO ESPIRITO SANTO S A</t>
  </si>
  <si>
    <t>CARATINGA</t>
  </si>
  <si>
    <t>MINISTERIO DA SAUDE</t>
  </si>
  <si>
    <t>INSTITUTO DE ENSINO E ASSISTENCIA SOCIAL</t>
  </si>
  <si>
    <t>VIDEIRA</t>
  </si>
  <si>
    <t>CRUZ AZUL DE SAO PAULO</t>
  </si>
  <si>
    <t>D MED MATERIAL MEDICO LABORATORIAL LTDA</t>
  </si>
  <si>
    <t>UNIVERSIDADE DE SAO PAULO</t>
  </si>
  <si>
    <t>SANTA CASA DE MISERICORDIA DE ITUVERAVA</t>
  </si>
  <si>
    <t>ITUVERAVA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</si>
</sst>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[$-F400]h:mm:ss\ AM/PM"/>
    <numFmt numFmtId="165" formatCode="&quot;R$&quot;\ #,##0.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indexed="8"/>
      <name val="Arial"/>
    </font>
    <font>
      <sz val="10"/>
      <color indexed="8"/>
      <name val="Arial"/>
    </font>
    <font>
      <sz val="11"/>
      <color indexed="8"/>
      <name val="Calibri"/>
      <family val="2"/>
    </font>
    <font>
      <sz val="11"/>
      <color indexed="8"/>
      <name val="Arial"/>
      <family val="2"/>
    </font>
    <font>
      <sz val="11"/>
      <color indexed="8"/>
      <name val="Arial"/>
    </font>
    <font>
      <u/>
      <sz val="11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164CC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5" fillId="0" borderId="0"/>
  </cellStyleXfs>
  <cellXfs count="77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4" fontId="0" fillId="0" borderId="0" xfId="0" applyNumberFormat="1"/>
    <xf numFmtId="164" fontId="0" fillId="0" borderId="0" xfId="0" applyNumberFormat="1"/>
    <xf numFmtId="44" fontId="0" fillId="0" borderId="0" xfId="2" applyFont="1"/>
    <xf numFmtId="44" fontId="0" fillId="0" borderId="0" xfId="0" applyNumberFormat="1"/>
    <xf numFmtId="0" fontId="0" fillId="0" borderId="1" xfId="0" applyBorder="1" applyAlignment="1">
      <alignment horizontal="center"/>
    </xf>
    <xf numFmtId="0" fontId="8" fillId="3" borderId="0" xfId="0" applyFont="1" applyFill="1"/>
    <xf numFmtId="165" fontId="8" fillId="3" borderId="0" xfId="0" applyNumberFormat="1" applyFont="1" applyFill="1"/>
    <xf numFmtId="14" fontId="8" fillId="3" borderId="0" xfId="0" applyNumberFormat="1" applyFont="1" applyFill="1"/>
    <xf numFmtId="0" fontId="0" fillId="0" borderId="1" xfId="0" applyBorder="1"/>
    <xf numFmtId="0" fontId="7" fillId="0" borderId="0" xfId="0" applyFont="1" applyAlignment="1">
      <alignment horizontal="left"/>
    </xf>
    <xf numFmtId="0" fontId="9" fillId="3" borderId="5" xfId="0" applyFont="1" applyFill="1" applyBorder="1"/>
    <xf numFmtId="0" fontId="9" fillId="3" borderId="8" xfId="0" applyFont="1" applyFill="1" applyBorder="1"/>
    <xf numFmtId="0" fontId="8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1" xfId="0" pivotButton="1" applyBorder="1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0" applyNumberFormat="1" applyBorder="1"/>
    <xf numFmtId="9" fontId="0" fillId="0" borderId="1" xfId="3" applyFont="1" applyBorder="1"/>
    <xf numFmtId="0" fontId="0" fillId="2" borderId="1" xfId="0" applyFill="1" applyBorder="1"/>
    <xf numFmtId="9" fontId="1" fillId="2" borderId="1" xfId="0" applyNumberFormat="1" applyFont="1" applyFill="1" applyBorder="1"/>
    <xf numFmtId="0" fontId="7" fillId="0" borderId="0" xfId="0" applyFont="1"/>
    <xf numFmtId="0" fontId="10" fillId="3" borderId="5" xfId="0" applyFont="1" applyFill="1" applyBorder="1" applyAlignment="1">
      <alignment horizontal="left"/>
    </xf>
    <xf numFmtId="0" fontId="10" fillId="3" borderId="8" xfId="0" applyFont="1" applyFill="1" applyBorder="1" applyAlignment="1">
      <alignment horizontal="left"/>
    </xf>
    <xf numFmtId="165" fontId="10" fillId="3" borderId="8" xfId="0" applyNumberFormat="1" applyFont="1" applyFill="1" applyBorder="1" applyAlignment="1">
      <alignment horizontal="left"/>
    </xf>
    <xf numFmtId="0" fontId="11" fillId="3" borderId="0" xfId="0" applyFont="1" applyFill="1"/>
    <xf numFmtId="14" fontId="10" fillId="3" borderId="8" xfId="0" applyNumberFormat="1" applyFont="1" applyFill="1" applyBorder="1" applyAlignment="1">
      <alignment horizontal="left"/>
    </xf>
    <xf numFmtId="0" fontId="10" fillId="3" borderId="4" xfId="0" applyFont="1" applyFill="1" applyBorder="1" applyAlignment="1">
      <alignment horizontal="left"/>
    </xf>
    <xf numFmtId="0" fontId="12" fillId="0" borderId="0" xfId="0" applyFont="1"/>
    <xf numFmtId="14" fontId="12" fillId="0" borderId="0" xfId="0" applyNumberFormat="1" applyFont="1"/>
    <xf numFmtId="0" fontId="0" fillId="0" borderId="0" xfId="0" applyAlignment="1">
      <alignment horizontal="right"/>
    </xf>
    <xf numFmtId="44" fontId="9" fillId="3" borderId="8" xfId="2" applyFont="1" applyFill="1" applyBorder="1"/>
    <xf numFmtId="0" fontId="9" fillId="3" borderId="8" xfId="0" applyFont="1" applyFill="1" applyBorder="1" applyAlignment="1">
      <alignment horizontal="right"/>
    </xf>
    <xf numFmtId="0" fontId="13" fillId="0" borderId="0" xfId="0" applyFont="1"/>
    <xf numFmtId="0" fontId="14" fillId="0" borderId="0" xfId="0" applyFont="1" applyAlignment="1">
      <alignment horizontal="left"/>
    </xf>
    <xf numFmtId="0" fontId="14" fillId="0" borderId="0" xfId="4" applyFont="1" applyAlignment="1">
      <alignment horizontal="left"/>
    </xf>
    <xf numFmtId="0" fontId="14" fillId="0" borderId="0" xfId="4" applyFont="1" applyAlignment="1">
      <alignment horizontal="center"/>
    </xf>
    <xf numFmtId="4" fontId="14" fillId="0" borderId="0" xfId="4" applyNumberFormat="1" applyFont="1" applyAlignment="1">
      <alignment horizontal="right"/>
    </xf>
    <xf numFmtId="14" fontId="16" fillId="0" borderId="0" xfId="4" applyNumberFormat="1" applyFont="1" applyAlignment="1">
      <alignment horizontal="left"/>
    </xf>
    <xf numFmtId="14" fontId="9" fillId="3" borderId="8" xfId="0" applyNumberFormat="1" applyFont="1" applyFill="1" applyBorder="1"/>
    <xf numFmtId="44" fontId="14" fillId="0" borderId="0" xfId="2" applyFont="1" applyAlignment="1">
      <alignment horizontal="right"/>
    </xf>
    <xf numFmtId="165" fontId="9" fillId="3" borderId="8" xfId="2" applyNumberFormat="1" applyFont="1" applyFill="1" applyBorder="1"/>
    <xf numFmtId="165" fontId="14" fillId="0" borderId="0" xfId="4" applyNumberFormat="1" applyFont="1" applyAlignment="1">
      <alignment horizontal="center"/>
    </xf>
    <xf numFmtId="165" fontId="0" fillId="0" borderId="0" xfId="2" applyNumberFormat="1" applyFont="1"/>
    <xf numFmtId="165" fontId="0" fillId="0" borderId="0" xfId="0" applyNumberFormat="1"/>
    <xf numFmtId="0" fontId="17" fillId="0" borderId="0" xfId="0" applyFont="1" applyAlignment="1">
      <alignment horizontal="left"/>
    </xf>
    <xf numFmtId="14" fontId="0" fillId="0" borderId="1" xfId="0" applyNumberFormat="1" applyBorder="1"/>
    <xf numFmtId="0" fontId="2" fillId="0" borderId="1" xfId="1" applyBorder="1"/>
    <xf numFmtId="0" fontId="0" fillId="0" borderId="6" xfId="0" applyBorder="1"/>
    <xf numFmtId="0" fontId="2" fillId="0" borderId="9" xfId="1" applyBorder="1"/>
    <xf numFmtId="0" fontId="0" fillId="0" borderId="2" xfId="0" applyBorder="1"/>
    <xf numFmtId="14" fontId="0" fillId="0" borderId="9" xfId="0" applyNumberFormat="1" applyBorder="1"/>
    <xf numFmtId="14" fontId="0" fillId="0" borderId="9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9" fontId="0" fillId="0" borderId="2" xfId="3" applyFont="1" applyBorder="1" applyAlignment="1">
      <alignment horizontal="center"/>
    </xf>
    <xf numFmtId="44" fontId="0" fillId="0" borderId="3" xfId="2" applyFont="1" applyBorder="1" applyAlignment="1">
      <alignment horizontal="center"/>
    </xf>
    <xf numFmtId="9" fontId="0" fillId="0" borderId="4" xfId="3" applyFont="1" applyBorder="1" applyAlignment="1">
      <alignment horizontal="center"/>
    </xf>
    <xf numFmtId="44" fontId="0" fillId="0" borderId="5" xfId="2" applyFont="1" applyBorder="1" applyAlignment="1">
      <alignment horizontal="center"/>
    </xf>
    <xf numFmtId="0" fontId="0" fillId="0" borderId="6" xfId="0" applyBorder="1" applyAlignment="1">
      <alignment horizontal="center"/>
    </xf>
    <xf numFmtId="44" fontId="0" fillId="0" borderId="7" xfId="2" applyFont="1" applyBorder="1" applyAlignment="1">
      <alignment horizontal="center"/>
    </xf>
    <xf numFmtId="44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0" fontId="18" fillId="0" borderId="3" xfId="0" applyFont="1" applyBorder="1" applyAlignment="1">
      <alignment horizontal="left"/>
    </xf>
    <xf numFmtId="0" fontId="18" fillId="0" borderId="9" xfId="0" applyFont="1" applyBorder="1" applyAlignment="1">
      <alignment horizontal="left"/>
    </xf>
    <xf numFmtId="0" fontId="19" fillId="0" borderId="9" xfId="1" applyFont="1" applyBorder="1" applyAlignment="1">
      <alignment horizontal="left"/>
    </xf>
    <xf numFmtId="14" fontId="0" fillId="0" borderId="9" xfId="0" applyNumberFormat="1" applyFont="1" applyBorder="1"/>
    <xf numFmtId="14" fontId="0" fillId="0" borderId="9" xfId="0" applyNumberFormat="1" applyFont="1" applyBorder="1" applyAlignment="1">
      <alignment horizontal="center"/>
    </xf>
    <xf numFmtId="0" fontId="2" fillId="0" borderId="9" xfId="1" applyFont="1" applyBorder="1"/>
    <xf numFmtId="0" fontId="0" fillId="0" borderId="2" xfId="0" applyFont="1" applyBorder="1"/>
  </cellXfs>
  <cellStyles count="5">
    <cellStyle name="Hiperlink" xfId="1" builtinId="8"/>
    <cellStyle name="Moeda" xfId="2" builtinId="4"/>
    <cellStyle name="Normal" xfId="0" builtinId="0"/>
    <cellStyle name="Normal 2" xfId="4" xr:uid="{77D8F841-7470-4095-95F7-87159C08C8BA}"/>
    <cellStyle name="Porcentagem" xfId="3" builtinId="5"/>
  </cellStyles>
  <dxfs count="53">
    <dxf>
      <font>
        <strike val="0"/>
        <outline val="0"/>
        <shadow val="0"/>
        <vertAlign val="baseline"/>
        <sz val="1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164CC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fgColor auto="1"/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left" relativeIndent="1"/>
    </dxf>
    <dxf>
      <alignment horizontal="left" relativeIndent="1"/>
    </dxf>
    <dxf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R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164CC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[$-F400]h:mm:ss\ AM/PM"/>
    </dxf>
    <dxf>
      <numFmt numFmtId="19" formatCode="dd/mm/yyyy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164CC"/>
        </patternFill>
      </fill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colors>
    <mruColors>
      <color rgb="FFFF7C80"/>
      <color rgb="FF00FFFF"/>
      <color rgb="FFFF5050"/>
      <color rgb="FFFF99FF"/>
      <color rgb="FFFF6699"/>
      <color rgb="FFFF66FF"/>
      <color rgb="FFEEF8E4"/>
      <color rgb="FF0164CC"/>
      <color rgb="FFFF3300"/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323850</xdr:colOff>
      <xdr:row>4</xdr:row>
      <xdr:rowOff>0</xdr:rowOff>
    </xdr:from>
    <xdr:to>
      <xdr:col>3</xdr:col>
      <xdr:colOff>514350</xdr:colOff>
      <xdr:row>17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eses (DATA)">
              <a:extLst>
                <a:ext uri="{FF2B5EF4-FFF2-40B4-BE49-F238E27FC236}">
                  <a16:creationId xmlns:a16="http://schemas.microsoft.com/office/drawing/2014/main" id="{16324B47-70FD-E1BD-F64D-4C0BA6829D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DATA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71750" y="7620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9525</xdr:colOff>
      <xdr:row>4</xdr:row>
      <xdr:rowOff>0</xdr:rowOff>
    </xdr:from>
    <xdr:to>
      <xdr:col>2</xdr:col>
      <xdr:colOff>200025</xdr:colOff>
      <xdr:row>17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nos (DATA)">
              <a:extLst>
                <a:ext uri="{FF2B5EF4-FFF2-40B4-BE49-F238E27FC236}">
                  <a16:creationId xmlns:a16="http://schemas.microsoft.com/office/drawing/2014/main" id="{7E054AD1-5B84-449E-D9B2-4809205EA4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s (DATA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9125" y="7620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476249</xdr:colOff>
      <xdr:row>11</xdr:row>
      <xdr:rowOff>11906</xdr:rowOff>
    </xdr:from>
    <xdr:to>
      <xdr:col>6</xdr:col>
      <xdr:colOff>138111</xdr:colOff>
      <xdr:row>31</xdr:row>
      <xdr:rowOff>130969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eses (DATA) 1">
              <a:extLst>
                <a:ext uri="{FF2B5EF4-FFF2-40B4-BE49-F238E27FC236}">
                  <a16:creationId xmlns:a16="http://schemas.microsoft.com/office/drawing/2014/main" id="{1D8D0CCB-44D1-45A8-9BA1-E34B422D46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DATA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12280" y="2297906"/>
              <a:ext cx="1828800" cy="39290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11905</xdr:colOff>
      <xdr:row>18</xdr:row>
      <xdr:rowOff>107156</xdr:rowOff>
    </xdr:from>
    <xdr:to>
      <xdr:col>2</xdr:col>
      <xdr:colOff>888205</xdr:colOff>
      <xdr:row>31</xdr:row>
      <xdr:rowOff>154781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nos (DATA) 1">
              <a:extLst>
                <a:ext uri="{FF2B5EF4-FFF2-40B4-BE49-F238E27FC236}">
                  <a16:creationId xmlns:a16="http://schemas.microsoft.com/office/drawing/2014/main" id="{DDD00881-94D8-4066-916F-2B8262862E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s (DATA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9124" y="3726656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IANA PINHEIRO" refreshedDate="46251.334269212966" createdVersion="8" refreshedVersion="8" minRefreshableVersion="3" recordCount="3574" xr:uid="{A282E0B8-4DC4-4B90-96D3-492EADBFCD22}">
  <cacheSource type="worksheet">
    <worksheetSource name="tVendas"/>
  </cacheSource>
  <cacheFields count="13">
    <cacheField name="W" numFmtId="0">
      <sharedItems containsBlank="1" containsMixedTypes="1" containsNumber="1" containsInteger="1" minValue="0" maxValue="501266"/>
    </cacheField>
    <cacheField name="NOME" numFmtId="0">
      <sharedItems containsMixedTypes="1" containsNumber="1" containsInteger="1" minValue="0" maxValue="0" count="168">
        <s v="CADASTRAR CLIENTE"/>
        <s v="JOAO JOSE SCHIAVUZZO ME"/>
        <s v="FUNDACAO PAULISTA DE TECNOLOGIA E EDUCACAO"/>
        <s v="LAB.ANAL.CLIN.BIOCLIN SC LTDA."/>
        <s v="UNILAB LABORATORIO ANALISES CLINICAS SANTA FE DO SUL LTDA"/>
        <s v="LAB. ANAL. CLIN. DR ARNALDO BUAINAIN SS LTDA"/>
        <s v="LAB ANAL CLINICAS SANTA RITA S/C LTDA"/>
        <s v="LABSC SERVICOS LABORATORIAIS LTDA"/>
        <s v="LAB.TRIANON DE ANAL.CLIN.SC LTDA."/>
        <s v="LABORATORIO VIDA  S/S LTDA"/>
        <s v="CBI ANALISES CLINICAS S/S LTDA"/>
        <s v="TECNOLAB PATOLOGIA CLINICA S/C LTDA"/>
        <s v="UNIMED DE TUPA COOPERATIVA DE TRABALHO MEDICO"/>
        <s v="LAB.ANAL.CLIN. ALBERT SABIN SC LTDA."/>
        <s v="UNIPREV LAB DE ANALISES LOCACAO DE BENS E REPAROS LTDA EPP"/>
        <s v="BIOLIFE-LABORATORIO DE ANALISES CLINICAS LTDA"/>
        <s v="LAB ANAL CLIN VENDRAMINI S/S LTDA"/>
        <s v="SANCHES x SANCHES S/C LTDA"/>
        <s v="CENTRO DE DIAGNOSTICOS CONTROLE LTDA"/>
        <s v="SAO ROQUE MEDICINA DIAGNOSTICA LTDA EPP"/>
        <s v="SAO ROQUE MEDICINA DIAGNOSTICA"/>
        <s v="CEDIMA  CENTRO DE DIAG MONTE AZUL ANAL CLIN E CIT"/>
        <s v="LABORATORIO SAMIA LTDA"/>
        <s v="LABORATORIO DE ANALISES CLINICAS SRC LTDA"/>
        <s v="EXAME CENTRO DIAG.M.ARACATUBA SC LTDA."/>
        <s v="MONICA VIEIRA DE CAMPOS REBELO-ME"/>
        <s v="LAB. ANAL. CLIN. POMPEIA"/>
        <s v="LABORATORIO ANAL. CLIN. DESCALVADO LTDA"/>
        <s v="LAB. MEDICO DR. MARICONDI S/C LTDA."/>
        <s v="LABORATORIO POPULAR LAB 7 LTDA"/>
        <s v="LUIS VALERIO FILHO-ME"/>
        <s v="VITALIS LAB.ANAL.CLIN.S/C LTDA"/>
        <s v="MASUDA &amp; MASUDA LABORATORIO CLINICO LTDA"/>
        <s v="LABORATORIO RIO NEGRO CENTER DE MARILIA  LTDA"/>
        <s v="IRMANDADE DA SANTA CASA DE MISERIC. DE MOGI MIRIM"/>
        <s v="LABORATORIO SAO LUCAS DE BROTAS SS LTDA"/>
        <s v="BIO-LAB SAO JUDAS TADEU S/C LTDA - ME"/>
        <s v="ANDRIAO CANEPPA E SILVA LTDA ME"/>
        <s v="MURILO RIGOTTO TERRASSI"/>
        <s v="LAB SAO LUCAS"/>
        <s v="ALMEIDA &amp; FLAITT LABORATORIOS DE ANALISES CLINICAS LTDA"/>
        <s v="STA. CASA MISERICORDIA DE ARACATUBA"/>
        <s v="LAB. ANAL. CLIN. DRA SILVIA M.MANZATO LARANJO SC LTDA."/>
        <s v="LABORATORIO PASTEUR HEMATOLOGIA E MICROBIOLOGIA S/S LTDA"/>
        <s v="FUNDACAO EDUCACIONAL DE ANDRADINA-FEA"/>
        <s v="DR MUNHOZ HOSPITAL VETERINARIO E PET SHOP"/>
        <s v="CENTRO DE ANAL.CLIN. UNILAB  SC LTDA."/>
        <s v="LABORATORIO UNILABVET EIRELI"/>
        <s v="BIOMED LAB.ANAL.CLIN. SC  LTDA"/>
        <s v="LAB. ONUMA E BASILIO S/C LTDA"/>
        <s v="LABORATORIO BIOANALISE DIAGNOSTICO LTDA"/>
        <s v="LABORATORIO MULTIANALISES LTDA-ME"/>
        <s v="LABORATORIO JUNHO TEIXEIRA LTDA"/>
        <s v="LAB.ANAL.CLIN ABI JAUDI SC LTDA."/>
        <s v="LABORATORIO DE ANALISES CLINICAS SENTOME LTDA-ME"/>
        <s v="ASSOCIACAO DE ENSINO E CULTURA DE MATO GROSSO"/>
        <s v="IMEDI INST.MEDICO DE PAT.E DIAGNOSTICO SC LTDA."/>
        <s v="LAB.ANAL.CLIN. E REP. BADY BASSIT LTDA"/>
        <s v="LAB. ANAL. CLIN. SAO LOURENCO S/C LTDA"/>
        <s v="LQF LABORATORIO QUIMICO FARMACEUTICO RIO PRETO EIRELI - ME"/>
        <s v="C D A CENTRO DE DIAGNOSTICO VETERINARIO"/>
        <s v="LAB. SANTA CLARA ANAL.CLIN."/>
        <s v="IMUNOLAB LABORATORIO DE ANALISES CLINICAS LTDA ME"/>
        <s v="ROSSETTO E BARROS LABORATORIO DE ANALISES CLINICAS LTDA"/>
        <s v="NP- LABORATORIO DE ANALISES CLINICAS LTDA"/>
        <s v="LAB. ANAL. CLIN. DR. ALUISIO CASELLA"/>
        <s v="SAO LUCAS LABORATORIO ANAL. CLIN. S/C LTDA"/>
        <s v="SAO FRANCISCO ANAL. CLIN."/>
        <s v="cliente bia "/>
        <s v="LAB.SAO PAULO DE ANAL.CLIN.SC LTDA."/>
        <s v="HOSPITAL BENEFICENTE SAO JOSE"/>
        <s v="MEGARON LABORATORIO ANAL.CLIN.SC LTDA."/>
        <s v="LAB AN CLIN DR NESTOR FERRAREZZI FILHO  SC LTDA"/>
        <s v="SANTA CASA DE MISER. DE TAQUARITUBA"/>
        <s v="CLINILAB LABORAT. ANAL. CLIN SC LTDA"/>
        <s v="LABORLOPES LABORATORIO DE  ANALISES CLINICAS LTDA"/>
        <s v="ASSOC.CASA DE SAUDE BEN. DE INDIAPORA"/>
        <s v="DIAGNOSTIKA-UNIDADE DIAGNOSTICA EM PATOLOGIA CIRURGICA E CITOLOGIA LTDA"/>
        <s v="EDSON VANDERLEI CARRERA"/>
        <s v="CLINICA MEDICA E ODONTOLOGICA AMOR SAUDE TUPA LTDA"/>
        <s v="LAB. GUARARAPES  ANAL. CLIN. SC LTDA"/>
        <s v="A.C. BARBOSA S/C LTDA."/>
        <s v="ASSOCIACAO SANTA CASA SAUDE DE ARACATUBA"/>
        <s v="NOVO HORIZONTE LAB.ANAL.CLIN.S/C LTDA."/>
        <s v="SESTITO &amp; TORRES CLINICA MEDICA"/>
        <s v="LAB. ANAL. CLIN. DR. HELIO NAKABASHI SC LTDA"/>
        <s v="LAB-MED LAB.ANALISES CLINICAS"/>
        <s v="FUNDEPAG"/>
        <s v="MEDCLINICA MORATENSE SC LTDA ME"/>
        <s v="HOSPITAL REGIONAL DR VIVALDO MARTINS SIMOES"/>
        <s v="LAB.ANAL.CLIN.SAO MANUEL SC LTDA."/>
        <s v="ZANATA &amp; REIS LABORCLINICA LTDA"/>
        <s v="LABORATORIO BIONALISES S.S. LTDA"/>
        <s v="LABORATORIO DE ANALISES CLINICAS SAO JOSE LTDA"/>
        <s v="SAO ROQUE MEDICINA DIAGNOSTICA LTDA"/>
        <s v="LABORATORIO DE ANALISES CLINICAS ROSSETO &amp; BARROS LTDA"/>
        <s v="LABORATORIO DE ANALISES CLINICAS VIDA BIRIGUI LTDA"/>
        <s v="EXAME-LABORAT. DE ANAL. CLIN. CITODIAGNOSTICO S/S LTDA"/>
        <s v="LABORATI LAB. ANAL. CLIN. TIETE S/C LTDA."/>
        <s v="LAB.ANAL.CLIN.DE ITAPETININGA"/>
        <s v="RALO &amp; DORNELLES CLINICA VETERINARIA LTDA ME"/>
        <s v="LAB.ANAL.CLIN. SAO LUCAS SC LTDA."/>
        <s v="ASSOCIACAO EDUCACIONAL DE ENSINO SUPERIOR"/>
        <s v="LAB LIFE LABORATORIO DE ANALISES CLINICAS LTDA"/>
        <s v="CISCRE IMPORTACAO E DISTRIBUICAO DE PRODUTOS MEDICOS LTDA"/>
        <s v="ANIMALAB SS LTDA"/>
        <s v="CLINICAO ANDRADINA PET SHOP E CLINICA VETERINARIA LTDA"/>
        <s v="A.C. CORREA DE OLIVEIRA LABORATORIO CLÍNICO"/>
        <s v="ANSELMO EDUARDO BIANCO"/>
        <s v="SOLUTE MEDICAL GROUP BRAZIL LTDA"/>
        <s v="UNIMED DE IBITINGA COOPERATIVA DE TRABALHO MEDICO"/>
        <s v="CONSORCIO INTERMUNICIPAL DE SAUDE"/>
        <s v="DR BACCILI SERVICOS MEDICO HOSPITALARES S/S"/>
        <s v="INSTITUICAO DOM BOSCO DE ENSINO E CULTURA"/>
        <s v="LABORATORIO DE ANALISES CLINICAS VITAL  BRAZIL LTDA EPP"/>
        <s v="LAB. ANAL. CLIN. COFFERS S/C LTDA"/>
        <s v="LAB. MEDICO GUIMARAES"/>
        <s v="FUNDACAO DE DESENVOLVIMENTO DA PESQUISA"/>
        <s v="NOTRE DAME INTERMEDICA MINAS GERAIS SAUDE S.A"/>
        <s v="MICHELE LOPES BERGAMIM-ME"/>
        <s v="ROTOLI CLINICA VETERINARIA LTDA ME"/>
        <s v="INSTITUTO DE HEMATOLOGIA SC LTDA."/>
        <s v="ML NOSSA SENHORA APARECIDA SERVICOS ADMINISTRATIVOS LTDA"/>
        <s v="SANTA CASA DE CARIDADE DE GUARANESIA"/>
        <s v="MARCELO MAURICIO  DE SOUZA"/>
        <s v="LABORATORIO GUIMARAES LTDA"/>
        <s v="MS10 COMERCIAL DE VIDRARIAS PARA LABORATORIOS LTDA"/>
        <s v="PLACIDO COMERCIO DE MATERIAIS CIRURGICOS E HOSPITALARES EIRELI ME"/>
        <s v="OBERON CENTRO VETERINARIO LTDA"/>
        <s v="GREEN LIFE PET BRANDS LTDA"/>
        <s v="SOLUTION GESTAO PUBLICA"/>
        <s v="FUNDACAO DE APOIO INSTITUCIONAL MURAKI"/>
        <s v="SOCIEDADE EDUCACIONAL UBERABENSE"/>
        <s v="JAQUELINE MARTINS RUIZ LAB DE ANALISES CLINICAS"/>
        <s v="BIOLABOR LAB. ANAL. CLIN. SC LTDA."/>
        <s v="HEMOVA HEMOTERAPIA VETERINARIA AVANÇADA E DIAGNOSTICOS"/>
        <s v="ADONEX COMÉRCIO DE PRODUTOS PARA LABORATÓRIO LTDA"/>
        <s v="INSTITUTO SOCIAL HOSPITAL ALEMAO OSWALDO CRUZ"/>
        <s v="UNIMED AMPARO COOPERATIVA DE TRABALHO MEDICO"/>
        <s v="ASSOCIACAO BENEFICIENTE NOSSA SENHORA DE NAZARE"/>
        <s v="SCQ SOLUCOES LABORATORIAIS LTDA"/>
        <s v="IERT- INSTITUICOES DE ENSINO REUNIDAS TIETE LTDA"/>
        <s v="FUND.DESENV.DE CIENCIAS FARMACEUTICAS"/>
        <s v="VERONICA DE OLIVEIRA SALES PEREIRA"/>
        <s v="IRMANDADE DA STA.CASA MISERIC.SAO CARLOS"/>
        <s v="HOUPILLARD SERVICOS VETERINARIOS LTDA."/>
        <s v="GENNER FABRIS FLORENCIO OLIVO"/>
        <s v="cliente claudia"/>
        <s v="LABORATORIOS DOCTOR"/>
        <s v="CLIN KIDS SERVICOS MEDICOS S/A"/>
        <s v="SOLUCOES FARMA DISTRIBUIDORA E IMPORTADORA DE MEDICAMENTOS E PRODUTOS PARA SAUDE LTDA."/>
        <s v="HOSPITAL BDW SP LTDA"/>
        <s v="INOVA LABORATORIO DE ANALISES CLINICAS LTDA"/>
        <s v="LAB ANAL CLIN SAO JUDAS TADEU SC LTDA"/>
        <s v="BIOGESP - ASSOC DE GESTAO E EXECUCAO DE SERV PUBLICOS E SOCIAIS"/>
        <s v="EASYMED SERVICOS MEDICOS LTDA"/>
        <s v="DOCTOR PRIME CLINICA E DIAGNOSTICOS LTDA"/>
        <s v="LABORATORIO CORTES VILLELA LTDA"/>
        <s v="CIRÚRGICA PAULISTA COMERCIO PROD MED LTDA"/>
        <s v="CLIENTE CAROL"/>
        <s v="REDE D'OR SAO LUIZ S.A."/>
        <s v="BATISTA &amp; BATISTA ANALISES CLINICAS LTDA"/>
        <s v="LABORATORIO SAO ROQUE LTDA"/>
        <s v="SERRA MAYOR SERVICOS MEDICOS S/A"/>
        <s v="CAETANO FACCHINI DA VEIGA"/>
        <s v="LUIZ FRANCISCO ZAFALON"/>
        <s v="LABORATORIO DE ANALISES CLINICAS SRC FOZ DO IGUACU LTDA"/>
        <n v="0" u="1"/>
      </sharedItems>
    </cacheField>
    <cacheField name="ENVIO" numFmtId="0">
      <sharedItems containsBlank="1"/>
    </cacheField>
    <cacheField name="PEDIDO INSUMOS" numFmtId="0">
      <sharedItems containsBlank="1" containsMixedTypes="1" containsNumber="1" containsInteger="1" minValue="123" maxValue="89209101723"/>
    </cacheField>
    <cacheField name="VALOR INSUMOS" numFmtId="44">
      <sharedItems containsString="0" containsBlank="1" containsNumber="1" minValue="10.25" maxValue="32130.45"/>
    </cacheField>
    <cacheField name="PEDIDO EQUIPAMENTO" numFmtId="0">
      <sharedItems containsString="0" containsBlank="1" containsNumber="1" containsInteger="1" minValue="1" maxValue="80173"/>
    </cacheField>
    <cacheField name="VALOR EQUIPAMENTO" numFmtId="44">
      <sharedItems containsBlank="1" containsMixedTypes="1" containsNumber="1" minValue="0" maxValue="75000"/>
    </cacheField>
    <cacheField name="LOCAÇÃO" numFmtId="0">
      <sharedItems containsNonDate="0" containsString="0" containsBlank="1"/>
    </cacheField>
    <cacheField name="DATA" numFmtId="14">
      <sharedItems containsSemiMixedTypes="0" containsNonDate="0" containsDate="1" containsString="0" minDate="2002-07-30T00:00:00" maxDate="2029-06-30T00:00:00" count="588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  <d v="2024-04-02T00:00:00"/>
        <d v="2024-04-03T00:00:00"/>
        <d v="2024-04-04T00:00:00"/>
        <d v="2024-04-05T00:00:00"/>
        <d v="2024-04-08T00:00:00"/>
        <d v="2024-04-09T00:00:00"/>
        <d v="2024-04-10T00:00:00"/>
        <d v="2024-04-11T00:00:00"/>
        <d v="2024-04-12T00:00:00"/>
        <d v="2024-04-15T00:00:00"/>
        <d v="2024-04-16T00:00:00"/>
        <d v="2024-04-17T00:00:00"/>
        <d v="2024-04-18T00:00:00"/>
        <d v="2024-04-19T00:00:00"/>
        <d v="2024-04-22T00:00:00"/>
        <d v="2024-04-23T00:00:00"/>
        <d v="2024-04-24T00:00:00"/>
        <d v="2024-04-25T00:00:00"/>
        <d v="2024-04-26T00:00:00"/>
        <d v="2024-04-29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3T00:00:00"/>
        <d v="2024-05-14T00:00:00"/>
        <d v="2024-05-15T00:00:00"/>
        <d v="2024-05-16T00:00:00"/>
        <d v="2024-05-17T00:00:00"/>
        <d v="2024-05-20T00:00:00"/>
        <d v="2024-05-21T00:00:00"/>
        <d v="2024-05-23T00:00:00"/>
        <d v="2024-05-24T00:00:00"/>
        <d v="2024-05-27T00:00:00"/>
        <d v="2024-05-28T00:00:00"/>
        <d v="2024-05-29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19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7-02T00:00:00"/>
        <d v="2024-07-03T00:00:00"/>
        <d v="2024-07-04T00:00:00"/>
        <d v="2024-07-05T00:00:00"/>
        <d v="2024-07-08T00:00:00"/>
        <d v="2024-07-10T00:00:00"/>
        <d v="2024-07-11T00:00:00"/>
        <d v="2024-07-12T00:00:00"/>
        <d v="2024-07-15T00:00:00"/>
        <d v="2024-07-16T00:00:00"/>
        <d v="2024-07-17T00:00:00"/>
        <d v="2024-07-18T00:00:00"/>
        <d v="2024-07-19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2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6T00:00:00"/>
        <d v="2024-08-27T00:00:00"/>
        <d v="2024-08-28T00:00:00"/>
        <d v="2024-08-29T00:00:00"/>
        <d v="2024-08-30T00:00:00"/>
        <d v="2024-09-02T00:00:00"/>
        <d v="2024-09-03T00:00:00"/>
        <d v="2024-09-04T00:00:00"/>
        <d v="2024-09-05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2T00:00:00"/>
        <d v="2024-10-03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8T00:00:00"/>
        <d v="2024-11-19T00:00:00"/>
        <d v="2024-11-21T00:00:00"/>
        <d v="2024-11-22T00:00:00"/>
        <d v="2024-11-25T00:00:00"/>
        <d v="2024-11-26T00:00:00"/>
        <d v="2024-11-27T00:00:00"/>
        <d v="2024-11-28T00:00:00"/>
        <d v="2024-11-29T00:00:00"/>
        <d v="2024-12-02T00:00:00"/>
        <d v="2024-12-17T00:00:00"/>
        <d v="2024-12-18T00:00:00"/>
        <d v="2024-12-26T00:00:00"/>
        <d v="2024-12-27T00:00:00"/>
        <d v="2024-12-30T00:00:00"/>
        <d v="2025-01-02T00:00:00"/>
        <d v="2025-01-06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7T00:00:00"/>
        <d v="2025-01-20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5T00:00:00"/>
        <d v="2025-03-06T00:00:00"/>
        <d v="2025-03-07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3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23T00:00:00"/>
        <d v="2025-04-22T00:00:00"/>
        <d v="2025-04-24T00:00:00"/>
        <d v="2025-04-25T00:00:00"/>
        <d v="2025-04-28T00:00:00"/>
        <d v="2025-04-29T00:00:00"/>
        <d v="2025-04-30T00:00:00"/>
        <d v="2025-05-06T00:00:00"/>
        <d v="2025-05-05T00:00:00"/>
        <d v="2025-05-07T00:00:00"/>
        <d v="2025-05-09T00:00:00"/>
        <d v="2025-05-13T00:00:00"/>
        <d v="2025-05-08T00:00:00"/>
        <d v="2025-05-12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6T00:00:00"/>
        <d v="2025-05-27T00:00:00"/>
        <d v="2025-05-28T00:00:00"/>
        <d v="2025-05-29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20T00:00:00"/>
        <d v="2025-06-23T00:00:00"/>
        <d v="2025-06-24T00:00:00"/>
        <d v="2025-07-03T00:00:00"/>
        <d v="2025-07-04T00:00:00"/>
        <d v="2025-07-07T00:00:00"/>
        <d v="2025-07-08T00:00:00"/>
        <d v="2025-07-10T00:00:00"/>
        <d v="2025-07-11T00:00:00"/>
        <d v="2025-07-15T00:00:00"/>
        <d v="2025-07-14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4T00:00:00"/>
        <d v="2025-08-06T00:00:00"/>
        <d v="2025-08-05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8T00:00:00"/>
        <d v="2025-08-25T00:00:00"/>
        <d v="2025-08-19T00:00:00"/>
        <d v="2025-08-20T00:00:00"/>
        <d v="2025-08-22T00:00:00"/>
        <d v="2025-08-21T00:00:00"/>
        <d v="2025-08-26T00:00:00"/>
        <d v="2025-08-27T00:00:00"/>
        <d v="2025-08-28T00:00:00"/>
        <d v="2025-08-29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9T00:00:00"/>
        <d v="2025-09-30T00:00:00"/>
        <d v="2025-10-02T00:00:00"/>
        <d v="2025-10-03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20T00:00:00"/>
        <d v="2025-10-17T00:00:00"/>
        <d v="2025-10-21T00:00:00"/>
        <d v="2025-10-22T00:00:00"/>
        <d v="2025-10-23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10T00:00:00"/>
        <d v="2025-11-07T00:00:00"/>
        <d v="2025-11-11T00:00:00"/>
        <d v="2025-11-12T00:00:00"/>
        <d v="2025-11-13T00:00:00"/>
        <d v="2025-11-17T00:00:00"/>
        <d v="2025-11-18T00:00:00"/>
        <d v="2025-11-19T00:00:00"/>
        <d v="2025-11-21T00:00:00"/>
        <d v="2025-11-24T00:00:00"/>
        <d v="2025-11-26T00:00:00"/>
        <d v="2025-11-25T00:00:00"/>
        <d v="2025-11-27T00:00:00"/>
        <d v="2025-11-28T00:00:00"/>
        <d v="2025-12-02T00:00:00"/>
        <d v="2025-12-03T00:00:00"/>
        <d v="2025-12-04T00:00:00"/>
        <d v="2025-12-05T00:00:00"/>
        <d v="2025-12-08T00:00:00"/>
        <d v="2025-12-09T00:00:00"/>
        <d v="2025-12-10T00:00:00"/>
        <d v="2025-12-11T00:00:00"/>
        <d v="2025-12-12T00:00:00"/>
        <d v="2025-12-15T00:00:00"/>
        <d v="2025-12-16T00:00:00"/>
        <d v="2025-12-17T00:00:00"/>
        <d v="2025-12-18T00:00:00"/>
        <d v="2026-01-05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30T00:00:00"/>
        <d v="2026-01-15T00:00:00"/>
        <d v="2026-01-16T00:00:00"/>
        <d v="2026-01-19T00:00:00"/>
        <d v="2026-01-20T00:00:00"/>
        <d v="2026-01-21T00:00:00"/>
        <d v="2026-01-28T00:00:00"/>
        <d v="2026-01-22T00:00:00"/>
        <d v="2026-01-26T00:00:00"/>
        <d v="2026-01-23T00:00:00"/>
        <d v="2026-01-27T00:00:00"/>
        <d v="2026-01-29T00:00:00"/>
        <d v="2026-02-02T00:00:00"/>
        <d v="2026-02-03T00:00:00"/>
        <d v="2026-02-27T00:00:00"/>
        <d v="2026-02-16T00:00:00"/>
        <d v="2026-02-04T00:00:00"/>
        <d v="2026-02-05T00:00:00"/>
        <d v="2026-02-06T00:00:00"/>
        <d v="2026-02-09T00:00:00"/>
        <d v="2026-02-10T00:00:00"/>
        <d v="2026-02-11T00:00:00"/>
        <d v="2026-02-12T00:00:00"/>
        <d v="2026-02-13T00:00:00"/>
        <d v="2026-02-18T00:00:00"/>
        <d v="2026-02-19T00:00:00"/>
        <d v="2026-02-20T00:00:00"/>
        <d v="2026-02-23T00:00:00"/>
        <d v="2026-02-25T00:00:00"/>
        <d v="2026-02-24T00:00:00"/>
        <d v="2026-02-26T00:00:00"/>
        <d v="2026-03-02T00:00:00"/>
        <d v="2026-03-03T00:00:00"/>
        <d v="2026-03-04T00:00:00"/>
        <d v="2026-03-05T00:00:00"/>
        <d v="2026-03-09T00:00:00"/>
        <d v="2026-03-06T00:00:00"/>
        <d v="2026-03-10T00:00:00"/>
        <d v="2026-03-11T00:00:00"/>
        <d v="2026-03-12T00:00:00"/>
        <d v="2026-03-16T00:00:00"/>
        <d v="2026-03-18T00:00:00"/>
        <d v="2026-03-17T00:00:00"/>
        <d v="2026-03-19T00:00:00"/>
        <d v="2026-03-23T00:00:00"/>
        <d v="2026-03-29T00:00:00"/>
        <d v="2026-03-20T00:00:00"/>
        <d v="2026-03-24T00:00:00"/>
        <d v="2026-03-25T00:00:00"/>
        <d v="2026-03-27T00:00:00"/>
        <d v="2026-03-26T00:00:00"/>
        <d v="2026-03-30T00:00:00"/>
        <d v="2026-03-31T00:00:00"/>
        <d v="2026-04-01T00:00:00"/>
        <d v="2026-04-02T00:00:00"/>
        <d v="2026-04-07T00:00:00"/>
        <d v="2026-04-08T00:00:00"/>
        <d v="2026-04-06T00:00:00"/>
        <d v="2026-04-09T00:00:00"/>
        <d v="2026-04-10T00:00:00"/>
        <d v="2026-04-13T00:00:00"/>
        <d v="2026-04-14T00:00:00"/>
        <d v="2026-04-15T00:00:00"/>
        <d v="2026-04-27T00:00:00"/>
        <d v="2026-04-16T00:00:00"/>
        <d v="2026-04-17T00:00:00"/>
        <d v="2026-04-20T00:00:00"/>
        <d v="2026-04-22T00:00:00"/>
        <d v="2026-04-23T00:00:00"/>
        <d v="2026-04-24T00:00:00"/>
        <d v="2026-05-04T00:00:00"/>
        <d v="2026-05-05T00:00:00"/>
        <d v="2026-05-06T00:00:00"/>
        <d v="2026-05-07T00:00:00"/>
        <d v="2026-05-08T00:00:00"/>
        <d v="2026-05-11T00:00:00"/>
        <d v="2026-05-12T00:00:00"/>
        <d v="2026-05-13T00:00:00"/>
        <d v="2026-05-14T00:00:00"/>
        <d v="2026-05-15T00:00:00"/>
        <d v="2026-05-18T00:00:00"/>
        <d v="2026-05-19T00:00:00"/>
        <d v="2026-05-20T00:00:00"/>
        <d v="2026-05-21T00:00:00"/>
        <d v="2026-05-25T00:00:00"/>
        <d v="2026-05-26T00:00:00"/>
        <d v="2026-05-27T00:00:00"/>
        <d v="2026-05-28T00:00:00"/>
        <d v="2026-05-29T00:00:00"/>
        <d v="2026-06-01T00:00:00"/>
        <d v="2026-06-02T00:00:00"/>
        <d v="2026-06-03T00:00:00"/>
        <d v="2029-06-03T00:00:00"/>
        <d v="2026-06-05T00:00:00"/>
        <d v="2026-06-08T00:00:00"/>
        <d v="2026-06-09T00:00:00"/>
        <d v="2026-06-10T00:00:00"/>
        <d v="2026-06-15T00:00:00"/>
        <d v="2026-06-11T00:00:00"/>
        <d v="2026-06-12T00:00:00"/>
        <d v="2026-06-16T00:00:00"/>
        <d v="2026-06-17T00:00:00"/>
        <d v="2026-06-30T00:00:00"/>
        <d v="2026-06-18T00:00:00"/>
        <d v="2026-06-19T00:00:00"/>
        <d v="2026-06-22T00:00:00"/>
        <d v="2026-06-23T00:00:00"/>
        <d v="2026-06-24T00:00:00"/>
        <d v="2026-06-29T00:00:00"/>
        <d v="2026-06-25T00:00:00"/>
        <d v="2026-06-26T00:00:00"/>
        <d v="2026-07-01T00:00:00"/>
        <d v="2026-07-02T00:00:00"/>
        <d v="2026-07-03T00:00:00"/>
        <d v="2026-07-06T00:00:00"/>
        <d v="2026-07-07T00:00:00"/>
        <d v="2026-07-08T00:00:00"/>
        <d v="2026-07-10T00:00:00"/>
        <d v="2026-07-13T00:00:00"/>
        <d v="2026-07-14T00:00:00"/>
        <d v="2026-07-15T00:00:00"/>
        <d v="2026-07-16T00:00:00"/>
        <d v="2026-07-17T00:00:00"/>
        <d v="2026-07-20T00:00:00"/>
        <d v="2026-07-21T00:00:00"/>
        <d v="2026-07-22T00:00:00"/>
        <d v="2026-07-23T00:00:00"/>
        <d v="2026-07-27T00:00:00"/>
        <d v="2026-07-28T00:00:00"/>
        <d v="2026-07-29T00:00:00"/>
        <d v="2026-07-30T00:00:00"/>
        <d v="2026-07-31T00:00:00"/>
        <d v="2026-08-03T00:00:00"/>
        <d v="2026-08-04T00:00:00"/>
        <d v="2026-08-05T00:00:00"/>
        <d v="2026-08-06T00:00:00"/>
        <d v="2026-08-07T00:00:00"/>
        <d v="2026-08-10T00:00:00"/>
        <d v="2026-08-11T00:00:00"/>
        <d v="2026-08-12T00:00:00"/>
        <d v="2026-08-13T00:00:00"/>
        <d v="2026-08-14T00:00:00"/>
        <d v="2026-08-17T00:00:00"/>
        <d v="2002-07-30T00:00:00" u="1"/>
        <d v="2029-06-29T00:00:00" u="1"/>
        <d v="2029-06-18T00:00:00" u="1"/>
        <d v="2027-06-17T00:00:00" u="1"/>
      </sharedItems>
      <fieldGroup par="12"/>
    </cacheField>
    <cacheField name="OBSERVAÇAO" numFmtId="0">
      <sharedItems containsBlank="1"/>
    </cacheField>
    <cacheField name="Meses (DATA)" numFmtId="0" databaseField="0">
      <fieldGroup base="8">
        <rangePr groupBy="months" startDate="2024-01-01T00:00:00" endDate="2029-06-04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4/06/2029"/>
        </groupItems>
      </fieldGroup>
    </cacheField>
    <cacheField name="Trimestres (DATA)" numFmtId="0" databaseField="0">
      <fieldGroup base="8">
        <rangePr groupBy="quarters" startDate="2024-01-01T00:00:00" endDate="2029-06-04T00:00:00"/>
        <groupItems count="6">
          <s v="&lt;01/01/2024"/>
          <s v="Trim1"/>
          <s v="Trim2"/>
          <s v="Trim3"/>
          <s v="Trim4"/>
          <s v="&gt;04/06/2029"/>
        </groupItems>
      </fieldGroup>
    </cacheField>
    <cacheField name="Anos (DATA)" numFmtId="0" databaseField="0">
      <fieldGroup base="8">
        <rangePr groupBy="years" startDate="2024-01-01T00:00:00" endDate="2029-06-04T00:00:00"/>
        <groupItems count="8">
          <s v="&lt;01/01/2024"/>
          <s v="2024"/>
          <s v="2025"/>
          <s v="2026"/>
          <s v="2027"/>
          <s v="2028"/>
          <s v="2029"/>
          <s v="&gt;04/06/2029"/>
        </groupItems>
      </fieldGroup>
    </cacheField>
  </cacheFields>
  <extLst>
    <ext xmlns:x14="http://schemas.microsoft.com/office/spreadsheetml/2009/9/main" uri="{725AE2AE-9491-48be-B2B4-4EB974FC3084}">
      <x14:pivotCacheDefinition pivotCacheId="172037986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74">
  <r>
    <m/>
    <x v="0"/>
    <m/>
    <m/>
    <m/>
    <m/>
    <n v="0"/>
    <m/>
    <x v="0"/>
    <m/>
  </r>
  <r>
    <m/>
    <x v="0"/>
    <m/>
    <m/>
    <m/>
    <m/>
    <n v="0"/>
    <m/>
    <x v="1"/>
    <m/>
  </r>
  <r>
    <m/>
    <x v="0"/>
    <m/>
    <m/>
    <m/>
    <m/>
    <n v="0"/>
    <m/>
    <x v="2"/>
    <m/>
  </r>
  <r>
    <m/>
    <x v="0"/>
    <m/>
    <m/>
    <m/>
    <m/>
    <n v="0"/>
    <m/>
    <x v="3"/>
    <m/>
  </r>
  <r>
    <m/>
    <x v="0"/>
    <m/>
    <m/>
    <m/>
    <m/>
    <n v="0"/>
    <m/>
    <x v="4"/>
    <m/>
  </r>
  <r>
    <m/>
    <x v="0"/>
    <m/>
    <m/>
    <m/>
    <m/>
    <n v="0"/>
    <m/>
    <x v="5"/>
    <m/>
  </r>
  <r>
    <m/>
    <x v="0"/>
    <m/>
    <m/>
    <m/>
    <m/>
    <n v="0"/>
    <m/>
    <x v="6"/>
    <m/>
  </r>
  <r>
    <m/>
    <x v="0"/>
    <m/>
    <m/>
    <m/>
    <m/>
    <n v="0"/>
    <m/>
    <x v="7"/>
    <m/>
  </r>
  <r>
    <m/>
    <x v="0"/>
    <m/>
    <m/>
    <m/>
    <m/>
    <n v="0"/>
    <m/>
    <x v="8"/>
    <m/>
  </r>
  <r>
    <m/>
    <x v="0"/>
    <m/>
    <m/>
    <m/>
    <m/>
    <n v="0"/>
    <m/>
    <x v="9"/>
    <m/>
  </r>
  <r>
    <m/>
    <x v="0"/>
    <m/>
    <m/>
    <m/>
    <m/>
    <n v="0"/>
    <m/>
    <x v="10"/>
    <m/>
  </r>
  <r>
    <m/>
    <x v="0"/>
    <m/>
    <m/>
    <m/>
    <m/>
    <n v="0"/>
    <m/>
    <x v="11"/>
    <m/>
  </r>
  <r>
    <m/>
    <x v="0"/>
    <m/>
    <m/>
    <m/>
    <m/>
    <n v="0"/>
    <m/>
    <x v="12"/>
    <m/>
  </r>
  <r>
    <m/>
    <x v="0"/>
    <m/>
    <m/>
    <m/>
    <m/>
    <n v="0"/>
    <m/>
    <x v="13"/>
    <m/>
  </r>
  <r>
    <m/>
    <x v="0"/>
    <m/>
    <m/>
    <m/>
    <m/>
    <n v="0"/>
    <m/>
    <x v="14"/>
    <m/>
  </r>
  <r>
    <m/>
    <x v="0"/>
    <m/>
    <m/>
    <m/>
    <m/>
    <n v="0"/>
    <m/>
    <x v="15"/>
    <m/>
  </r>
  <r>
    <m/>
    <x v="0"/>
    <m/>
    <m/>
    <m/>
    <m/>
    <n v="0"/>
    <m/>
    <x v="16"/>
    <m/>
  </r>
  <r>
    <m/>
    <x v="0"/>
    <m/>
    <m/>
    <m/>
    <m/>
    <n v="0"/>
    <m/>
    <x v="17"/>
    <m/>
  </r>
  <r>
    <m/>
    <x v="0"/>
    <m/>
    <m/>
    <m/>
    <m/>
    <n v="0"/>
    <m/>
    <x v="18"/>
    <m/>
  </r>
  <r>
    <m/>
    <x v="0"/>
    <m/>
    <m/>
    <m/>
    <m/>
    <n v="0"/>
    <m/>
    <x v="19"/>
    <m/>
  </r>
  <r>
    <m/>
    <x v="0"/>
    <m/>
    <m/>
    <m/>
    <m/>
    <n v="0"/>
    <m/>
    <x v="20"/>
    <m/>
  </r>
  <r>
    <m/>
    <x v="0"/>
    <m/>
    <m/>
    <m/>
    <m/>
    <n v="0"/>
    <m/>
    <x v="21"/>
    <m/>
  </r>
  <r>
    <m/>
    <x v="0"/>
    <m/>
    <m/>
    <m/>
    <m/>
    <n v="0"/>
    <m/>
    <x v="22"/>
    <m/>
  </r>
  <r>
    <m/>
    <x v="0"/>
    <m/>
    <m/>
    <m/>
    <m/>
    <n v="0"/>
    <m/>
    <x v="23"/>
    <m/>
  </r>
  <r>
    <s v=" "/>
    <x v="0"/>
    <s v="WHATS"/>
    <n v="71101"/>
    <n v="1640"/>
    <m/>
    <m/>
    <m/>
    <x v="2"/>
    <m/>
  </r>
  <r>
    <n v="705"/>
    <x v="1"/>
    <s v="WHATS"/>
    <n v="70919"/>
    <n v="389.35"/>
    <m/>
    <m/>
    <m/>
    <x v="2"/>
    <m/>
  </r>
  <r>
    <n v="705"/>
    <x v="1"/>
    <s v="WHATS"/>
    <n v="98127"/>
    <n v="884.95"/>
    <m/>
    <m/>
    <m/>
    <x v="2"/>
    <m/>
  </r>
  <r>
    <n v="50558"/>
    <x v="2"/>
    <s v="EMAIL"/>
    <n v="71252"/>
    <n v="3005.2"/>
    <m/>
    <m/>
    <m/>
    <x v="2"/>
    <m/>
  </r>
  <r>
    <n v="50558"/>
    <x v="2"/>
    <s v="EMAIL"/>
    <n v="72125"/>
    <n v="2585"/>
    <m/>
    <m/>
    <m/>
    <x v="2"/>
    <m/>
  </r>
  <r>
    <n v="746"/>
    <x v="3"/>
    <s v="TEL"/>
    <n v="71236"/>
    <n v="2994.26"/>
    <m/>
    <m/>
    <m/>
    <x v="2"/>
    <m/>
  </r>
  <r>
    <n v="746"/>
    <x v="3"/>
    <s v="TEL"/>
    <n v="98201"/>
    <n v="273.3"/>
    <m/>
    <m/>
    <m/>
    <x v="2"/>
    <m/>
  </r>
  <r>
    <n v="731"/>
    <x v="4"/>
    <s v="WHATS"/>
    <n v="71126"/>
    <n v="744"/>
    <m/>
    <m/>
    <m/>
    <x v="2"/>
    <m/>
  </r>
  <r>
    <n v="50600"/>
    <x v="0"/>
    <s v="WHATS"/>
    <n v="70713"/>
    <n v="846.59"/>
    <m/>
    <m/>
    <m/>
    <x v="2"/>
    <m/>
  </r>
  <r>
    <n v="50600"/>
    <x v="0"/>
    <s v="WHATS"/>
    <n v="71101"/>
    <n v="1640"/>
    <m/>
    <m/>
    <m/>
    <x v="2"/>
    <m/>
  </r>
  <r>
    <n v="1058"/>
    <x v="5"/>
    <s v="WHATS"/>
    <n v="71247"/>
    <n v="600"/>
    <m/>
    <m/>
    <m/>
    <x v="2"/>
    <m/>
  </r>
  <r>
    <n v="2397"/>
    <x v="6"/>
    <s v="TEL"/>
    <n v="70924"/>
    <n v="969"/>
    <m/>
    <m/>
    <m/>
    <x v="2"/>
    <m/>
  </r>
  <r>
    <n v="1026"/>
    <x v="7"/>
    <s v="EMAIL"/>
    <n v="71230"/>
    <n v="532"/>
    <m/>
    <m/>
    <m/>
    <x v="2"/>
    <m/>
  </r>
  <r>
    <n v="756"/>
    <x v="8"/>
    <s v="TEL"/>
    <n v="71267"/>
    <n v="3460.28"/>
    <m/>
    <m/>
    <m/>
    <x v="2"/>
    <m/>
  </r>
  <r>
    <n v="335"/>
    <x v="9"/>
    <s v="WHATS"/>
    <n v="71250"/>
    <n v="363.8"/>
    <m/>
    <m/>
    <m/>
    <x v="2"/>
    <m/>
  </r>
  <r>
    <n v="335"/>
    <x v="9"/>
    <s v="WHATS"/>
    <n v="98205"/>
    <n v="332.15"/>
    <m/>
    <m/>
    <m/>
    <x v="2"/>
    <m/>
  </r>
  <r>
    <n v="3077"/>
    <x v="10"/>
    <s v="TEL"/>
    <n v="71097"/>
    <n v="548.5"/>
    <m/>
    <m/>
    <m/>
    <x v="24"/>
    <m/>
  </r>
  <r>
    <n v="516"/>
    <x v="11"/>
    <s v="WHATS"/>
    <n v="71052"/>
    <n v="3830.18"/>
    <m/>
    <m/>
    <m/>
    <x v="24"/>
    <m/>
  </r>
  <r>
    <n v="3153"/>
    <x v="12"/>
    <s v="WHATS"/>
    <n v="71341"/>
    <n v="1195"/>
    <m/>
    <m/>
    <m/>
    <x v="25"/>
    <m/>
  </r>
  <r>
    <n v="3153"/>
    <x v="12"/>
    <s v="WHATS"/>
    <n v="71114"/>
    <n v="1195"/>
    <m/>
    <m/>
    <m/>
    <x v="25"/>
    <m/>
  </r>
  <r>
    <n v="784"/>
    <x v="13"/>
    <s v="WHATS"/>
    <n v="72133"/>
    <n v="12.5"/>
    <m/>
    <m/>
    <m/>
    <x v="25"/>
    <m/>
  </r>
  <r>
    <n v="50219"/>
    <x v="14"/>
    <s v="WHATS"/>
    <n v="71359"/>
    <n v="1168.57"/>
    <m/>
    <m/>
    <m/>
    <x v="25"/>
    <m/>
  </r>
  <r>
    <n v="520"/>
    <x v="0"/>
    <s v="TEL"/>
    <n v="71369"/>
    <n v="1345.12"/>
    <m/>
    <m/>
    <m/>
    <x v="25"/>
    <m/>
  </r>
  <r>
    <n v="520"/>
    <x v="0"/>
    <s v="TEL"/>
    <n v="98226"/>
    <n v="536.95000000000005"/>
    <m/>
    <m/>
    <m/>
    <x v="25"/>
    <m/>
  </r>
  <r>
    <n v="2911"/>
    <x v="15"/>
    <s v="SKYPE"/>
    <n v="98217"/>
    <n v="10.25"/>
    <m/>
    <m/>
    <m/>
    <x v="25"/>
    <m/>
  </r>
  <r>
    <n v="2911"/>
    <x v="15"/>
    <s v="SKYPE"/>
    <n v="71328"/>
    <n v="1216"/>
    <m/>
    <m/>
    <m/>
    <x v="25"/>
    <m/>
  </r>
  <r>
    <n v="687"/>
    <x v="16"/>
    <s v="SKYPE"/>
    <n v="71375"/>
    <n v="540"/>
    <m/>
    <m/>
    <m/>
    <x v="25"/>
    <m/>
  </r>
  <r>
    <n v="823"/>
    <x v="17"/>
    <s v="SKYPE"/>
    <n v="98224"/>
    <n v="110"/>
    <m/>
    <m/>
    <m/>
    <x v="25"/>
    <m/>
  </r>
  <r>
    <n v="823"/>
    <x v="17"/>
    <s v="SKYPE"/>
    <n v="71130"/>
    <n v="7118.27"/>
    <m/>
    <m/>
    <m/>
    <x v="25"/>
    <m/>
  </r>
  <r>
    <n v="3194"/>
    <x v="18"/>
    <s v="TEL"/>
    <n v="98235"/>
    <n v="376.15"/>
    <m/>
    <m/>
    <m/>
    <x v="26"/>
    <m/>
  </r>
  <r>
    <n v="3194"/>
    <x v="18"/>
    <s v="TEL"/>
    <n v="71397"/>
    <n v="503.05"/>
    <m/>
    <m/>
    <m/>
    <x v="26"/>
    <m/>
  </r>
  <r>
    <n v="690"/>
    <x v="19"/>
    <s v="TEL"/>
    <n v="71384"/>
    <n v="1003.2"/>
    <m/>
    <m/>
    <m/>
    <x v="26"/>
    <m/>
  </r>
  <r>
    <n v="690"/>
    <x v="19"/>
    <s v="TEL"/>
    <n v="98230"/>
    <n v="856.9"/>
    <m/>
    <m/>
    <m/>
    <x v="26"/>
    <m/>
  </r>
  <r>
    <n v="50554"/>
    <x v="20"/>
    <s v="TEL"/>
    <n v="71391"/>
    <n v="2586.5500000000002"/>
    <m/>
    <m/>
    <m/>
    <x v="26"/>
    <m/>
  </r>
  <r>
    <n v="50554"/>
    <x v="20"/>
    <s v="TEL"/>
    <n v="98231"/>
    <n v="587.20000000000005"/>
    <m/>
    <m/>
    <m/>
    <x v="26"/>
    <m/>
  </r>
  <r>
    <n v="516"/>
    <x v="11"/>
    <s v="TEL"/>
    <n v="71418"/>
    <n v="657.2"/>
    <m/>
    <m/>
    <m/>
    <x v="26"/>
    <m/>
  </r>
  <r>
    <n v="1493"/>
    <x v="21"/>
    <s v="WHATS"/>
    <n v="71414"/>
    <n v="685.25"/>
    <m/>
    <m/>
    <m/>
    <x v="26"/>
    <m/>
  </r>
  <r>
    <n v="9063"/>
    <x v="22"/>
    <s v="WHATS"/>
    <n v="71427"/>
    <n v="572.99"/>
    <m/>
    <m/>
    <m/>
    <x v="26"/>
    <m/>
  </r>
  <r>
    <n v="475"/>
    <x v="23"/>
    <s v="WHATS"/>
    <n v="71335"/>
    <n v="4886.6400000000003"/>
    <m/>
    <m/>
    <m/>
    <x v="26"/>
    <m/>
  </r>
  <r>
    <n v="475"/>
    <x v="23"/>
    <s v="WHATS"/>
    <n v="98220"/>
    <n v="412.93"/>
    <m/>
    <m/>
    <m/>
    <x v="26"/>
    <m/>
  </r>
  <r>
    <n v="761"/>
    <x v="24"/>
    <s v="WHATS"/>
    <n v="98239"/>
    <n v="280.8"/>
    <m/>
    <m/>
    <m/>
    <x v="26"/>
    <m/>
  </r>
  <r>
    <n v="1240"/>
    <x v="25"/>
    <s v="WHATS"/>
    <n v="71276"/>
    <n v="556.35"/>
    <m/>
    <m/>
    <m/>
    <x v="26"/>
    <m/>
  </r>
  <r>
    <n v="618"/>
    <x v="26"/>
    <s v="WHATS"/>
    <n v="71431"/>
    <n v="105.6"/>
    <m/>
    <m/>
    <m/>
    <x v="27"/>
    <m/>
  </r>
  <r>
    <n v="618"/>
    <x v="26"/>
    <s v="WHATS"/>
    <n v="98244"/>
    <n v="316.31"/>
    <m/>
    <m/>
    <m/>
    <x v="27"/>
    <m/>
  </r>
  <r>
    <n v="1194"/>
    <x v="0"/>
    <s v="TEL"/>
    <n v="98246"/>
    <n v="59.25"/>
    <m/>
    <m/>
    <m/>
    <x v="27"/>
    <m/>
  </r>
  <r>
    <n v="1194"/>
    <x v="0"/>
    <s v="TEL"/>
    <n v="71434"/>
    <n v="1057.9000000000001"/>
    <m/>
    <m/>
    <m/>
    <x v="27"/>
    <m/>
  </r>
  <r>
    <n v="906"/>
    <x v="27"/>
    <s v="TEL"/>
    <n v="71443"/>
    <n v="146.5"/>
    <m/>
    <m/>
    <m/>
    <x v="27"/>
    <m/>
  </r>
  <r>
    <n v="906"/>
    <x v="27"/>
    <s v="TEL"/>
    <n v="98247"/>
    <n v="1063.94"/>
    <m/>
    <m/>
    <m/>
    <x v="27"/>
    <m/>
  </r>
  <r>
    <n v="3153"/>
    <x v="12"/>
    <s v="WHATS"/>
    <n v="71313"/>
    <n v="4162.8999999999996"/>
    <m/>
    <m/>
    <m/>
    <x v="27"/>
    <m/>
  </r>
  <r>
    <n v="2022"/>
    <x v="28"/>
    <s v="WHATS"/>
    <n v="71455"/>
    <n v="780"/>
    <m/>
    <m/>
    <m/>
    <x v="27"/>
    <m/>
  </r>
  <r>
    <n v="1971"/>
    <x v="29"/>
    <s v="WHATS"/>
    <n v="71476"/>
    <n v="432.13"/>
    <m/>
    <m/>
    <m/>
    <x v="27"/>
    <m/>
  </r>
  <r>
    <n v="960"/>
    <x v="30"/>
    <s v="WHATS"/>
    <n v="71326"/>
    <n v="751.7"/>
    <m/>
    <m/>
    <m/>
    <x v="28"/>
    <m/>
  </r>
  <r>
    <n v="746"/>
    <x v="3"/>
    <s v="TEL"/>
    <n v="98252"/>
    <n v="23.7"/>
    <m/>
    <m/>
    <m/>
    <x v="28"/>
    <m/>
  </r>
  <r>
    <n v="364"/>
    <x v="31"/>
    <s v="WHATS"/>
    <n v="71505"/>
    <n v="488.9"/>
    <m/>
    <m/>
    <m/>
    <x v="28"/>
    <m/>
  </r>
  <r>
    <n v="364"/>
    <x v="31"/>
    <s v="WHATS"/>
    <n v="98257"/>
    <n v="249.2"/>
    <m/>
    <m/>
    <m/>
    <x v="28"/>
    <m/>
  </r>
  <r>
    <n v="761"/>
    <x v="24"/>
    <s v="WHATS"/>
    <n v="71512"/>
    <n v="155"/>
    <m/>
    <m/>
    <m/>
    <x v="28"/>
    <m/>
  </r>
  <r>
    <n v="463"/>
    <x v="32"/>
    <s v="WHATS"/>
    <n v="71520"/>
    <n v="1579.55"/>
    <m/>
    <m/>
    <m/>
    <x v="28"/>
    <m/>
  </r>
  <r>
    <n v="475"/>
    <x v="23"/>
    <s v="WHATS"/>
    <n v="98258"/>
    <n v="825.87"/>
    <m/>
    <m/>
    <m/>
    <x v="28"/>
    <m/>
  </r>
  <r>
    <n v="475"/>
    <x v="23"/>
    <s v="WHATS"/>
    <n v="71522"/>
    <n v="3318.64"/>
    <m/>
    <m/>
    <m/>
    <x v="28"/>
    <m/>
  </r>
  <r>
    <n v="1206"/>
    <x v="33"/>
    <s v="WHATS"/>
    <n v="71497"/>
    <n v="1970.8"/>
    <m/>
    <m/>
    <m/>
    <x v="29"/>
    <m/>
  </r>
  <r>
    <n v="1726"/>
    <x v="34"/>
    <s v="WHATS"/>
    <n v="71552"/>
    <n v="160"/>
    <m/>
    <m/>
    <m/>
    <x v="29"/>
    <m/>
  </r>
  <r>
    <n v="50418"/>
    <x v="35"/>
    <s v="WHATS"/>
    <n v="71568"/>
    <n v="174.14"/>
    <m/>
    <m/>
    <m/>
    <x v="29"/>
    <m/>
  </r>
  <r>
    <n v="632"/>
    <x v="0"/>
    <s v="WHATS"/>
    <n v="71595"/>
    <n v="575.41"/>
    <m/>
    <m/>
    <m/>
    <x v="30"/>
    <m/>
  </r>
  <r>
    <n v="475"/>
    <x v="23"/>
    <s v="WHATS"/>
    <n v="71570"/>
    <n v="1747.2"/>
    <m/>
    <m/>
    <m/>
    <x v="30"/>
    <m/>
  </r>
  <r>
    <n v="475"/>
    <x v="23"/>
    <s v="WHATS"/>
    <n v="71310"/>
    <n v="1495"/>
    <m/>
    <m/>
    <m/>
    <x v="30"/>
    <m/>
  </r>
  <r>
    <n v="705"/>
    <x v="1"/>
    <s v="TEL"/>
    <n v="71599"/>
    <n v="550"/>
    <m/>
    <m/>
    <m/>
    <x v="30"/>
    <m/>
  </r>
  <r>
    <n v="2163"/>
    <x v="36"/>
    <s v="TEL"/>
    <n v="71607"/>
    <n v="1862.9"/>
    <m/>
    <m/>
    <m/>
    <x v="30"/>
    <m/>
  </r>
  <r>
    <n v="50576"/>
    <x v="37"/>
    <s v="SKYPE"/>
    <n v="71598"/>
    <n v="2516.35"/>
    <m/>
    <m/>
    <m/>
    <x v="30"/>
    <m/>
  </r>
  <r>
    <n v="50526"/>
    <x v="38"/>
    <s v="SKYPE"/>
    <n v="98271"/>
    <n v="260.7"/>
    <m/>
    <m/>
    <m/>
    <x v="30"/>
    <m/>
  </r>
  <r>
    <n v="516"/>
    <x v="11"/>
    <s v="TEL"/>
    <n v="71509"/>
    <n v="2039.6"/>
    <m/>
    <m/>
    <m/>
    <x v="30"/>
    <m/>
  </r>
  <r>
    <n v="480"/>
    <x v="39"/>
    <s v="TEL"/>
    <n v="71573"/>
    <n v="1076"/>
    <m/>
    <m/>
    <m/>
    <x v="30"/>
    <m/>
  </r>
  <r>
    <n v="480"/>
    <x v="39"/>
    <s v="TEL"/>
    <n v="98272"/>
    <n v="218.9"/>
    <m/>
    <m/>
    <m/>
    <x v="30"/>
    <m/>
  </r>
  <r>
    <n v="1240"/>
    <x v="25"/>
    <s v="WHATS"/>
    <n v="72526"/>
    <n v="1754.22"/>
    <m/>
    <m/>
    <m/>
    <x v="30"/>
    <m/>
  </r>
  <r>
    <n v="3077"/>
    <x v="10"/>
    <s v="TEL"/>
    <n v="71585"/>
    <n v="1002.06"/>
    <m/>
    <m/>
    <m/>
    <x v="30"/>
    <m/>
  </r>
  <r>
    <n v="2980"/>
    <x v="40"/>
    <s v="WHATS"/>
    <n v="71045"/>
    <n v="396.4"/>
    <m/>
    <m/>
    <m/>
    <x v="30"/>
    <m/>
  </r>
  <r>
    <n v="756"/>
    <x v="8"/>
    <s v="WHATS"/>
    <n v="71636"/>
    <n v="1125.9100000000001"/>
    <m/>
    <m/>
    <m/>
    <x v="31"/>
    <m/>
  </r>
  <r>
    <n v="906"/>
    <x v="27"/>
    <s v="WHATS"/>
    <n v="71646"/>
    <n v="8134"/>
    <n v="1"/>
    <n v="6980"/>
    <m/>
    <x v="31"/>
    <m/>
  </r>
  <r>
    <n v="762"/>
    <x v="41"/>
    <s v="WHATS"/>
    <n v="71410"/>
    <n v="5556.94"/>
    <m/>
    <m/>
    <m/>
    <x v="31"/>
    <m/>
  </r>
  <r>
    <n v="762"/>
    <x v="41"/>
    <s v="WHATS"/>
    <n v="71410"/>
    <n v="10289.85"/>
    <m/>
    <m/>
    <m/>
    <x v="31"/>
    <m/>
  </r>
  <r>
    <n v="724"/>
    <x v="42"/>
    <s v="WHATS"/>
    <n v="71670"/>
    <n v="978.8"/>
    <m/>
    <m/>
    <m/>
    <x v="31"/>
    <m/>
  </r>
  <r>
    <n v="475"/>
    <x v="23"/>
    <s v="WHATS"/>
    <n v="71693"/>
    <n v="3860"/>
    <m/>
    <m/>
    <m/>
    <x v="32"/>
    <m/>
  </r>
  <r>
    <n v="1194"/>
    <x v="0"/>
    <s v="TEL"/>
    <n v="71484"/>
    <n v="572"/>
    <m/>
    <m/>
    <m/>
    <x v="32"/>
    <m/>
  </r>
  <r>
    <n v="335"/>
    <x v="9"/>
    <s v="TEL"/>
    <n v="98205"/>
    <n v="43.6"/>
    <m/>
    <m/>
    <m/>
    <x v="32"/>
    <m/>
  </r>
  <r>
    <n v="335"/>
    <x v="9"/>
    <s v="TEL"/>
    <n v="71659"/>
    <n v="47.5"/>
    <m/>
    <m/>
    <m/>
    <x v="32"/>
    <m/>
  </r>
  <r>
    <n v="432"/>
    <x v="43"/>
    <s v="WHATS"/>
    <n v="71686"/>
    <n v="161.4"/>
    <m/>
    <m/>
    <m/>
    <x v="33"/>
    <m/>
  </r>
  <r>
    <n v="2203"/>
    <x v="44"/>
    <s v="EMAIL"/>
    <n v="71649"/>
    <n v="1473.2"/>
    <m/>
    <m/>
    <m/>
    <x v="33"/>
    <m/>
  </r>
  <r>
    <n v="50219"/>
    <x v="14"/>
    <s v="WHATS"/>
    <n v="71770"/>
    <n v="60"/>
    <m/>
    <m/>
    <m/>
    <x v="34"/>
    <m/>
  </r>
  <r>
    <n v="746"/>
    <x v="3"/>
    <s v="TEL"/>
    <n v="71787"/>
    <n v="1110"/>
    <m/>
    <m/>
    <m/>
    <x v="34"/>
    <m/>
  </r>
  <r>
    <n v="2022"/>
    <x v="28"/>
    <s v="WHATS"/>
    <n v="71465"/>
    <n v="308"/>
    <m/>
    <m/>
    <m/>
    <x v="34"/>
    <m/>
  </r>
  <r>
    <n v="575"/>
    <x v="45"/>
    <s v="EMAIL"/>
    <n v="71780"/>
    <n v="734.73"/>
    <m/>
    <m/>
    <m/>
    <x v="34"/>
    <m/>
  </r>
  <r>
    <n v="311"/>
    <x v="46"/>
    <s v="WHATS"/>
    <n v="98292"/>
    <n v="758.4"/>
    <m/>
    <m/>
    <m/>
    <x v="34"/>
    <m/>
  </r>
  <r>
    <n v="311"/>
    <x v="46"/>
    <s v="WHATS"/>
    <n v="71795"/>
    <n v="552.6"/>
    <m/>
    <m/>
    <m/>
    <x v="34"/>
    <m/>
  </r>
  <r>
    <n v="575"/>
    <x v="45"/>
    <s v="TEL"/>
    <n v="71780"/>
    <n v="734.73"/>
    <m/>
    <m/>
    <m/>
    <x v="34"/>
    <m/>
  </r>
  <r>
    <n v="575"/>
    <x v="45"/>
    <s v="EMAIL"/>
    <n v="70835"/>
    <n v="252.5"/>
    <m/>
    <m/>
    <m/>
    <x v="34"/>
    <m/>
  </r>
  <r>
    <n v="1842"/>
    <x v="47"/>
    <s v="WHATS"/>
    <n v="98294"/>
    <n v="112.45"/>
    <m/>
    <m/>
    <m/>
    <x v="34"/>
    <m/>
  </r>
  <r>
    <n v="1842"/>
    <x v="47"/>
    <s v="WHATS"/>
    <n v="71804"/>
    <n v="185.5"/>
    <m/>
    <m/>
    <m/>
    <x v="34"/>
    <m/>
  </r>
  <r>
    <n v="1813"/>
    <x v="48"/>
    <s v="WHATS"/>
    <n v="71794"/>
    <n v="1007.2"/>
    <m/>
    <m/>
    <m/>
    <x v="34"/>
    <m/>
  </r>
  <r>
    <n v="704"/>
    <x v="49"/>
    <s v="TEL"/>
    <n v="71833"/>
    <n v="895.5"/>
    <m/>
    <m/>
    <m/>
    <x v="34"/>
    <m/>
  </r>
  <r>
    <n v="704"/>
    <x v="49"/>
    <s v="TEL"/>
    <n v="98304"/>
    <n v="255.85"/>
    <m/>
    <m/>
    <m/>
    <x v="34"/>
    <m/>
  </r>
  <r>
    <n v="1533"/>
    <x v="50"/>
    <s v="WHATS"/>
    <n v="98303"/>
    <n v="520.61"/>
    <m/>
    <m/>
    <m/>
    <x v="34"/>
    <m/>
  </r>
  <r>
    <n v="756"/>
    <x v="8"/>
    <s v="TEL"/>
    <n v="71840"/>
    <n v="109"/>
    <m/>
    <m/>
    <m/>
    <x v="34"/>
    <m/>
  </r>
  <r>
    <n v="572"/>
    <x v="51"/>
    <s v="WHATS"/>
    <n v="71687"/>
    <n v="1658.85"/>
    <m/>
    <m/>
    <m/>
    <x v="34"/>
    <m/>
  </r>
  <r>
    <n v="1206"/>
    <x v="33"/>
    <s v="TEL"/>
    <n v="71847"/>
    <n v="1320"/>
    <m/>
    <m/>
    <m/>
    <x v="35"/>
    <m/>
  </r>
  <r>
    <n v="516"/>
    <x v="11"/>
    <s v="EMAIL"/>
    <n v="71843"/>
    <n v="15108.13"/>
    <m/>
    <m/>
    <m/>
    <x v="35"/>
    <m/>
  </r>
  <r>
    <n v="2655"/>
    <x v="52"/>
    <s v="WHATS"/>
    <n v="71792"/>
    <n v="909.71"/>
    <m/>
    <m/>
    <m/>
    <x v="35"/>
    <m/>
  </r>
  <r>
    <n v="874"/>
    <x v="53"/>
    <s v="WHATS"/>
    <n v="71859"/>
    <n v="1316.27"/>
    <m/>
    <m/>
    <m/>
    <x v="35"/>
    <m/>
  </r>
  <r>
    <n v="724"/>
    <x v="42"/>
    <s v="WHATS"/>
    <n v="71673"/>
    <n v="450"/>
    <m/>
    <m/>
    <m/>
    <x v="35"/>
    <m/>
  </r>
  <r>
    <n v="724"/>
    <x v="42"/>
    <s v="WHATS"/>
    <n v="71670"/>
    <n v="406.8"/>
    <m/>
    <m/>
    <m/>
    <x v="35"/>
    <m/>
  </r>
  <r>
    <n v="50219"/>
    <x v="14"/>
    <s v="WHATS"/>
    <n v="71770"/>
    <n v="60"/>
    <m/>
    <m/>
    <m/>
    <x v="35"/>
    <m/>
  </r>
  <r>
    <n v="1770"/>
    <x v="0"/>
    <s v="EMAIL"/>
    <n v="71571"/>
    <n v="745.07"/>
    <m/>
    <m/>
    <m/>
    <x v="35"/>
    <m/>
  </r>
  <r>
    <n v="1806"/>
    <x v="54"/>
    <s v="EMAIL"/>
    <n v="71903"/>
    <n v="479.01"/>
    <m/>
    <m/>
    <m/>
    <x v="36"/>
    <m/>
  </r>
  <r>
    <n v="832"/>
    <x v="55"/>
    <s v="TEL"/>
    <n v="71345"/>
    <n v="1290"/>
    <m/>
    <m/>
    <m/>
    <x v="36"/>
    <m/>
  </r>
  <r>
    <n v="708"/>
    <x v="56"/>
    <s v="WHATS"/>
    <n v="71934"/>
    <n v="242.5"/>
    <m/>
    <m/>
    <m/>
    <x v="36"/>
    <m/>
  </r>
  <r>
    <n v="1623"/>
    <x v="57"/>
    <s v="TEL"/>
    <n v="70900"/>
    <n v="857.8"/>
    <m/>
    <m/>
    <m/>
    <x v="36"/>
    <m/>
  </r>
  <r>
    <n v="1533"/>
    <x v="50"/>
    <s v="WHATS"/>
    <n v="71941"/>
    <n v="103.4"/>
    <m/>
    <m/>
    <m/>
    <x v="37"/>
    <m/>
  </r>
  <r>
    <n v="1533"/>
    <x v="50"/>
    <s v="WHATS"/>
    <n v="98320"/>
    <n v="59.25"/>
    <m/>
    <m/>
    <m/>
    <x v="37"/>
    <m/>
  </r>
  <r>
    <n v="50558"/>
    <x v="2"/>
    <s v="EMAIL"/>
    <n v="71990"/>
    <n v="3110"/>
    <m/>
    <m/>
    <m/>
    <x v="37"/>
    <m/>
  </r>
  <r>
    <n v="1164"/>
    <x v="58"/>
    <s v="TEL"/>
    <n v="71992"/>
    <n v="421"/>
    <m/>
    <m/>
    <m/>
    <x v="37"/>
    <m/>
  </r>
  <r>
    <n v="1164"/>
    <x v="58"/>
    <s v="TEL"/>
    <n v="98313"/>
    <n v="100.74"/>
    <m/>
    <m/>
    <m/>
    <x v="37"/>
    <m/>
  </r>
  <r>
    <n v="3475"/>
    <x v="59"/>
    <s v="WHATS"/>
    <n v="71995"/>
    <n v="458.9"/>
    <m/>
    <m/>
    <m/>
    <x v="37"/>
    <m/>
  </r>
  <r>
    <n v="832"/>
    <x v="55"/>
    <s v="WHATS"/>
    <n v="71504"/>
    <n v="581.25"/>
    <m/>
    <m/>
    <m/>
    <x v="38"/>
    <m/>
  </r>
  <r>
    <n v="1842"/>
    <x v="47"/>
    <s v="WHATS"/>
    <n v="71804"/>
    <n v="516.29"/>
    <m/>
    <m/>
    <m/>
    <x v="37"/>
    <m/>
  </r>
  <r>
    <n v="3190"/>
    <x v="60"/>
    <s v="WHATS"/>
    <n v="71580"/>
    <n v="1382.28"/>
    <m/>
    <m/>
    <m/>
    <x v="37"/>
    <m/>
  </r>
  <r>
    <n v="3327"/>
    <x v="0"/>
    <s v="WHATS"/>
    <n v="72008"/>
    <n v="48"/>
    <m/>
    <m/>
    <m/>
    <x v="38"/>
    <m/>
  </r>
  <r>
    <n v="475"/>
    <x v="23"/>
    <s v="WHATS"/>
    <n v="71937"/>
    <n v="6848.48"/>
    <m/>
    <m/>
    <m/>
    <x v="38"/>
    <m/>
  </r>
  <r>
    <n v="475"/>
    <x v="23"/>
    <s v="WHATS"/>
    <n v="98328"/>
    <n v="826.41"/>
    <m/>
    <m/>
    <m/>
    <x v="38"/>
    <m/>
  </r>
  <r>
    <n v="2022"/>
    <x v="28"/>
    <s v="WHATS"/>
    <n v="72015"/>
    <n v="51.78"/>
    <m/>
    <m/>
    <m/>
    <x v="38"/>
    <m/>
  </r>
  <r>
    <n v="1026"/>
    <x v="7"/>
    <s v="WHATS"/>
    <n v="71719"/>
    <n v="1480.4"/>
    <m/>
    <m/>
    <m/>
    <x v="38"/>
    <m/>
  </r>
  <r>
    <n v="50576"/>
    <x v="37"/>
    <s v="SKYPE"/>
    <n v="71841"/>
    <n v="415.24"/>
    <m/>
    <m/>
    <m/>
    <x v="38"/>
    <m/>
  </r>
  <r>
    <n v="50576"/>
    <x v="37"/>
    <s v="WHATS"/>
    <n v="98306"/>
    <n v="102"/>
    <m/>
    <m/>
    <m/>
    <x v="38"/>
    <m/>
  </r>
  <r>
    <n v="906"/>
    <x v="27"/>
    <s v="WHATS"/>
    <n v="71767"/>
    <n v="295.81"/>
    <m/>
    <m/>
    <m/>
    <x v="38"/>
    <m/>
  </r>
  <r>
    <n v="906"/>
    <x v="27"/>
    <s v="WHATS"/>
    <n v="98342"/>
    <n v="288.82"/>
    <m/>
    <m/>
    <m/>
    <x v="38"/>
    <m/>
  </r>
  <r>
    <n v="1652"/>
    <x v="61"/>
    <s v="TEL"/>
    <n v="71537"/>
    <n v="360.5"/>
    <m/>
    <m/>
    <m/>
    <x v="39"/>
    <m/>
  </r>
  <r>
    <n v="1652"/>
    <x v="61"/>
    <s v="TEL"/>
    <n v="71077"/>
    <n v="299"/>
    <m/>
    <m/>
    <m/>
    <x v="39"/>
    <m/>
  </r>
  <r>
    <n v="3017"/>
    <x v="62"/>
    <s v="WHATS"/>
    <n v="72053"/>
    <n v="717.38"/>
    <m/>
    <m/>
    <m/>
    <x v="39"/>
    <m/>
  </r>
  <r>
    <n v="690"/>
    <x v="19"/>
    <s v="TEL"/>
    <n v="72077"/>
    <n v="986.32"/>
    <m/>
    <m/>
    <m/>
    <x v="39"/>
    <m/>
  </r>
  <r>
    <n v="690"/>
    <x v="19"/>
    <s v="TEL"/>
    <n v="72075"/>
    <n v="284"/>
    <m/>
    <m/>
    <m/>
    <x v="39"/>
    <m/>
  </r>
  <r>
    <n v="874"/>
    <x v="53"/>
    <s v="WHATS"/>
    <n v="72067"/>
    <n v="116.97"/>
    <m/>
    <m/>
    <m/>
    <x v="39"/>
    <m/>
  </r>
  <r>
    <n v="2415"/>
    <x v="63"/>
    <s v="WHATS"/>
    <n v="72056"/>
    <n v="218"/>
    <m/>
    <m/>
    <m/>
    <x v="39"/>
    <m/>
  </r>
  <r>
    <n v="3194"/>
    <x v="18"/>
    <s v="TEL"/>
    <n v="71972"/>
    <n v="272.68"/>
    <m/>
    <m/>
    <m/>
    <x v="39"/>
    <m/>
  </r>
  <r>
    <n v="2415"/>
    <x v="63"/>
    <s v="WHATS"/>
    <n v="72056"/>
    <n v="436"/>
    <m/>
    <m/>
    <m/>
    <x v="39"/>
    <m/>
  </r>
  <r>
    <n v="3018"/>
    <x v="64"/>
    <s v="WHATS"/>
    <n v="72088"/>
    <n v="549.14"/>
    <m/>
    <m/>
    <m/>
    <x v="39"/>
    <m/>
  </r>
  <r>
    <n v="3018"/>
    <x v="64"/>
    <s v="WHATS"/>
    <n v="98351"/>
    <n v="236.55"/>
    <m/>
    <m/>
    <m/>
    <x v="39"/>
    <m/>
  </r>
  <r>
    <n v="50558"/>
    <x v="2"/>
    <s v="EMAIL"/>
    <n v="71990"/>
    <n v="598"/>
    <m/>
    <m/>
    <m/>
    <x v="39"/>
    <m/>
  </r>
  <r>
    <n v="725"/>
    <x v="65"/>
    <s v="EMAIL"/>
    <n v="72109"/>
    <n v="3139.71"/>
    <m/>
    <m/>
    <m/>
    <x v="39"/>
    <m/>
  </r>
  <r>
    <n v="725"/>
    <x v="65"/>
    <s v="EMAIL"/>
    <n v="98354"/>
    <n v="267.45"/>
    <m/>
    <m/>
    <m/>
    <x v="39"/>
    <m/>
  </r>
  <r>
    <n v="2022"/>
    <x v="28"/>
    <s v="WHATS"/>
    <n v="98343"/>
    <n v="215"/>
    <m/>
    <m/>
    <m/>
    <x v="39"/>
    <m/>
  </r>
  <r>
    <n v="2022"/>
    <x v="28"/>
    <s v="WHATS"/>
    <n v="72045"/>
    <n v="1935.84"/>
    <m/>
    <m/>
    <m/>
    <x v="40"/>
    <m/>
  </r>
  <r>
    <n v="731"/>
    <x v="4"/>
    <s v="WHATS"/>
    <n v="72149"/>
    <n v="1035"/>
    <m/>
    <m/>
    <m/>
    <x v="40"/>
    <m/>
  </r>
  <r>
    <n v="822"/>
    <x v="66"/>
    <s v="TEL"/>
    <n v="98363"/>
    <n v="1623.35"/>
    <m/>
    <m/>
    <m/>
    <x v="40"/>
    <m/>
  </r>
  <r>
    <n v="822"/>
    <x v="66"/>
    <s v="TEL"/>
    <n v="72170"/>
    <n v="1476"/>
    <m/>
    <m/>
    <m/>
    <x v="40"/>
    <m/>
  </r>
  <r>
    <n v="1989"/>
    <x v="67"/>
    <s v="WHATS"/>
    <n v="71272"/>
    <n v="606.12"/>
    <m/>
    <m/>
    <m/>
    <x v="40"/>
    <m/>
  </r>
  <r>
    <n v="2763"/>
    <x v="68"/>
    <s v="WHATS"/>
    <n v="71274"/>
    <n v="561"/>
    <m/>
    <m/>
    <m/>
    <x v="40"/>
    <m/>
  </r>
  <r>
    <n v="690"/>
    <x v="19"/>
    <s v="WHATS"/>
    <n v="71270"/>
    <n v="189"/>
    <m/>
    <m/>
    <m/>
    <x v="40"/>
    <m/>
  </r>
  <r>
    <n v="50554"/>
    <x v="20"/>
    <s v="WHATS"/>
    <n v="71271"/>
    <n v="189"/>
    <m/>
    <m/>
    <m/>
    <x v="40"/>
    <m/>
  </r>
  <r>
    <n v="1493"/>
    <x v="21"/>
    <s v="WHATS"/>
    <n v="72160"/>
    <n v="728.73"/>
    <m/>
    <m/>
    <m/>
    <x v="40"/>
    <m/>
  </r>
  <r>
    <n v="977"/>
    <x v="0"/>
    <s v="WHATS"/>
    <n v="72146"/>
    <n v="1524.9"/>
    <m/>
    <m/>
    <m/>
    <x v="40"/>
    <m/>
  </r>
  <r>
    <n v="3190"/>
    <x v="60"/>
    <s v="WHATS"/>
    <n v="71580"/>
    <n v="2256.7800000000002"/>
    <m/>
    <m/>
    <m/>
    <x v="40"/>
    <m/>
  </r>
  <r>
    <n v="1533"/>
    <x v="50"/>
    <s v="WHATS"/>
    <n v="72189"/>
    <n v="1490"/>
    <m/>
    <m/>
    <m/>
    <x v="41"/>
    <m/>
  </r>
  <r>
    <n v="932"/>
    <x v="0"/>
    <s v="WHATS"/>
    <n v="72198"/>
    <n v="811.81"/>
    <m/>
    <m/>
    <m/>
    <x v="41"/>
    <m/>
  </r>
  <r>
    <n v="1240"/>
    <x v="25"/>
    <s v="WHATS"/>
    <n v="71985"/>
    <n v="553.08000000000004"/>
    <m/>
    <m/>
    <m/>
    <x v="41"/>
    <m/>
  </r>
  <r>
    <n v="475"/>
    <x v="23"/>
    <s v="WHATS"/>
    <n v="72216"/>
    <n v="526"/>
    <m/>
    <m/>
    <m/>
    <x v="41"/>
    <m/>
  </r>
  <r>
    <n v="620"/>
    <x v="69"/>
    <s v="WHATS"/>
    <n v="98347"/>
    <n v="201.78"/>
    <m/>
    <m/>
    <m/>
    <x v="41"/>
    <m/>
  </r>
  <r>
    <n v="620"/>
    <x v="69"/>
    <s v="WHATS"/>
    <n v="72070"/>
    <n v="1993.6"/>
    <m/>
    <m/>
    <m/>
    <x v="41"/>
    <m/>
  </r>
  <r>
    <n v="2980"/>
    <x v="40"/>
    <s v="WHATS"/>
    <n v="72199"/>
    <n v="1008.73"/>
    <m/>
    <m/>
    <m/>
    <x v="41"/>
    <m/>
  </r>
  <r>
    <n v="2980"/>
    <x v="40"/>
    <s v="WHATS"/>
    <n v="98373"/>
    <n v="109.5"/>
    <m/>
    <m/>
    <m/>
    <x v="41"/>
    <m/>
  </r>
  <r>
    <n v="2192"/>
    <x v="0"/>
    <s v="WHATS"/>
    <n v="71067"/>
    <n v="1428"/>
    <m/>
    <m/>
    <m/>
    <x v="42"/>
    <m/>
  </r>
  <r>
    <n v="171"/>
    <x v="70"/>
    <s v="WHATS"/>
    <n v="72163"/>
    <n v="232.83"/>
    <m/>
    <m/>
    <m/>
    <x v="40"/>
    <m/>
  </r>
  <r>
    <n v="1726"/>
    <x v="34"/>
    <s v="EMAIL"/>
    <n v="72241"/>
    <n v="704.08"/>
    <m/>
    <m/>
    <m/>
    <x v="42"/>
    <m/>
  </r>
  <r>
    <n v="832"/>
    <x v="55"/>
    <s v="WHATS"/>
    <n v="71504"/>
    <n v="581.25"/>
    <m/>
    <m/>
    <m/>
    <x v="28"/>
    <m/>
  </r>
  <r>
    <n v="832"/>
    <x v="55"/>
    <s v="WHATS"/>
    <n v="98317"/>
    <n v="918"/>
    <m/>
    <m/>
    <m/>
    <x v="42"/>
    <m/>
  </r>
  <r>
    <n v="725"/>
    <x v="65"/>
    <s v="WHATS"/>
    <n v="72250"/>
    <n v="637.5"/>
    <m/>
    <m/>
    <m/>
    <x v="42"/>
    <m/>
  </r>
  <r>
    <n v="2397"/>
    <x v="6"/>
    <s v="TEL"/>
    <n v="72283"/>
    <n v="860.9"/>
    <m/>
    <m/>
    <m/>
    <x v="3"/>
    <m/>
  </r>
  <r>
    <n v="772"/>
    <x v="71"/>
    <s v="WHATS"/>
    <n v="72272"/>
    <n v="456.8"/>
    <m/>
    <m/>
    <m/>
    <x v="3"/>
    <m/>
  </r>
  <r>
    <n v="3077"/>
    <x v="10"/>
    <s v="WHATS"/>
    <n v="72299"/>
    <n v="589.55999999999995"/>
    <m/>
    <m/>
    <m/>
    <x v="3"/>
    <m/>
  </r>
  <r>
    <n v="2203"/>
    <x v="44"/>
    <s v="WHATS"/>
    <n v="72328"/>
    <n v="247.21"/>
    <m/>
    <m/>
    <m/>
    <x v="3"/>
    <m/>
  </r>
  <r>
    <n v="690"/>
    <x v="19"/>
    <s v="WHATS"/>
    <n v="72332"/>
    <n v="188.05"/>
    <m/>
    <m/>
    <m/>
    <x v="3"/>
    <m/>
  </r>
  <r>
    <n v="2763"/>
    <x v="68"/>
    <s v="WHATS"/>
    <n v="72335"/>
    <n v="561"/>
    <m/>
    <m/>
    <m/>
    <x v="3"/>
    <m/>
  </r>
  <r>
    <n v="1989"/>
    <x v="67"/>
    <s v="WHATS"/>
    <n v="72334"/>
    <n v="608.29999999999995"/>
    <m/>
    <m/>
    <m/>
    <x v="3"/>
    <m/>
  </r>
  <r>
    <n v="50554"/>
    <x v="20"/>
    <s v="WHATS"/>
    <n v="72333"/>
    <n v="189"/>
    <m/>
    <m/>
    <m/>
    <x v="3"/>
    <m/>
  </r>
  <r>
    <n v="50593"/>
    <x v="0"/>
    <s v="WHATS"/>
    <n v="72343"/>
    <n v="338.46"/>
    <m/>
    <m/>
    <m/>
    <x v="43"/>
    <m/>
  </r>
  <r>
    <n v="1164"/>
    <x v="58"/>
    <s v="TEL"/>
    <n v="72344"/>
    <n v="959.7"/>
    <m/>
    <m/>
    <m/>
    <x v="43"/>
    <m/>
  </r>
  <r>
    <n v="905"/>
    <x v="72"/>
    <s v="TEL"/>
    <n v="98391"/>
    <n v="178.37"/>
    <m/>
    <m/>
    <m/>
    <x v="43"/>
    <m/>
  </r>
  <r>
    <n v="905"/>
    <x v="72"/>
    <s v="TEL"/>
    <n v="71315"/>
    <n v="583.16999999999996"/>
    <m/>
    <m/>
    <m/>
    <x v="43"/>
    <m/>
  </r>
  <r>
    <n v="592"/>
    <x v="0"/>
    <s v="WHATS"/>
    <n v="72353"/>
    <n v="1093.8599999999999"/>
    <m/>
    <m/>
    <m/>
    <x v="43"/>
    <m/>
  </r>
  <r>
    <n v="784"/>
    <x v="13"/>
    <s v="WHATS"/>
    <n v="72133"/>
    <n v="3650.34"/>
    <m/>
    <m/>
    <m/>
    <x v="43"/>
    <m/>
  </r>
  <r>
    <n v="746"/>
    <x v="3"/>
    <s v="TEL"/>
    <n v="98395"/>
    <n v="201.7"/>
    <m/>
    <m/>
    <m/>
    <x v="43"/>
    <m/>
  </r>
  <r>
    <n v="746"/>
    <x v="3"/>
    <s v="TEL"/>
    <n v="72392"/>
    <n v="3439.02"/>
    <m/>
    <m/>
    <m/>
    <x v="44"/>
    <m/>
  </r>
  <r>
    <n v="823"/>
    <x v="17"/>
    <s v="TEL"/>
    <n v="71504"/>
    <n v="3860.18"/>
    <m/>
    <m/>
    <m/>
    <x v="44"/>
    <m/>
  </r>
  <r>
    <n v="823"/>
    <x v="17"/>
    <s v="TEL"/>
    <n v="98317"/>
    <n v="1077.6500000000001"/>
    <m/>
    <m/>
    <m/>
    <x v="44"/>
    <m/>
  </r>
  <r>
    <n v="50558"/>
    <x v="2"/>
    <s v="EMAIL"/>
    <n v="72387"/>
    <n v="1476"/>
    <m/>
    <m/>
    <m/>
    <x v="44"/>
    <m/>
  </r>
  <r>
    <n v="731"/>
    <x v="4"/>
    <s v="WHATS"/>
    <n v="72408"/>
    <n v="1515"/>
    <m/>
    <m/>
    <m/>
    <x v="44"/>
    <m/>
  </r>
  <r>
    <n v="2702"/>
    <x v="73"/>
    <s v="WHATS"/>
    <n v="72319"/>
    <n v="331.4"/>
    <m/>
    <m/>
    <m/>
    <x v="44"/>
    <m/>
  </r>
  <r>
    <n v="708"/>
    <x v="56"/>
    <s v="WHATS"/>
    <n v="72368"/>
    <n v="145.5"/>
    <m/>
    <m/>
    <m/>
    <x v="44"/>
    <m/>
  </r>
  <r>
    <n v="3475"/>
    <x v="59"/>
    <s v="WHATS"/>
    <n v="72002"/>
    <n v="458.9"/>
    <m/>
    <m/>
    <m/>
    <x v="44"/>
    <m/>
  </r>
  <r>
    <n v="761"/>
    <x v="24"/>
    <s v="WHATS"/>
    <n v="98404"/>
    <n v="299.05"/>
    <m/>
    <m/>
    <m/>
    <x v="44"/>
    <m/>
  </r>
  <r>
    <n v="761"/>
    <x v="24"/>
    <s v="WHATS"/>
    <n v="71459"/>
    <n v="195"/>
    <m/>
    <m/>
    <m/>
    <x v="44"/>
    <m/>
  </r>
  <r>
    <n v="761"/>
    <x v="24"/>
    <s v="WHATS"/>
    <n v="72432"/>
    <n v="810.87"/>
    <m/>
    <m/>
    <m/>
    <x v="44"/>
    <m/>
  </r>
  <r>
    <n v="731"/>
    <x v="4"/>
    <s v="WHATS"/>
    <n v="72468"/>
    <n v="243.9"/>
    <m/>
    <m/>
    <m/>
    <x v="44"/>
    <m/>
  </r>
  <r>
    <n v="731"/>
    <x v="4"/>
    <s v="WHATS"/>
    <n v="98412"/>
    <n v="118"/>
    <m/>
    <m/>
    <m/>
    <x v="45"/>
    <m/>
  </r>
  <r>
    <n v="581"/>
    <x v="74"/>
    <s v="WHATS"/>
    <n v="72494"/>
    <n v="110"/>
    <m/>
    <m/>
    <m/>
    <x v="45"/>
    <m/>
  </r>
  <r>
    <n v="581"/>
    <x v="74"/>
    <s v="WHATS"/>
    <n v="98418"/>
    <n v="2256.21"/>
    <m/>
    <m/>
    <m/>
    <x v="45"/>
    <m/>
  </r>
  <r>
    <n v="311"/>
    <x v="46"/>
    <s v="WHATS"/>
    <n v="72502"/>
    <n v="1223.8499999999999"/>
    <m/>
    <m/>
    <m/>
    <x v="45"/>
    <m/>
  </r>
  <r>
    <n v="311"/>
    <x v="46"/>
    <s v="WHATS"/>
    <n v="98417"/>
    <n v="367.6"/>
    <m/>
    <m/>
    <m/>
    <x v="45"/>
    <m/>
  </r>
  <r>
    <n v="960"/>
    <x v="30"/>
    <s v="WHATS"/>
    <n v="72471"/>
    <n v="505"/>
    <m/>
    <m/>
    <m/>
    <x v="45"/>
    <m/>
  </r>
  <r>
    <n v="432"/>
    <x v="43"/>
    <s v="WHATS"/>
    <n v="72435"/>
    <n v="3484.95"/>
    <m/>
    <m/>
    <m/>
    <x v="45"/>
    <m/>
  </r>
  <r>
    <n v="432"/>
    <x v="43"/>
    <s v="WHATS"/>
    <n v="98396"/>
    <n v="206.47"/>
    <m/>
    <m/>
    <m/>
    <x v="45"/>
    <m/>
  </r>
  <r>
    <n v="708"/>
    <x v="56"/>
    <s v="WHATS"/>
    <n v="72506"/>
    <n v="700"/>
    <m/>
    <m/>
    <m/>
    <x v="45"/>
    <m/>
  </r>
  <r>
    <n v="3240"/>
    <x v="75"/>
    <s v="WHATS"/>
    <n v="72517"/>
    <n v="924.81"/>
    <m/>
    <m/>
    <m/>
    <x v="46"/>
    <m/>
  </r>
  <r>
    <n v="3240"/>
    <x v="75"/>
    <s v="WHATS"/>
    <n v="98426"/>
    <n v="446.01"/>
    <m/>
    <m/>
    <m/>
    <x v="46"/>
    <m/>
  </r>
  <r>
    <n v="50418"/>
    <x v="35"/>
    <s v="WHATS"/>
    <n v="72522"/>
    <n v="1035.5899999999999"/>
    <m/>
    <m/>
    <m/>
    <x v="46"/>
    <m/>
  </r>
  <r>
    <n v="1502"/>
    <x v="76"/>
    <s v="EMAIL"/>
    <n v="72531"/>
    <n v="2602"/>
    <m/>
    <m/>
    <m/>
    <x v="46"/>
    <m/>
  </r>
  <r>
    <n v="50219"/>
    <x v="14"/>
    <s v="WHATS"/>
    <n v="73540"/>
    <n v="884.8"/>
    <m/>
    <m/>
    <m/>
    <x v="46"/>
    <m/>
  </r>
  <r>
    <n v="480"/>
    <x v="39"/>
    <s v="WHATS"/>
    <n v="72544"/>
    <n v="1768.73"/>
    <m/>
    <m/>
    <m/>
    <x v="46"/>
    <m/>
  </r>
  <r>
    <n v="690"/>
    <x v="19"/>
    <s v="TEL"/>
    <n v="98436"/>
    <n v="899.15"/>
    <m/>
    <m/>
    <m/>
    <x v="47"/>
    <m/>
  </r>
  <r>
    <n v="690"/>
    <x v="19"/>
    <s v="TEL"/>
    <n v="72566"/>
    <n v="6810.5"/>
    <m/>
    <m/>
    <m/>
    <x v="47"/>
    <m/>
  </r>
  <r>
    <n v="3153"/>
    <x v="12"/>
    <s v="WHATS"/>
    <n v="72562"/>
    <n v="2897.8"/>
    <m/>
    <m/>
    <m/>
    <x v="47"/>
    <m/>
  </r>
  <r>
    <n v="3194"/>
    <x v="18"/>
    <s v="TEL"/>
    <n v="94837"/>
    <n v="60.3"/>
    <m/>
    <m/>
    <m/>
    <x v="47"/>
    <m/>
  </r>
  <r>
    <n v="3194"/>
    <x v="18"/>
    <s v="TEL"/>
    <n v="72568"/>
    <n v="208.5"/>
    <m/>
    <m/>
    <m/>
    <x v="47"/>
    <m/>
  </r>
  <r>
    <n v="618"/>
    <x v="26"/>
    <s v="WHATS"/>
    <n v="72595"/>
    <n v="228.4"/>
    <m/>
    <m/>
    <m/>
    <x v="47"/>
    <m/>
  </r>
  <r>
    <n v="1262"/>
    <x v="0"/>
    <s v="WHATS"/>
    <n v="72577"/>
    <n v="698.4"/>
    <m/>
    <m/>
    <m/>
    <x v="47"/>
    <m/>
  </r>
  <r>
    <n v="2911"/>
    <x v="15"/>
    <s v="WHATS"/>
    <n v="98441"/>
    <n v="158.4"/>
    <m/>
    <m/>
    <m/>
    <x v="47"/>
    <m/>
  </r>
  <r>
    <n v="2911"/>
    <x v="15"/>
    <s v="WHATS"/>
    <n v="72572"/>
    <n v="1541.24"/>
    <m/>
    <m/>
    <m/>
    <x v="48"/>
    <m/>
  </r>
  <r>
    <n v="1206"/>
    <x v="33"/>
    <s v="TEL"/>
    <n v="72636"/>
    <n v="2277.9899999999998"/>
    <m/>
    <m/>
    <m/>
    <x v="48"/>
    <m/>
  </r>
  <r>
    <n v="1164"/>
    <x v="58"/>
    <s v="WHATS"/>
    <n v="72637"/>
    <n v="861.61"/>
    <m/>
    <m/>
    <m/>
    <x v="48"/>
    <m/>
  </r>
  <r>
    <n v="1164"/>
    <x v="58"/>
    <s v="WHATS"/>
    <n v="98452"/>
    <n v="60.76"/>
    <m/>
    <m/>
    <m/>
    <x v="48"/>
    <m/>
  </r>
  <r>
    <n v="475"/>
    <x v="23"/>
    <s v="WHATS"/>
    <n v="72479"/>
    <n v="19760.22"/>
    <m/>
    <m/>
    <m/>
    <x v="48"/>
    <m/>
  </r>
  <r>
    <n v="475"/>
    <x v="23"/>
    <s v="WHATS"/>
    <n v="98413"/>
    <n v="619.4"/>
    <m/>
    <m/>
    <m/>
    <x v="48"/>
    <m/>
  </r>
  <r>
    <n v="50554"/>
    <x v="20"/>
    <s v="TEL"/>
    <n v="72681"/>
    <n v="3247.1"/>
    <m/>
    <m/>
    <m/>
    <x v="48"/>
    <m/>
  </r>
  <r>
    <n v="50497"/>
    <x v="77"/>
    <s v="TEL"/>
    <n v="98464"/>
    <n v="788.2"/>
    <m/>
    <m/>
    <m/>
    <x v="48"/>
    <m/>
  </r>
  <r>
    <n v="432"/>
    <x v="43"/>
    <s v="WHATS"/>
    <n v="72684"/>
    <n v="388.55"/>
    <m/>
    <m/>
    <m/>
    <x v="49"/>
    <m/>
  </r>
  <r>
    <n v="731"/>
    <x v="4"/>
    <s v="WHATS"/>
    <n v="72703"/>
    <n v="1515"/>
    <m/>
    <m/>
    <m/>
    <x v="49"/>
    <m/>
  </r>
  <r>
    <n v="618"/>
    <x v="26"/>
    <s v="WHATS"/>
    <n v="98473"/>
    <n v="269.04000000000002"/>
    <m/>
    <m/>
    <m/>
    <x v="49"/>
    <m/>
  </r>
  <r>
    <n v="618"/>
    <x v="26"/>
    <s v="TEL"/>
    <n v="72728"/>
    <n v="521.70000000000005"/>
    <m/>
    <m/>
    <m/>
    <x v="49"/>
    <m/>
  </r>
  <r>
    <n v="874"/>
    <x v="53"/>
    <s v="WHATS"/>
    <n v="72732"/>
    <n v="1070.58"/>
    <m/>
    <m/>
    <m/>
    <x v="49"/>
    <m/>
  </r>
  <r>
    <n v="823"/>
    <x v="17"/>
    <s v="WHATS"/>
    <n v="72644"/>
    <n v="1864.86"/>
    <m/>
    <m/>
    <m/>
    <x v="49"/>
    <m/>
  </r>
  <r>
    <n v="756"/>
    <x v="8"/>
    <s v="WHATS"/>
    <n v="98476"/>
    <n v="206.47"/>
    <m/>
    <m/>
    <m/>
    <x v="49"/>
    <m/>
  </r>
  <r>
    <n v="756"/>
    <x v="8"/>
    <s v="WHATS"/>
    <n v="72737"/>
    <n v="5783.68"/>
    <m/>
    <m/>
    <m/>
    <x v="49"/>
    <m/>
  </r>
  <r>
    <n v="50576"/>
    <x v="37"/>
    <s v="WHATS"/>
    <n v="72744"/>
    <n v="2365.86"/>
    <m/>
    <m/>
    <m/>
    <x v="50"/>
    <m/>
  </r>
  <r>
    <n v="50576"/>
    <x v="37"/>
    <s v="WHATS"/>
    <n v="98478"/>
    <n v="260.7"/>
    <m/>
    <m/>
    <m/>
    <x v="50"/>
    <m/>
  </r>
  <r>
    <n v="731"/>
    <x v="4"/>
    <s v="WHATS"/>
    <n v="72741"/>
    <n v="358.5"/>
    <m/>
    <m/>
    <m/>
    <x v="50"/>
    <m/>
  </r>
  <r>
    <n v="516"/>
    <x v="11"/>
    <s v="WHATS"/>
    <n v="71923"/>
    <n v="5693.58"/>
    <m/>
    <m/>
    <m/>
    <x v="50"/>
    <m/>
  </r>
  <r>
    <n v="731"/>
    <x v="4"/>
    <s v="WHATS"/>
    <n v="72759"/>
    <n v="1010"/>
    <m/>
    <m/>
    <m/>
    <x v="50"/>
    <m/>
  </r>
  <r>
    <n v="708"/>
    <x v="56"/>
    <s v="WHATS"/>
    <n v="72768"/>
    <n v="1327.5"/>
    <m/>
    <m/>
    <m/>
    <x v="50"/>
    <m/>
  </r>
  <r>
    <n v="364"/>
    <x v="31"/>
    <s v="WHATS"/>
    <n v="72772"/>
    <n v="164.2"/>
    <m/>
    <m/>
    <m/>
    <x v="50"/>
    <m/>
  </r>
  <r>
    <n v="364"/>
    <x v="31"/>
    <s v="WHATS"/>
    <n v="98482"/>
    <n v="185.48"/>
    <m/>
    <m/>
    <m/>
    <x v="50"/>
    <m/>
  </r>
  <r>
    <n v="463"/>
    <x v="32"/>
    <s v="WHATS"/>
    <n v="72788"/>
    <n v="894.4"/>
    <m/>
    <m/>
    <m/>
    <x v="51"/>
    <m/>
  </r>
  <r>
    <n v="50558"/>
    <x v="2"/>
    <s v="EMAIL"/>
    <n v="72789"/>
    <n v="2385"/>
    <m/>
    <m/>
    <m/>
    <x v="51"/>
    <m/>
  </r>
  <r>
    <n v="1533"/>
    <x v="50"/>
    <s v="WHATS"/>
    <n v="72651"/>
    <n v="706.2"/>
    <m/>
    <m/>
    <m/>
    <x v="51"/>
    <m/>
  </r>
  <r>
    <n v="513"/>
    <x v="0"/>
    <s v="WHATS"/>
    <n v="72802"/>
    <n v="2955"/>
    <n v="1"/>
    <n v="2995"/>
    <m/>
    <x v="51"/>
    <m/>
  </r>
  <r>
    <n v="1041"/>
    <x v="78"/>
    <s v="WHATS"/>
    <n v="72800"/>
    <n v="594.5"/>
    <m/>
    <m/>
    <m/>
    <x v="51"/>
    <m/>
  </r>
  <r>
    <n v="762"/>
    <x v="41"/>
    <s v="EMAIL"/>
    <n v="72610"/>
    <n v="3974.3"/>
    <m/>
    <m/>
    <m/>
    <x v="51"/>
    <m/>
  </r>
  <r>
    <n v="762"/>
    <x v="41"/>
    <s v="EMAIL"/>
    <n v="72611"/>
    <n v="9420.3799999999992"/>
    <m/>
    <m/>
    <m/>
    <x v="51"/>
    <m/>
  </r>
  <r>
    <n v="51175"/>
    <x v="79"/>
    <s v="WHATS"/>
    <n v="72834"/>
    <n v="164.15"/>
    <m/>
    <m/>
    <m/>
    <x v="52"/>
    <m/>
  </r>
  <r>
    <n v="3017"/>
    <x v="62"/>
    <s v="WHATS"/>
    <n v="72898"/>
    <n v="657.88"/>
    <m/>
    <m/>
    <m/>
    <x v="52"/>
    <m/>
  </r>
  <r>
    <n v="980"/>
    <x v="80"/>
    <s v="WHATS"/>
    <n v="72901"/>
    <n v="142"/>
    <m/>
    <m/>
    <m/>
    <x v="52"/>
    <m/>
  </r>
  <r>
    <n v="620"/>
    <x v="69"/>
    <s v="WHATS"/>
    <n v="72909"/>
    <n v="554.67999999999995"/>
    <m/>
    <m/>
    <m/>
    <x v="52"/>
    <m/>
  </r>
  <r>
    <n v="1806"/>
    <x v="54"/>
    <s v="EMAIL"/>
    <n v="72888"/>
    <n v="822.6"/>
    <m/>
    <m/>
    <m/>
    <x v="52"/>
    <m/>
  </r>
  <r>
    <n v="335"/>
    <x v="9"/>
    <s v="WHATS"/>
    <n v="72874"/>
    <n v="379.47"/>
    <m/>
    <m/>
    <m/>
    <x v="52"/>
    <m/>
  </r>
  <r>
    <n v="335"/>
    <x v="9"/>
    <s v="WHATS"/>
    <n v="98497"/>
    <n v="432.3"/>
    <m/>
    <m/>
    <m/>
    <x v="52"/>
    <m/>
  </r>
  <r>
    <n v="620"/>
    <x v="69"/>
    <s v="WHATS"/>
    <n v="98509"/>
    <n v="220.2"/>
    <m/>
    <m/>
    <m/>
    <x v="52"/>
    <m/>
  </r>
  <r>
    <n v="480"/>
    <x v="39"/>
    <s v="WHATS"/>
    <n v="72932"/>
    <n v="2890"/>
    <m/>
    <m/>
    <m/>
    <x v="53"/>
    <m/>
  </r>
  <r>
    <n v="520"/>
    <x v="0"/>
    <s v="WHATS"/>
    <n v="98514"/>
    <n v="585.15"/>
    <m/>
    <m/>
    <m/>
    <x v="53"/>
    <m/>
  </r>
  <r>
    <n v="520"/>
    <x v="0"/>
    <s v="WHATS"/>
    <n v="72963"/>
    <n v="1047.8"/>
    <m/>
    <m/>
    <m/>
    <x v="53"/>
    <m/>
  </r>
  <r>
    <n v="3190"/>
    <x v="60"/>
    <s v="WHATS"/>
    <n v="73006"/>
    <n v="1289.9000000000001"/>
    <m/>
    <m/>
    <m/>
    <x v="54"/>
    <m/>
  </r>
  <r>
    <n v="3190"/>
    <x v="60"/>
    <s v="WHATS"/>
    <n v="72989"/>
    <n v="4280"/>
    <n v="1"/>
    <n v="4280"/>
    <m/>
    <x v="54"/>
    <m/>
  </r>
  <r>
    <n v="2163"/>
    <x v="36"/>
    <s v="TEL"/>
    <n v="73003"/>
    <n v="2211"/>
    <m/>
    <m/>
    <m/>
    <x v="54"/>
    <m/>
  </r>
  <r>
    <n v="1652"/>
    <x v="61"/>
    <s v="TEL"/>
    <n v="73014"/>
    <n v="271.01"/>
    <m/>
    <m/>
    <m/>
    <x v="54"/>
    <m/>
  </r>
  <r>
    <n v="1652"/>
    <x v="61"/>
    <s v="TEL"/>
    <n v="98332"/>
    <n v="154.05000000000001"/>
    <m/>
    <m/>
    <m/>
    <x v="54"/>
    <m/>
  </r>
  <r>
    <n v="9063"/>
    <x v="22"/>
    <s v="WHATS"/>
    <n v="73027"/>
    <n v="279.60000000000002"/>
    <m/>
    <m/>
    <m/>
    <x v="55"/>
    <m/>
  </r>
  <r>
    <n v="705"/>
    <x v="1"/>
    <s v="TEL"/>
    <n v="72422"/>
    <n v="1178"/>
    <m/>
    <m/>
    <m/>
    <x v="55"/>
    <m/>
  </r>
  <r>
    <n v="2163"/>
    <x v="36"/>
    <s v="TEL"/>
    <n v="73031"/>
    <n v="239.2"/>
    <m/>
    <m/>
    <m/>
    <x v="55"/>
    <m/>
  </r>
  <r>
    <n v="475"/>
    <x v="23"/>
    <s v="WHATS"/>
    <n v="72818"/>
    <n v="5315.57"/>
    <m/>
    <m/>
    <m/>
    <x v="55"/>
    <m/>
  </r>
  <r>
    <n v="475"/>
    <x v="23"/>
    <s v="WHATS"/>
    <n v="98527"/>
    <n v="95.8"/>
    <m/>
    <m/>
    <m/>
    <x v="55"/>
    <m/>
  </r>
  <r>
    <n v="432"/>
    <x v="43"/>
    <s v="WHATS"/>
    <n v="73035"/>
    <n v="854.31"/>
    <m/>
    <m/>
    <m/>
    <x v="55"/>
    <m/>
  </r>
  <r>
    <n v="3153"/>
    <x v="12"/>
    <s v="WHATS"/>
    <n v="72671"/>
    <n v="1410"/>
    <m/>
    <m/>
    <m/>
    <x v="55"/>
    <m/>
  </r>
  <r>
    <n v="516"/>
    <x v="11"/>
    <s v="WHATS"/>
    <n v="72934"/>
    <n v="5088.8999999999996"/>
    <m/>
    <m/>
    <m/>
    <x v="55"/>
    <m/>
  </r>
  <r>
    <n v="1742"/>
    <x v="81"/>
    <s v="WHATS"/>
    <n v="73085"/>
    <n v="1011.3"/>
    <m/>
    <m/>
    <m/>
    <x v="56"/>
    <m/>
  </r>
  <r>
    <n v="756"/>
    <x v="8"/>
    <s v="WHATS"/>
    <n v="72950"/>
    <n v="1479.9"/>
    <m/>
    <m/>
    <m/>
    <x v="56"/>
    <m/>
  </r>
  <r>
    <n v="575"/>
    <x v="45"/>
    <s v="TEL"/>
    <n v="73097"/>
    <n v="239.45"/>
    <m/>
    <m/>
    <m/>
    <x v="56"/>
    <m/>
  </r>
  <r>
    <n v="2955"/>
    <x v="82"/>
    <s v="WHATS"/>
    <n v="73093"/>
    <n v="165.39"/>
    <m/>
    <m/>
    <m/>
    <x v="56"/>
    <m/>
  </r>
  <r>
    <n v="2397"/>
    <x v="6"/>
    <s v="TEL"/>
    <n v="72615"/>
    <n v="1103"/>
    <m/>
    <m/>
    <m/>
    <x v="56"/>
    <m/>
  </r>
  <r>
    <n v="1026"/>
    <x v="7"/>
    <s v="TEL"/>
    <n v="73101"/>
    <n v="1016.7"/>
    <m/>
    <m/>
    <m/>
    <x v="56"/>
    <m/>
  </r>
  <r>
    <n v="1164"/>
    <x v="58"/>
    <s v="TEL"/>
    <n v="72637"/>
    <n v="1256.79"/>
    <m/>
    <m/>
    <m/>
    <x v="56"/>
    <m/>
  </r>
  <r>
    <n v="704"/>
    <x v="49"/>
    <s v="WHATS"/>
    <n v="72952"/>
    <n v="598"/>
    <m/>
    <m/>
    <m/>
    <x v="56"/>
    <m/>
  </r>
  <r>
    <n v="906"/>
    <x v="27"/>
    <s v="WHATS"/>
    <n v="73109"/>
    <n v="1196"/>
    <m/>
    <m/>
    <m/>
    <x v="57"/>
    <m/>
  </r>
  <r>
    <n v="708"/>
    <x v="56"/>
    <s v="WHATS"/>
    <n v="73114"/>
    <n v="1257.5"/>
    <m/>
    <m/>
    <m/>
    <x v="57"/>
    <m/>
  </r>
  <r>
    <n v="572"/>
    <x v="51"/>
    <s v="WHATS"/>
    <n v="73107"/>
    <n v="480"/>
    <m/>
    <m/>
    <m/>
    <x v="57"/>
    <m/>
  </r>
  <r>
    <n v="475"/>
    <x v="23"/>
    <s v="TEL"/>
    <n v="73119"/>
    <n v="1740.9"/>
    <m/>
    <m/>
    <m/>
    <x v="57"/>
    <m/>
  </r>
  <r>
    <n v="475"/>
    <x v="23"/>
    <s v="WHATS"/>
    <n v="73040"/>
    <n v="505"/>
    <m/>
    <m/>
    <m/>
    <x v="57"/>
    <m/>
  </r>
  <r>
    <n v="2955"/>
    <x v="82"/>
    <s v="WHATS"/>
    <n v="73124"/>
    <n v="302.10000000000002"/>
    <m/>
    <m/>
    <m/>
    <x v="57"/>
    <m/>
  </r>
  <r>
    <n v="364"/>
    <x v="31"/>
    <s v="WHATS"/>
    <n v="72772"/>
    <n v="246.7"/>
    <m/>
    <m/>
    <m/>
    <x v="57"/>
    <m/>
  </r>
  <r>
    <n v="364"/>
    <x v="31"/>
    <s v="WHATS"/>
    <n v="98482"/>
    <n v="185.48"/>
    <m/>
    <m/>
    <m/>
    <x v="57"/>
    <m/>
  </r>
  <r>
    <n v="3190"/>
    <x v="60"/>
    <s v="WHATS"/>
    <n v="73138"/>
    <n v="1850"/>
    <n v="1"/>
    <n v="1850"/>
    <m/>
    <x v="57"/>
    <m/>
  </r>
  <r>
    <n v="1206"/>
    <x v="33"/>
    <s v="WHATS"/>
    <n v="73145"/>
    <n v="675.84"/>
    <m/>
    <m/>
    <m/>
    <x v="57"/>
    <m/>
  </r>
  <r>
    <n v="2911"/>
    <x v="15"/>
    <s v="WHATS"/>
    <n v="73149"/>
    <n v="397.81"/>
    <m/>
    <m/>
    <m/>
    <x v="57"/>
    <m/>
  </r>
  <r>
    <n v="3018"/>
    <x v="64"/>
    <s v="WHATS"/>
    <n v="98549"/>
    <n v="342"/>
    <m/>
    <m/>
    <m/>
    <x v="57"/>
    <m/>
  </r>
  <r>
    <n v="3018"/>
    <x v="64"/>
    <s v="WHATS"/>
    <n v="73152"/>
    <n v="475"/>
    <m/>
    <m/>
    <m/>
    <x v="57"/>
    <m/>
  </r>
  <r>
    <n v="50497"/>
    <x v="77"/>
    <s v="WHATS"/>
    <n v="98552"/>
    <n v="96.6"/>
    <m/>
    <m/>
    <m/>
    <x v="57"/>
    <m/>
  </r>
  <r>
    <n v="50497"/>
    <x v="77"/>
    <s v="WHATS"/>
    <n v="73160"/>
    <n v="518.4"/>
    <m/>
    <m/>
    <m/>
    <x v="57"/>
    <m/>
  </r>
  <r>
    <n v="2022"/>
    <x v="28"/>
    <s v="EMAIL"/>
    <n v="73173"/>
    <n v="2368.5"/>
    <m/>
    <m/>
    <m/>
    <x v="58"/>
    <m/>
  </r>
  <r>
    <n v="761"/>
    <x v="24"/>
    <s v="WHATS"/>
    <n v="98548"/>
    <n v="204"/>
    <m/>
    <m/>
    <m/>
    <x v="58"/>
    <m/>
  </r>
  <r>
    <n v="761"/>
    <x v="24"/>
    <s v="WHATS"/>
    <n v="73187"/>
    <n v="347"/>
    <m/>
    <m/>
    <m/>
    <x v="58"/>
    <m/>
  </r>
  <r>
    <n v="1493"/>
    <x v="21"/>
    <s v="WHATS"/>
    <n v="73214"/>
    <n v="609.20000000000005"/>
    <m/>
    <m/>
    <m/>
    <x v="58"/>
    <m/>
  </r>
  <r>
    <n v="1652"/>
    <x v="61"/>
    <s v="WHATS"/>
    <n v="98332"/>
    <n v="264.05"/>
    <m/>
    <m/>
    <m/>
    <x v="58"/>
    <m/>
  </r>
  <r>
    <n v="1652"/>
    <x v="61"/>
    <s v="WHATS"/>
    <n v="73017"/>
    <n v="374.82"/>
    <m/>
    <m/>
    <m/>
    <x v="58"/>
    <m/>
  </r>
  <r>
    <n v="463"/>
    <x v="32"/>
    <s v="WHATS"/>
    <n v="73020"/>
    <n v="766.9"/>
    <m/>
    <m/>
    <m/>
    <x v="58"/>
    <m/>
  </r>
  <r>
    <n v="1240"/>
    <x v="25"/>
    <s v="WHATS"/>
    <n v="73116"/>
    <n v="606.52"/>
    <m/>
    <m/>
    <m/>
    <x v="58"/>
    <m/>
  </r>
  <r>
    <n v="2955"/>
    <x v="82"/>
    <s v="TEL"/>
    <n v="73216"/>
    <n v="2011.9"/>
    <m/>
    <m/>
    <m/>
    <x v="58"/>
    <m/>
  </r>
  <r>
    <n v="1616"/>
    <x v="83"/>
    <s v="WHATS"/>
    <n v="73224"/>
    <n v="710"/>
    <m/>
    <m/>
    <m/>
    <x v="59"/>
    <m/>
  </r>
  <r>
    <n v="618"/>
    <x v="26"/>
    <s v="TEL"/>
    <n v="98561"/>
    <n v="52.13"/>
    <m/>
    <m/>
    <m/>
    <x v="59"/>
    <m/>
  </r>
  <r>
    <n v="618"/>
    <x v="26"/>
    <s v="TEL"/>
    <n v="73241"/>
    <n v="2015"/>
    <m/>
    <m/>
    <m/>
    <x v="59"/>
    <m/>
  </r>
  <r>
    <n v="822"/>
    <x v="66"/>
    <s v="TEL"/>
    <n v="72946"/>
    <n v="1010"/>
    <m/>
    <m/>
    <m/>
    <x v="59"/>
    <m/>
  </r>
  <r>
    <n v="1026"/>
    <x v="7"/>
    <s v="WHATS"/>
    <n v="72679"/>
    <n v="1177.5"/>
    <m/>
    <m/>
    <m/>
    <x v="59"/>
    <m/>
  </r>
  <r>
    <n v="50728"/>
    <x v="84"/>
    <s v="WHATS"/>
    <n v="73264"/>
    <n v="1010"/>
    <m/>
    <m/>
    <m/>
    <x v="59"/>
    <m/>
  </r>
  <r>
    <n v="1989"/>
    <x v="67"/>
    <s v="WHATS"/>
    <n v="72334"/>
    <n v="606.13"/>
    <m/>
    <m/>
    <m/>
    <x v="59"/>
    <m/>
  </r>
  <r>
    <n v="50554"/>
    <x v="20"/>
    <s v="WHATS"/>
    <n v="72333"/>
    <n v="189"/>
    <m/>
    <m/>
    <m/>
    <x v="59"/>
    <m/>
  </r>
  <r>
    <n v="690"/>
    <x v="19"/>
    <s v="WHATS"/>
    <n v="72332"/>
    <n v="189"/>
    <m/>
    <m/>
    <m/>
    <x v="59"/>
    <m/>
  </r>
  <r>
    <n v="2763"/>
    <x v="68"/>
    <s v="WHATS"/>
    <n v="72335"/>
    <n v="561"/>
    <m/>
    <m/>
    <m/>
    <x v="59"/>
    <m/>
  </r>
  <r>
    <n v="741"/>
    <x v="85"/>
    <s v="WHATS"/>
    <n v="73283"/>
    <n v="1010"/>
    <m/>
    <m/>
    <m/>
    <x v="60"/>
    <m/>
  </r>
  <r>
    <n v="592"/>
    <x v="0"/>
    <s v="WHATS"/>
    <n v="72890"/>
    <n v="1515"/>
    <m/>
    <m/>
    <m/>
    <x v="60"/>
    <m/>
  </r>
  <r>
    <n v="50728"/>
    <x v="84"/>
    <s v="WHATS"/>
    <n v="73265"/>
    <n v="1010"/>
    <m/>
    <m/>
    <m/>
    <x v="60"/>
    <m/>
  </r>
  <r>
    <n v="50576"/>
    <x v="37"/>
    <s v="WHATS"/>
    <n v="73297"/>
    <n v="505"/>
    <m/>
    <m/>
    <m/>
    <x v="60"/>
    <m/>
  </r>
  <r>
    <n v="1813"/>
    <x v="48"/>
    <s v="WHATS"/>
    <n v="73300"/>
    <n v="468.7"/>
    <m/>
    <m/>
    <m/>
    <x v="60"/>
    <m/>
  </r>
  <r>
    <n v="3077"/>
    <x v="10"/>
    <s v="TEL"/>
    <n v="98569"/>
    <n v="123.48"/>
    <m/>
    <m/>
    <m/>
    <x v="61"/>
    <m/>
  </r>
  <r>
    <n v="3077"/>
    <x v="10"/>
    <s v="TEL"/>
    <n v="73317"/>
    <n v="1134.3"/>
    <m/>
    <m/>
    <m/>
    <x v="61"/>
    <m/>
  </r>
  <r>
    <n v="823"/>
    <x v="17"/>
    <s v="WHATS"/>
    <n v="73333"/>
    <n v="85.78"/>
    <m/>
    <m/>
    <m/>
    <x v="61"/>
    <m/>
  </r>
  <r>
    <n v="364"/>
    <x v="31"/>
    <s v="WHATS"/>
    <n v="73341"/>
    <n v="560"/>
    <m/>
    <m/>
    <m/>
    <x v="61"/>
    <m/>
  </r>
  <r>
    <n v="475"/>
    <x v="23"/>
    <s v="WHATS"/>
    <n v="98575"/>
    <n v="239.6"/>
    <m/>
    <m/>
    <m/>
    <x v="62"/>
    <m/>
  </r>
  <r>
    <n v="475"/>
    <x v="23"/>
    <s v="WHATS"/>
    <n v="73165"/>
    <n v="7769.28"/>
    <m/>
    <m/>
    <m/>
    <x v="62"/>
    <m/>
  </r>
  <r>
    <n v="1164"/>
    <x v="58"/>
    <s v="TEL"/>
    <n v="98576"/>
    <n v="71.45"/>
    <m/>
    <m/>
    <m/>
    <x v="62"/>
    <m/>
  </r>
  <r>
    <n v="1164"/>
    <x v="58"/>
    <s v="TEL"/>
    <n v="73371"/>
    <n v="1160.3599999999999"/>
    <m/>
    <m/>
    <m/>
    <x v="62"/>
    <m/>
  </r>
  <r>
    <n v="50312"/>
    <x v="86"/>
    <s v="TEL"/>
    <n v="73390"/>
    <n v="575.85"/>
    <m/>
    <m/>
    <m/>
    <x v="62"/>
    <m/>
  </r>
  <r>
    <n v="1122"/>
    <x v="87"/>
    <s v="EMAIL"/>
    <n v="73388"/>
    <n v="824"/>
    <m/>
    <m/>
    <m/>
    <x v="62"/>
    <m/>
  </r>
  <r>
    <n v="1122"/>
    <x v="87"/>
    <s v="EMAIL"/>
    <n v="73386"/>
    <n v="2305.5500000000002"/>
    <m/>
    <m/>
    <m/>
    <x v="62"/>
    <m/>
  </r>
  <r>
    <n v="822"/>
    <x v="66"/>
    <s v="TEL"/>
    <n v="73403"/>
    <n v="1515"/>
    <m/>
    <m/>
    <m/>
    <x v="62"/>
    <m/>
  </r>
  <r>
    <n v="1493"/>
    <x v="21"/>
    <s v="WHATS"/>
    <n v="73424"/>
    <n v="766.02"/>
    <m/>
    <m/>
    <m/>
    <x v="63"/>
    <m/>
  </r>
  <r>
    <n v="1616"/>
    <x v="83"/>
    <s v="WHATS"/>
    <n v="73396"/>
    <n v="1113"/>
    <m/>
    <m/>
    <m/>
    <x v="63"/>
    <m/>
  </r>
  <r>
    <n v="2192"/>
    <x v="0"/>
    <s v="WHATS"/>
    <n v="73396"/>
    <n v="2655.19"/>
    <m/>
    <m/>
    <m/>
    <x v="63"/>
    <m/>
  </r>
  <r>
    <n v="885"/>
    <x v="88"/>
    <s v="WHATS"/>
    <n v="73334"/>
    <n v="3324.04"/>
    <m/>
    <m/>
    <m/>
    <x v="63"/>
    <m/>
  </r>
  <r>
    <n v="50222"/>
    <x v="89"/>
    <s v="WHATS"/>
    <n v="73450"/>
    <n v="1403.82"/>
    <m/>
    <m/>
    <m/>
    <x v="63"/>
    <m/>
  </r>
  <r>
    <n v="311"/>
    <x v="46"/>
    <s v="WHATS"/>
    <n v="73473"/>
    <n v="184.1"/>
    <m/>
    <m/>
    <m/>
    <x v="63"/>
    <m/>
  </r>
  <r>
    <n v="311"/>
    <x v="46"/>
    <s v="WHATS"/>
    <n v="98599"/>
    <n v="806.91"/>
    <m/>
    <m/>
    <m/>
    <x v="63"/>
    <m/>
  </r>
  <r>
    <n v="784"/>
    <x v="13"/>
    <s v="WHATS"/>
    <n v="73464"/>
    <n v="4041.26"/>
    <m/>
    <m/>
    <m/>
    <x v="63"/>
    <m/>
  </r>
  <r>
    <n v="412"/>
    <x v="90"/>
    <s v="WHATS"/>
    <n v="73486"/>
    <n v="1228.8399999999999"/>
    <m/>
    <m/>
    <m/>
    <x v="63"/>
    <m/>
  </r>
  <r>
    <n v="1026"/>
    <x v="7"/>
    <s v="TEL"/>
    <n v="73496"/>
    <n v="2079.9"/>
    <m/>
    <m/>
    <m/>
    <x v="63"/>
    <m/>
  </r>
  <r>
    <n v="1842"/>
    <x v="47"/>
    <s v="WHATS"/>
    <n v="72288"/>
    <n v="692.6"/>
    <m/>
    <m/>
    <m/>
    <x v="63"/>
    <m/>
  </r>
  <r>
    <n v="1842"/>
    <x v="47"/>
    <s v="WHATS"/>
    <n v="98603"/>
    <n v="122.75"/>
    <m/>
    <m/>
    <m/>
    <x v="63"/>
    <m/>
  </r>
  <r>
    <n v="50418"/>
    <x v="35"/>
    <s v="WHATS"/>
    <n v="73500"/>
    <n v="1576.6"/>
    <m/>
    <m/>
    <m/>
    <x v="63"/>
    <m/>
  </r>
  <r>
    <n v="1262"/>
    <x v="0"/>
    <s v="WHATS"/>
    <n v="73208"/>
    <n v="583.36"/>
    <m/>
    <m/>
    <m/>
    <x v="64"/>
    <m/>
  </r>
  <r>
    <n v="1788"/>
    <x v="91"/>
    <s v="WHATS"/>
    <n v="73507"/>
    <n v="190"/>
    <m/>
    <m/>
    <m/>
    <x v="64"/>
    <m/>
  </r>
  <r>
    <n v="50219"/>
    <x v="14"/>
    <s v="WHATS"/>
    <n v="73528"/>
    <n v="1473.71"/>
    <m/>
    <m/>
    <m/>
    <x v="64"/>
    <m/>
  </r>
  <r>
    <n v="50222"/>
    <x v="89"/>
    <s v="WHATS"/>
    <n v="98610"/>
    <n v="171.06"/>
    <m/>
    <m/>
    <m/>
    <x v="64"/>
    <m/>
  </r>
  <r>
    <n v="3153"/>
    <x v="12"/>
    <s v="WHATS"/>
    <n v="73530"/>
    <n v="1455.7"/>
    <m/>
    <m/>
    <m/>
    <x v="64"/>
    <m/>
  </r>
  <r>
    <n v="475"/>
    <x v="23"/>
    <s v="WHATS"/>
    <n v="73522"/>
    <n v="904.09"/>
    <m/>
    <m/>
    <m/>
    <x v="64"/>
    <m/>
  </r>
  <r>
    <n v="2702"/>
    <x v="73"/>
    <s v="WHATS"/>
    <n v="73544"/>
    <n v="341.07"/>
    <m/>
    <m/>
    <m/>
    <x v="65"/>
    <m/>
  </r>
  <r>
    <n v="702"/>
    <x v="0"/>
    <s v="TEL"/>
    <n v="73554"/>
    <n v="879.56"/>
    <m/>
    <m/>
    <m/>
    <x v="65"/>
    <m/>
  </r>
  <r>
    <n v="1164"/>
    <x v="58"/>
    <s v="TEL"/>
    <n v="73555"/>
    <n v="533.79999999999995"/>
    <m/>
    <m/>
    <m/>
    <x v="65"/>
    <m/>
  </r>
  <r>
    <n v="50576"/>
    <x v="37"/>
    <s v="WHATS"/>
    <n v="73568"/>
    <n v="1878.18"/>
    <m/>
    <m/>
    <m/>
    <x v="65"/>
    <m/>
  </r>
  <r>
    <n v="911"/>
    <x v="0"/>
    <s v="WHATS"/>
    <n v="73572"/>
    <n v="1491.25"/>
    <m/>
    <m/>
    <m/>
    <x v="65"/>
    <m/>
  </r>
  <r>
    <n v="911"/>
    <x v="0"/>
    <s v="WHATS"/>
    <n v="98626"/>
    <n v="260.7"/>
    <m/>
    <m/>
    <m/>
    <x v="65"/>
    <m/>
  </r>
  <r>
    <n v="756"/>
    <x v="8"/>
    <s v="WHATS"/>
    <n v="73583"/>
    <n v="1091.6199999999999"/>
    <m/>
    <m/>
    <m/>
    <x v="65"/>
    <m/>
  </r>
  <r>
    <n v="2198"/>
    <x v="92"/>
    <s v="WHATS"/>
    <n v="73026"/>
    <n v="4180"/>
    <m/>
    <m/>
    <m/>
    <x v="65"/>
    <m/>
  </r>
  <r>
    <n v="432"/>
    <x v="43"/>
    <s v="WHATS"/>
    <n v="73506"/>
    <n v="1186.9000000000001"/>
    <m/>
    <m/>
    <m/>
    <x v="65"/>
    <m/>
  </r>
  <r>
    <n v="432"/>
    <x v="43"/>
    <s v="WHATS"/>
    <n v="98617"/>
    <n v="265.93"/>
    <m/>
    <m/>
    <m/>
    <x v="65"/>
    <m/>
  </r>
  <r>
    <n v="1971"/>
    <x v="29"/>
    <s v="WHATS"/>
    <n v="73591"/>
    <n v="683.5"/>
    <m/>
    <m/>
    <m/>
    <x v="65"/>
    <m/>
  </r>
  <r>
    <n v="1971"/>
    <x v="29"/>
    <s v="WHATS"/>
    <n v="98630"/>
    <n v="249.6"/>
    <m/>
    <m/>
    <m/>
    <x v="65"/>
    <m/>
  </r>
  <r>
    <n v="50554"/>
    <x v="20"/>
    <s v="WHATS"/>
    <n v="73531"/>
    <n v="3295.15"/>
    <m/>
    <m/>
    <m/>
    <x v="65"/>
    <m/>
  </r>
  <r>
    <n v="50497"/>
    <x v="77"/>
    <s v="WHATS"/>
    <n v="98611"/>
    <n v="580.6"/>
    <m/>
    <m/>
    <m/>
    <x v="66"/>
    <m/>
  </r>
  <r>
    <n v="3194"/>
    <x v="18"/>
    <s v="TEL"/>
    <n v="73605"/>
    <n v="802.5"/>
    <m/>
    <m/>
    <m/>
    <x v="66"/>
    <m/>
  </r>
  <r>
    <n v="746"/>
    <x v="3"/>
    <s v="TEL"/>
    <n v="73616"/>
    <n v="5148.66"/>
    <m/>
    <m/>
    <m/>
    <x v="66"/>
    <m/>
  </r>
  <r>
    <n v="746"/>
    <x v="3"/>
    <s v="TEL"/>
    <n v="98634"/>
    <n v="311"/>
    <m/>
    <m/>
    <m/>
    <x v="66"/>
    <m/>
  </r>
  <r>
    <n v="50936"/>
    <x v="93"/>
    <s v="WHATS"/>
    <n v="73625"/>
    <n v="492.6"/>
    <m/>
    <m/>
    <m/>
    <x v="66"/>
    <m/>
  </r>
  <r>
    <n v="761"/>
    <x v="24"/>
    <s v="WHATS"/>
    <n v="98601"/>
    <n v="314.2"/>
    <m/>
    <m/>
    <m/>
    <x v="66"/>
    <m/>
  </r>
  <r>
    <n v="761"/>
    <x v="24"/>
    <s v="WHATS"/>
    <n v="73557"/>
    <n v="74.7"/>
    <m/>
    <m/>
    <m/>
    <x v="66"/>
    <m/>
  </r>
  <r>
    <n v="1788"/>
    <x v="91"/>
    <s v="WHATS"/>
    <n v="73615"/>
    <n v="1585.08"/>
    <m/>
    <m/>
    <m/>
    <x v="66"/>
    <m/>
  </r>
  <r>
    <n v="500149"/>
    <x v="94"/>
    <s v="WHATS"/>
    <n v="73588"/>
    <n v="2142.12"/>
    <m/>
    <m/>
    <m/>
    <x v="66"/>
    <m/>
  </r>
  <r>
    <n v="364"/>
    <x v="31"/>
    <s v="WHATS"/>
    <n v="73659"/>
    <n v="2881.56"/>
    <m/>
    <m/>
    <m/>
    <x v="66"/>
    <m/>
  </r>
  <r>
    <n v="690"/>
    <x v="19"/>
    <s v="TEL"/>
    <n v="98640"/>
    <n v="885.1"/>
    <m/>
    <m/>
    <m/>
    <x v="66"/>
    <m/>
  </r>
  <r>
    <n v="690"/>
    <x v="19"/>
    <s v="TEL"/>
    <n v="73660"/>
    <n v="764.2"/>
    <m/>
    <m/>
    <m/>
    <x v="66"/>
    <m/>
  </r>
  <r>
    <n v="1206"/>
    <x v="33"/>
    <s v="TEL"/>
    <n v="73671"/>
    <n v="1684.16"/>
    <m/>
    <m/>
    <m/>
    <x v="67"/>
    <m/>
  </r>
  <r>
    <n v="3194"/>
    <x v="18"/>
    <s v="TEL"/>
    <n v="98632"/>
    <n v="251.4"/>
    <m/>
    <m/>
    <m/>
    <x v="67"/>
    <m/>
  </r>
  <r>
    <n v="822"/>
    <x v="66"/>
    <s v="TEL"/>
    <n v="98647"/>
    <n v="1141.68"/>
    <m/>
    <m/>
    <m/>
    <x v="67"/>
    <m/>
  </r>
  <r>
    <n v="822"/>
    <x v="66"/>
    <s v="TEL"/>
    <n v="73693"/>
    <n v="2183.8000000000002"/>
    <m/>
    <m/>
    <m/>
    <x v="67"/>
    <m/>
  </r>
  <r>
    <n v="412"/>
    <x v="90"/>
    <s v="WHATS"/>
    <n v="73697"/>
    <n v="565.78"/>
    <m/>
    <m/>
    <m/>
    <x v="67"/>
    <m/>
  </r>
  <r>
    <n v="475"/>
    <x v="23"/>
    <s v="WHATS"/>
    <n v="73740"/>
    <n v="3380.64"/>
    <m/>
    <m/>
    <m/>
    <x v="68"/>
    <m/>
  </r>
  <r>
    <n v="475"/>
    <x v="23"/>
    <s v="WHATS"/>
    <n v="98654"/>
    <n v="2618.5"/>
    <m/>
    <m/>
    <m/>
    <x v="68"/>
    <m/>
  </r>
  <r>
    <n v="1240"/>
    <x v="25"/>
    <s v="WHATS"/>
    <n v="73717"/>
    <n v="2412.5"/>
    <m/>
    <m/>
    <m/>
    <x v="68"/>
    <m/>
  </r>
  <r>
    <n v="50441"/>
    <x v="0"/>
    <s v="WHATS"/>
    <n v="73754"/>
    <n v="779.66"/>
    <m/>
    <m/>
    <m/>
    <x v="68"/>
    <m/>
  </r>
  <r>
    <n v="2980"/>
    <x v="40"/>
    <s v="WHATS"/>
    <n v="73636"/>
    <n v="992.67"/>
    <m/>
    <m/>
    <m/>
    <x v="68"/>
    <m/>
  </r>
  <r>
    <n v="2980"/>
    <x v="40"/>
    <s v="WHATS"/>
    <n v="98636"/>
    <n v="378.3"/>
    <m/>
    <m/>
    <m/>
    <x v="68"/>
    <m/>
  </r>
  <r>
    <n v="2415"/>
    <x v="63"/>
    <s v="TEL"/>
    <n v="73471"/>
    <n v="1951.2"/>
    <m/>
    <m/>
    <m/>
    <x v="68"/>
    <m/>
  </r>
  <r>
    <n v="3245"/>
    <x v="95"/>
    <s v="TEL"/>
    <n v="73769"/>
    <n v="827"/>
    <m/>
    <m/>
    <m/>
    <x v="68"/>
    <m/>
  </r>
  <r>
    <n v="50465"/>
    <x v="96"/>
    <s v="WHATS"/>
    <n v="73767"/>
    <n v="857.16"/>
    <m/>
    <m/>
    <m/>
    <x v="68"/>
    <m/>
  </r>
  <r>
    <n v="325"/>
    <x v="97"/>
    <s v="WHATS"/>
    <n v="98658"/>
    <n v="558.30999999999995"/>
    <m/>
    <m/>
    <m/>
    <x v="68"/>
    <m/>
  </r>
  <r>
    <n v="325"/>
    <x v="97"/>
    <s v="WHATS"/>
    <n v="73774"/>
    <n v="156"/>
    <m/>
    <m/>
    <m/>
    <x v="68"/>
    <m/>
  </r>
  <r>
    <n v="2911"/>
    <x v="15"/>
    <s v="WHATS"/>
    <n v="98624"/>
    <n v="152.5"/>
    <m/>
    <m/>
    <m/>
    <x v="68"/>
    <m/>
  </r>
  <r>
    <n v="2911"/>
    <x v="15"/>
    <s v="WHATS"/>
    <n v="73575"/>
    <n v="1181.25"/>
    <m/>
    <m/>
    <m/>
    <x v="68"/>
    <m/>
  </r>
  <r>
    <n v="50497"/>
    <x v="77"/>
    <s v="TEL"/>
    <n v="73667"/>
    <n v="482.05"/>
    <m/>
    <m/>
    <m/>
    <x v="68"/>
    <m/>
  </r>
  <r>
    <n v="906"/>
    <x v="27"/>
    <s v="WHATS"/>
    <n v="98660"/>
    <n v="1392.42"/>
    <m/>
    <m/>
    <m/>
    <x v="69"/>
    <m/>
  </r>
  <r>
    <n v="906"/>
    <x v="27"/>
    <s v="WHATS"/>
    <n v="73782"/>
    <n v="557"/>
    <m/>
    <m/>
    <m/>
    <x v="69"/>
    <m/>
  </r>
  <r>
    <n v="731"/>
    <x v="4"/>
    <s v="WHATS"/>
    <n v="73562"/>
    <n v="2450"/>
    <m/>
    <m/>
    <m/>
    <x v="69"/>
    <m/>
  </r>
  <r>
    <n v="725"/>
    <x v="65"/>
    <s v="WHATS"/>
    <n v="73823"/>
    <n v="1135.42"/>
    <m/>
    <m/>
    <m/>
    <x v="70"/>
    <m/>
  </r>
  <r>
    <n v="960"/>
    <x v="30"/>
    <s v="WHATS"/>
    <n v="98664"/>
    <n v="211.48"/>
    <m/>
    <m/>
    <m/>
    <x v="70"/>
    <m/>
  </r>
  <r>
    <n v="960"/>
    <x v="30"/>
    <s v="WHATS"/>
    <n v="73095"/>
    <n v="77.5"/>
    <m/>
    <m/>
    <m/>
    <x v="70"/>
    <m/>
  </r>
  <r>
    <n v="823"/>
    <x v="17"/>
    <s v="WHATS"/>
    <n v="73414"/>
    <n v="5065.6400000000003"/>
    <m/>
    <m/>
    <m/>
    <x v="70"/>
    <m/>
  </r>
  <r>
    <n v="823"/>
    <x v="17"/>
    <s v="WHATS"/>
    <n v="98666"/>
    <n v="110"/>
    <m/>
    <m/>
    <m/>
    <x v="70"/>
    <m/>
  </r>
  <r>
    <n v="1533"/>
    <x v="50"/>
    <s v="WHATS"/>
    <n v="73830"/>
    <n v="432"/>
    <m/>
    <m/>
    <m/>
    <x v="70"/>
    <m/>
  </r>
  <r>
    <n v="708"/>
    <x v="56"/>
    <s v="WHATS"/>
    <n v="73852"/>
    <n v="1257.5"/>
    <m/>
    <m/>
    <m/>
    <x v="70"/>
    <m/>
  </r>
  <r>
    <n v="480"/>
    <x v="39"/>
    <s v="WHATS"/>
    <n v="73878"/>
    <n v="942"/>
    <m/>
    <m/>
    <m/>
    <x v="70"/>
    <m/>
  </r>
  <r>
    <n v="906"/>
    <x v="27"/>
    <s v="TEL"/>
    <n v="73882"/>
    <n v="2701.36"/>
    <m/>
    <m/>
    <m/>
    <x v="70"/>
    <m/>
  </r>
  <r>
    <n v="746"/>
    <x v="3"/>
    <s v="TEL"/>
    <n v="73884"/>
    <n v="954"/>
    <m/>
    <m/>
    <m/>
    <x v="70"/>
    <m/>
  </r>
  <r>
    <n v="704"/>
    <x v="49"/>
    <s v="TEL"/>
    <n v="98677"/>
    <n v="944.26"/>
    <m/>
    <m/>
    <m/>
    <x v="70"/>
    <m/>
  </r>
  <r>
    <n v="704"/>
    <x v="49"/>
    <s v="TEL"/>
    <n v="73886"/>
    <n v="1242.27"/>
    <m/>
    <m/>
    <m/>
    <x v="70"/>
    <m/>
  </r>
  <r>
    <n v="772"/>
    <x v="71"/>
    <s v="WHATS"/>
    <n v="73864"/>
    <n v="833.95"/>
    <m/>
    <m/>
    <m/>
    <x v="70"/>
    <m/>
  </r>
  <r>
    <n v="772"/>
    <x v="71"/>
    <s v="WHATS"/>
    <n v="98662"/>
    <n v="259.64999999999998"/>
    <m/>
    <m/>
    <m/>
    <x v="70"/>
    <m/>
  </r>
  <r>
    <n v="325"/>
    <x v="97"/>
    <s v="WHATS"/>
    <n v="73912"/>
    <n v="389"/>
    <m/>
    <m/>
    <m/>
    <x v="71"/>
    <m/>
  </r>
  <r>
    <n v="746"/>
    <x v="3"/>
    <s v="TEL"/>
    <n v="73941"/>
    <n v="78"/>
    <m/>
    <m/>
    <m/>
    <x v="71"/>
    <m/>
  </r>
  <r>
    <n v="3017"/>
    <x v="62"/>
    <s v="WHATS"/>
    <n v="73934"/>
    <n v="695.48"/>
    <m/>
    <m/>
    <m/>
    <x v="71"/>
    <m/>
  </r>
  <r>
    <n v="2397"/>
    <x v="6"/>
    <s v="TEL"/>
    <n v="73956"/>
    <n v="834"/>
    <m/>
    <m/>
    <m/>
    <x v="71"/>
    <m/>
  </r>
  <r>
    <n v="50219"/>
    <x v="14"/>
    <s v="WHATS"/>
    <n v="73967"/>
    <n v="299"/>
    <m/>
    <m/>
    <m/>
    <x v="71"/>
    <m/>
  </r>
  <r>
    <n v="620"/>
    <x v="69"/>
    <s v="WHATS"/>
    <n v="73933"/>
    <n v="1865.63"/>
    <m/>
    <m/>
    <m/>
    <x v="71"/>
    <m/>
  </r>
  <r>
    <n v="2415"/>
    <x v="63"/>
    <s v="WHATS"/>
    <n v="73980"/>
    <n v="1671.8"/>
    <m/>
    <m/>
    <m/>
    <x v="71"/>
    <m/>
  </r>
  <r>
    <n v="50418"/>
    <x v="35"/>
    <s v="WHATS"/>
    <m/>
    <n v="410"/>
    <m/>
    <m/>
    <m/>
    <x v="72"/>
    <m/>
  </r>
  <r>
    <n v="475"/>
    <x v="23"/>
    <s v="TEL"/>
    <n v="74016"/>
    <n v="2500"/>
    <m/>
    <m/>
    <m/>
    <x v="72"/>
    <m/>
  </r>
  <r>
    <n v="1026"/>
    <x v="7"/>
    <s v="WHATS"/>
    <n v="73258"/>
    <n v="750"/>
    <m/>
    <m/>
    <m/>
    <x v="72"/>
    <m/>
  </r>
  <r>
    <n v="1806"/>
    <x v="54"/>
    <s v="EMAIL"/>
    <n v="73727"/>
    <n v="495.25"/>
    <m/>
    <m/>
    <m/>
    <x v="72"/>
    <m/>
  </r>
  <r>
    <n v="474"/>
    <x v="98"/>
    <s v="WHATS"/>
    <n v="74007"/>
    <n v="139.80000000000001"/>
    <m/>
    <m/>
    <m/>
    <x v="73"/>
    <m/>
  </r>
  <r>
    <n v="474"/>
    <x v="98"/>
    <s v="WHATS"/>
    <n v="98692"/>
    <n v="551.4"/>
    <m/>
    <m/>
    <m/>
    <x v="73"/>
    <m/>
  </r>
  <r>
    <n v="475"/>
    <x v="23"/>
    <s v="WHATS"/>
    <n v="73845"/>
    <n v="18649.439999999999"/>
    <m/>
    <m/>
    <m/>
    <x v="73"/>
    <m/>
  </r>
  <r>
    <n v="1989"/>
    <x v="67"/>
    <s v="WHATS"/>
    <n v="73812"/>
    <n v="561"/>
    <m/>
    <m/>
    <m/>
    <x v="73"/>
    <m/>
  </r>
  <r>
    <n v="2763"/>
    <x v="68"/>
    <s v="WHATS"/>
    <n v="73810"/>
    <n v="606.05999999999995"/>
    <m/>
    <m/>
    <m/>
    <x v="73"/>
    <m/>
  </r>
  <r>
    <n v="2397"/>
    <x v="6"/>
    <s v="WHATS"/>
    <n v="73957"/>
    <n v="834"/>
    <m/>
    <m/>
    <m/>
    <x v="73"/>
    <m/>
  </r>
  <r>
    <n v="874"/>
    <x v="53"/>
    <s v="WHATS"/>
    <n v="74057"/>
    <n v="678.69"/>
    <m/>
    <m/>
    <m/>
    <x v="73"/>
    <m/>
  </r>
  <r>
    <n v="687"/>
    <x v="16"/>
    <s v="WHATS"/>
    <n v="73474"/>
    <n v="1056.5"/>
    <m/>
    <m/>
    <m/>
    <x v="73"/>
    <m/>
  </r>
  <r>
    <n v="1726"/>
    <x v="34"/>
    <s v="EMAIL"/>
    <n v="73883"/>
    <n v="294.10000000000002"/>
    <m/>
    <m/>
    <m/>
    <x v="73"/>
    <m/>
  </r>
  <r>
    <n v="1726"/>
    <x v="34"/>
    <s v="EMAIL"/>
    <n v="72926"/>
    <n v="261.2"/>
    <m/>
    <m/>
    <m/>
    <x v="73"/>
    <m/>
  </r>
  <r>
    <n v="2980"/>
    <x v="40"/>
    <s v="TEL"/>
    <n v="74033"/>
    <n v="663.45"/>
    <m/>
    <m/>
    <m/>
    <x v="73"/>
    <m/>
  </r>
  <r>
    <n v="690"/>
    <x v="19"/>
    <s v="WHATS"/>
    <n v="98706"/>
    <n v="87"/>
    <m/>
    <m/>
    <m/>
    <x v="74"/>
    <m/>
  </r>
  <r>
    <n v="311"/>
    <x v="46"/>
    <s v="WHATS"/>
    <n v="98690"/>
    <n v="554.4"/>
    <m/>
    <m/>
    <m/>
    <x v="74"/>
    <m/>
  </r>
  <r>
    <n v="1806"/>
    <x v="54"/>
    <s v="WHATS"/>
    <n v="71661"/>
    <n v="495.25"/>
    <m/>
    <m/>
    <m/>
    <x v="74"/>
    <m/>
  </r>
  <r>
    <n v="708"/>
    <x v="56"/>
    <s v="WHATS"/>
    <n v="73852"/>
    <n v="1257.5"/>
    <m/>
    <m/>
    <m/>
    <x v="74"/>
    <m/>
  </r>
  <r>
    <n v="1026"/>
    <x v="7"/>
    <s v="WHATS"/>
    <n v="74106"/>
    <n v="1309"/>
    <m/>
    <m/>
    <m/>
    <x v="74"/>
    <m/>
  </r>
  <r>
    <n v="3240"/>
    <x v="75"/>
    <s v="WHATS"/>
    <n v="74102"/>
    <n v="785.09"/>
    <m/>
    <m/>
    <m/>
    <x v="74"/>
    <m/>
  </r>
  <r>
    <n v="3240"/>
    <x v="75"/>
    <s v="WHATS"/>
    <n v="98714"/>
    <n v="168.02"/>
    <m/>
    <m/>
    <m/>
    <x v="74"/>
    <m/>
  </r>
  <r>
    <n v="1742"/>
    <x v="81"/>
    <s v="WHATS"/>
    <n v="73920"/>
    <n v="511.79"/>
    <m/>
    <m/>
    <m/>
    <x v="75"/>
    <m/>
  </r>
  <r>
    <n v="516"/>
    <x v="11"/>
    <s v="EMAIL"/>
    <n v="73867"/>
    <n v="18187.099999999999"/>
    <m/>
    <m/>
    <m/>
    <x v="75"/>
    <m/>
  </r>
  <r>
    <n v="197"/>
    <x v="99"/>
    <s v="WHATS"/>
    <n v="74129"/>
    <n v="252"/>
    <m/>
    <m/>
    <m/>
    <x v="75"/>
    <m/>
  </r>
  <r>
    <n v="197"/>
    <x v="99"/>
    <s v="WHATS"/>
    <n v="98716"/>
    <n v="156.38"/>
    <m/>
    <m/>
    <m/>
    <x v="75"/>
    <m/>
  </r>
  <r>
    <n v="1041"/>
    <x v="78"/>
    <s v="WHATS"/>
    <n v="98717"/>
    <n v="220.05"/>
    <m/>
    <m/>
    <m/>
    <x v="75"/>
    <m/>
  </r>
  <r>
    <n v="725"/>
    <x v="65"/>
    <s v="WHATS"/>
    <n v="74134"/>
    <n v="570.1"/>
    <m/>
    <m/>
    <m/>
    <x v="75"/>
    <m/>
  </r>
  <r>
    <n v="311"/>
    <x v="46"/>
    <s v="WHATS"/>
    <n v="74124"/>
    <n v="221.9"/>
    <m/>
    <m/>
    <m/>
    <x v="75"/>
    <m/>
  </r>
  <r>
    <n v="50219"/>
    <x v="14"/>
    <s v="WHATS"/>
    <n v="74148"/>
    <n v="250"/>
    <m/>
    <m/>
    <m/>
    <x v="75"/>
    <m/>
  </r>
  <r>
    <n v="50576"/>
    <x v="37"/>
    <s v="WHATS"/>
    <n v="74158"/>
    <n v="2082.5"/>
    <m/>
    <m/>
    <m/>
    <x v="75"/>
    <m/>
  </r>
  <r>
    <n v="761"/>
    <x v="24"/>
    <s v="WHATS"/>
    <n v="73922"/>
    <n v="622.20000000000005"/>
    <m/>
    <m/>
    <m/>
    <x v="75"/>
    <m/>
  </r>
  <r>
    <n v="741"/>
    <x v="85"/>
    <s v="WHATS"/>
    <n v="74165"/>
    <n v="1462.56"/>
    <m/>
    <m/>
    <m/>
    <x v="75"/>
    <m/>
  </r>
  <r>
    <n v="1726"/>
    <x v="34"/>
    <s v="WHATS"/>
    <n v="72241"/>
    <n v="694.5"/>
    <m/>
    <m/>
    <m/>
    <x v="75"/>
    <m/>
  </r>
  <r>
    <n v="1726"/>
    <x v="34"/>
    <s v="WHATS"/>
    <n v="73318"/>
    <n v="79.8"/>
    <m/>
    <m/>
    <m/>
    <x v="75"/>
    <m/>
  </r>
  <r>
    <n v="1164"/>
    <x v="58"/>
    <s v="TEL"/>
    <n v="74209"/>
    <n v="1547.58"/>
    <m/>
    <m/>
    <m/>
    <x v="76"/>
    <m/>
  </r>
  <r>
    <n v="1164"/>
    <x v="58"/>
    <s v="TEL"/>
    <n v="98733"/>
    <n v="88.89"/>
    <m/>
    <m/>
    <m/>
    <x v="76"/>
    <m/>
  </r>
  <r>
    <n v="756"/>
    <x v="8"/>
    <s v="WHATS"/>
    <n v="98736"/>
    <n v="123.48"/>
    <m/>
    <m/>
    <m/>
    <x v="76"/>
    <m/>
  </r>
  <r>
    <n v="756"/>
    <x v="8"/>
    <s v="WHATS"/>
    <n v="74211"/>
    <n v="5978.1"/>
    <m/>
    <m/>
    <m/>
    <x v="76"/>
    <m/>
  </r>
  <r>
    <n v="572"/>
    <x v="51"/>
    <s v="WHATS"/>
    <n v="74202"/>
    <n v="884.44"/>
    <m/>
    <m/>
    <m/>
    <x v="76"/>
    <m/>
  </r>
  <r>
    <n v="1493"/>
    <x v="21"/>
    <s v="TEL"/>
    <n v="74224"/>
    <n v="1594.36"/>
    <m/>
    <m/>
    <m/>
    <x v="76"/>
    <m/>
  </r>
  <r>
    <n v="3077"/>
    <x v="10"/>
    <s v="TEL"/>
    <n v="74273"/>
    <n v="626.16"/>
    <m/>
    <m/>
    <m/>
    <x v="77"/>
    <m/>
  </r>
  <r>
    <n v="3077"/>
    <x v="10"/>
    <s v="TEL"/>
    <n v="98753"/>
    <n v="171.34"/>
    <m/>
    <m/>
    <m/>
    <x v="77"/>
    <m/>
  </r>
  <r>
    <n v="705"/>
    <x v="1"/>
    <s v="WHATS"/>
    <n v="98755"/>
    <n v="682.2"/>
    <m/>
    <m/>
    <m/>
    <x v="77"/>
    <m/>
  </r>
  <r>
    <n v="762"/>
    <x v="41"/>
    <s v="EMAIL"/>
    <n v="74290"/>
    <n v="1230"/>
    <m/>
    <m/>
    <m/>
    <x v="77"/>
    <m/>
  </r>
  <r>
    <n v="2022"/>
    <x v="28"/>
    <s v="WHATS"/>
    <n v="74110"/>
    <n v="417.78"/>
    <m/>
    <m/>
    <m/>
    <x v="77"/>
    <m/>
  </r>
  <r>
    <n v="475"/>
    <x v="23"/>
    <s v="WHATS"/>
    <n v="74138"/>
    <n v="3845"/>
    <m/>
    <m/>
    <m/>
    <x v="77"/>
    <m/>
  </r>
  <r>
    <n v="2022"/>
    <x v="28"/>
    <s v="WHATS"/>
    <n v="98761"/>
    <n v="215"/>
    <m/>
    <m/>
    <m/>
    <x v="77"/>
    <m/>
  </r>
  <r>
    <n v="2022"/>
    <x v="28"/>
    <s v="WHATS"/>
    <n v="74110"/>
    <n v="3402.55"/>
    <m/>
    <m/>
    <m/>
    <x v="77"/>
    <m/>
  </r>
  <r>
    <n v="432"/>
    <x v="43"/>
    <s v="WHATS"/>
    <n v="74270"/>
    <n v="1707.78"/>
    <m/>
    <m/>
    <m/>
    <x v="77"/>
    <m/>
  </r>
  <r>
    <n v="1813"/>
    <x v="48"/>
    <s v="WHATS"/>
    <n v="74275"/>
    <n v="1025.26"/>
    <m/>
    <m/>
    <m/>
    <x v="77"/>
    <m/>
  </r>
  <r>
    <n v="980"/>
    <x v="80"/>
    <s v="WHATS"/>
    <n v="74325"/>
    <n v="210"/>
    <m/>
    <m/>
    <m/>
    <x v="77"/>
    <m/>
  </r>
  <r>
    <n v="575"/>
    <x v="45"/>
    <s v="TEL"/>
    <n v="74235"/>
    <n v="857.35"/>
    <m/>
    <m/>
    <m/>
    <x v="78"/>
    <m/>
  </r>
  <r>
    <n v="2062"/>
    <x v="0"/>
    <s v="TEL"/>
    <n v="74341"/>
    <n v="1626.96"/>
    <m/>
    <m/>
    <m/>
    <x v="78"/>
    <m/>
  </r>
  <r>
    <n v="2415"/>
    <x v="63"/>
    <s v="WHATS"/>
    <n v="74362"/>
    <n v="2236"/>
    <m/>
    <m/>
    <m/>
    <x v="78"/>
    <m/>
  </r>
  <r>
    <n v="1206"/>
    <x v="33"/>
    <s v="TEL"/>
    <n v="74397"/>
    <n v="800.25"/>
    <m/>
    <m/>
    <m/>
    <x v="79"/>
    <m/>
  </r>
  <r>
    <n v="705"/>
    <x v="1"/>
    <s v="TEL"/>
    <n v="74234"/>
    <n v="216"/>
    <m/>
    <m/>
    <m/>
    <x v="79"/>
    <m/>
  </r>
  <r>
    <n v="1533"/>
    <x v="50"/>
    <s v="WHATS"/>
    <n v="74383"/>
    <n v="689"/>
    <m/>
    <m/>
    <m/>
    <x v="79"/>
    <m/>
  </r>
  <r>
    <n v="7080"/>
    <x v="0"/>
    <s v="WHATS"/>
    <n v="74415"/>
    <n v="242.5"/>
    <m/>
    <m/>
    <m/>
    <x v="79"/>
    <m/>
  </r>
  <r>
    <n v="311"/>
    <x v="46"/>
    <s v="WHATS"/>
    <n v="98777"/>
    <n v="182.89"/>
    <m/>
    <m/>
    <m/>
    <x v="79"/>
    <m/>
  </r>
  <r>
    <n v="311"/>
    <x v="46"/>
    <s v="WHATS"/>
    <n v="74418"/>
    <n v="227.1"/>
    <m/>
    <m/>
    <m/>
    <x v="79"/>
    <m/>
  </r>
  <r>
    <n v="3018"/>
    <x v="64"/>
    <s v="WHATS"/>
    <n v="74428"/>
    <n v="549.14"/>
    <m/>
    <m/>
    <m/>
    <x v="79"/>
    <m/>
  </r>
  <r>
    <n v="197"/>
    <x v="99"/>
    <s v="WHATS"/>
    <n v="74425"/>
    <n v="220"/>
    <m/>
    <m/>
    <m/>
    <x v="79"/>
    <m/>
  </r>
  <r>
    <n v="746"/>
    <x v="3"/>
    <s v="WHATS"/>
    <n v="74395"/>
    <n v="252.8"/>
    <m/>
    <m/>
    <m/>
    <x v="79"/>
    <m/>
  </r>
  <r>
    <n v="50816"/>
    <x v="100"/>
    <s v="WHATS"/>
    <n v="74431"/>
    <n v="272"/>
    <m/>
    <m/>
    <m/>
    <x v="79"/>
    <m/>
  </r>
  <r>
    <n v="1122"/>
    <x v="87"/>
    <s v="EMAIL"/>
    <n v="74436"/>
    <n v="2575.84"/>
    <m/>
    <m/>
    <m/>
    <x v="80"/>
    <m/>
  </r>
  <r>
    <n v="2702"/>
    <x v="73"/>
    <s v="WHATS"/>
    <n v="74441"/>
    <n v="1218"/>
    <m/>
    <m/>
    <m/>
    <x v="80"/>
    <m/>
  </r>
  <r>
    <n v="480"/>
    <x v="39"/>
    <s v="WHATS"/>
    <n v="98779"/>
    <n v="199"/>
    <m/>
    <m/>
    <m/>
    <x v="80"/>
    <m/>
  </r>
  <r>
    <n v="480"/>
    <x v="39"/>
    <s v="WHATS"/>
    <n v="74442"/>
    <n v="200.26"/>
    <m/>
    <m/>
    <m/>
    <x v="80"/>
    <m/>
  </r>
  <r>
    <n v="761"/>
    <x v="24"/>
    <s v="WHATS"/>
    <n v="74444"/>
    <n v="57.5"/>
    <m/>
    <m/>
    <m/>
    <x v="80"/>
    <m/>
  </r>
  <r>
    <n v="761"/>
    <x v="24"/>
    <s v="WHATS"/>
    <n v="98780"/>
    <n v="172"/>
    <m/>
    <m/>
    <m/>
    <x v="80"/>
    <m/>
  </r>
  <r>
    <n v="756"/>
    <x v="8"/>
    <s v="WHATS"/>
    <n v="74211"/>
    <n v="598"/>
    <m/>
    <m/>
    <m/>
    <x v="80"/>
    <m/>
  </r>
  <r>
    <n v="756"/>
    <x v="8"/>
    <s v="WHATS"/>
    <n v="74466"/>
    <n v="2054.6799999999998"/>
    <m/>
    <m/>
    <m/>
    <x v="80"/>
    <m/>
  </r>
  <r>
    <n v="756"/>
    <x v="8"/>
    <s v="WHATS"/>
    <n v="98737"/>
    <n v="123.48"/>
    <m/>
    <m/>
    <m/>
    <x v="80"/>
    <m/>
  </r>
  <r>
    <n v="335"/>
    <x v="9"/>
    <s v="WHATS"/>
    <n v="74476"/>
    <n v="420.28"/>
    <m/>
    <m/>
    <m/>
    <x v="80"/>
    <m/>
  </r>
  <r>
    <n v="335"/>
    <x v="9"/>
    <s v="WHATS"/>
    <n v="98783"/>
    <n v="119.15"/>
    <m/>
    <m/>
    <m/>
    <x v="80"/>
    <m/>
  </r>
  <r>
    <n v="874"/>
    <x v="53"/>
    <s v="WHATS"/>
    <n v="74055"/>
    <n v="299"/>
    <m/>
    <m/>
    <m/>
    <x v="81"/>
    <m/>
  </r>
  <r>
    <n v="432"/>
    <x v="43"/>
    <s v="WHATS"/>
    <n v="74480"/>
    <n v="53"/>
    <m/>
    <m/>
    <m/>
    <x v="81"/>
    <m/>
  </r>
  <r>
    <n v="2192"/>
    <x v="0"/>
    <s v="WHATS"/>
    <n v="74384"/>
    <n v="678.34"/>
    <m/>
    <m/>
    <m/>
    <x v="81"/>
    <m/>
  </r>
  <r>
    <n v="50219"/>
    <x v="14"/>
    <s v="WHATS"/>
    <n v="74196"/>
    <n v="1475.56"/>
    <m/>
    <m/>
    <m/>
    <x v="81"/>
    <m/>
  </r>
  <r>
    <n v="3475"/>
    <x v="59"/>
    <s v="WHATS"/>
    <n v="73715"/>
    <n v="264.8"/>
    <m/>
    <m/>
    <m/>
    <x v="81"/>
    <m/>
  </r>
  <r>
    <n v="1164"/>
    <x v="58"/>
    <s v="WHATS"/>
    <n v="74402"/>
    <n v="570"/>
    <m/>
    <m/>
    <m/>
    <x v="81"/>
    <m/>
  </r>
  <r>
    <n v="762"/>
    <x v="41"/>
    <s v="WHATS"/>
    <n v="74515"/>
    <n v="8097.08"/>
    <m/>
    <m/>
    <m/>
    <x v="82"/>
    <m/>
  </r>
  <r>
    <n v="1616"/>
    <x v="83"/>
    <s v="WHATS"/>
    <n v="98768"/>
    <n v="75.95"/>
    <m/>
    <m/>
    <m/>
    <x v="82"/>
    <m/>
  </r>
  <r>
    <n v="1616"/>
    <x v="83"/>
    <s v="WHATS"/>
    <n v="74240"/>
    <n v="2063.8000000000002"/>
    <m/>
    <m/>
    <m/>
    <x v="82"/>
    <m/>
  </r>
  <r>
    <n v="3153"/>
    <x v="12"/>
    <s v="WHATS"/>
    <n v="74284"/>
    <n v="1657.13"/>
    <m/>
    <m/>
    <m/>
    <x v="82"/>
    <m/>
  </r>
  <r>
    <n v="2163"/>
    <x v="36"/>
    <s v="WHATS"/>
    <n v="74582"/>
    <n v="1416"/>
    <m/>
    <m/>
    <m/>
    <x v="82"/>
    <m/>
  </r>
  <r>
    <n v="2163"/>
    <x v="36"/>
    <s v="WHATS"/>
    <n v="98799"/>
    <n v="101.69"/>
    <m/>
    <m/>
    <m/>
    <x v="82"/>
    <m/>
  </r>
  <r>
    <n v="311"/>
    <x v="46"/>
    <s v="WHATS"/>
    <n v="74488"/>
    <n v="5360.79"/>
    <m/>
    <m/>
    <m/>
    <x v="82"/>
    <m/>
  </r>
  <r>
    <n v="475"/>
    <x v="23"/>
    <s v="WHATS"/>
    <n v="74348"/>
    <n v="1650"/>
    <m/>
    <m/>
    <m/>
    <x v="82"/>
    <m/>
  </r>
  <r>
    <n v="905"/>
    <x v="72"/>
    <s v="TEL"/>
    <n v="74603"/>
    <n v="414.7"/>
    <m/>
    <m/>
    <m/>
    <x v="82"/>
    <m/>
  </r>
  <r>
    <n v="905"/>
    <x v="72"/>
    <s v="TEL"/>
    <n v="98808"/>
    <n v="121.84"/>
    <m/>
    <m/>
    <m/>
    <x v="82"/>
    <m/>
  </r>
  <r>
    <n v="50219"/>
    <x v="14"/>
    <s v="WHATS"/>
    <n v="74607"/>
    <n v="1177.74"/>
    <m/>
    <m/>
    <m/>
    <x v="82"/>
    <m/>
  </r>
  <r>
    <n v="50222"/>
    <x v="89"/>
    <s v="WHATS"/>
    <n v="98796"/>
    <n v="142.69999999999999"/>
    <m/>
    <m/>
    <m/>
    <x v="82"/>
    <m/>
  </r>
  <r>
    <n v="1016"/>
    <x v="101"/>
    <s v="WHATS"/>
    <n v="98812"/>
    <n v="1111.8499999999999"/>
    <m/>
    <m/>
    <m/>
    <x v="82"/>
    <m/>
  </r>
  <r>
    <n v="1016"/>
    <x v="101"/>
    <s v="WHATS"/>
    <n v="74610"/>
    <n v="609"/>
    <m/>
    <m/>
    <m/>
    <x v="82"/>
    <m/>
  </r>
  <r>
    <n v="50554"/>
    <x v="20"/>
    <s v="TEL"/>
    <n v="74625"/>
    <n v="2922.45"/>
    <m/>
    <m/>
    <m/>
    <x v="83"/>
    <m/>
  </r>
  <r>
    <n v="50554"/>
    <x v="20"/>
    <s v="TEL"/>
    <n v="98818"/>
    <n v="711.25"/>
    <m/>
    <m/>
    <m/>
    <x v="83"/>
    <m/>
  </r>
  <r>
    <n v="784"/>
    <x v="13"/>
    <s v="WHATS"/>
    <n v="74654"/>
    <n v="2909.47"/>
    <m/>
    <m/>
    <m/>
    <x v="83"/>
    <m/>
  </r>
  <r>
    <n v="1533"/>
    <x v="50"/>
    <s v="WHATS"/>
    <n v="98827"/>
    <n v="371.84"/>
    <m/>
    <m/>
    <m/>
    <x v="84"/>
    <m/>
  </r>
  <r>
    <n v="690"/>
    <x v="19"/>
    <s v="TEL"/>
    <n v="74674"/>
    <n v="711"/>
    <m/>
    <m/>
    <m/>
    <x v="84"/>
    <m/>
  </r>
  <r>
    <n v="690"/>
    <x v="19"/>
    <s v="TEL"/>
    <n v="98828"/>
    <n v="405.8"/>
    <m/>
    <m/>
    <m/>
    <x v="84"/>
    <m/>
  </r>
  <r>
    <n v="3194"/>
    <x v="18"/>
    <s v="TEL"/>
    <n v="98829"/>
    <n v="386.8"/>
    <m/>
    <m/>
    <m/>
    <x v="84"/>
    <m/>
  </r>
  <r>
    <n v="3194"/>
    <x v="18"/>
    <s v="TEL"/>
    <n v="74678"/>
    <n v="564.9"/>
    <m/>
    <m/>
    <m/>
    <x v="84"/>
    <m/>
  </r>
  <r>
    <n v="1493"/>
    <x v="21"/>
    <s v="WHATS"/>
    <n v="74660"/>
    <n v="1052.23"/>
    <m/>
    <m/>
    <m/>
    <x v="84"/>
    <m/>
  </r>
  <r>
    <n v="50418"/>
    <x v="35"/>
    <s v="WHATS"/>
    <n v="74698"/>
    <n v="2035.45"/>
    <m/>
    <m/>
    <m/>
    <x v="84"/>
    <m/>
  </r>
  <r>
    <n v="3194"/>
    <x v="18"/>
    <s v="WHATS"/>
    <n v="74702"/>
    <n v="199"/>
    <m/>
    <m/>
    <m/>
    <x v="84"/>
    <m/>
  </r>
  <r>
    <n v="1971"/>
    <x v="29"/>
    <s v="WHATS"/>
    <n v="74713"/>
    <n v="726.96"/>
    <m/>
    <m/>
    <m/>
    <x v="84"/>
    <m/>
  </r>
  <r>
    <n v="1971"/>
    <x v="29"/>
    <s v="WHATS"/>
    <n v="98835"/>
    <n v="62.4"/>
    <m/>
    <m/>
    <m/>
    <x v="84"/>
    <m/>
  </r>
  <r>
    <n v="762"/>
    <x v="41"/>
    <s v="EMAIL"/>
    <n v="74762"/>
    <n v="4364.7700000000004"/>
    <m/>
    <m/>
    <m/>
    <x v="85"/>
    <m/>
  </r>
  <r>
    <n v="2022"/>
    <x v="28"/>
    <s v="WHATS"/>
    <n v="74766"/>
    <n v="5086.74"/>
    <m/>
    <m/>
    <m/>
    <x v="85"/>
    <m/>
  </r>
  <r>
    <n v="581"/>
    <x v="74"/>
    <s v="WHATS"/>
    <n v="98839"/>
    <n v="1155.57"/>
    <m/>
    <m/>
    <m/>
    <x v="85"/>
    <m/>
  </r>
  <r>
    <n v="50558"/>
    <x v="2"/>
    <s v="EMAIL"/>
    <n v="72789"/>
    <n v="2385"/>
    <m/>
    <m/>
    <m/>
    <x v="86"/>
    <m/>
  </r>
  <r>
    <n v="1533"/>
    <x v="50"/>
    <s v="WHATS"/>
    <n v="74794"/>
    <n v="2066.56"/>
    <m/>
    <m/>
    <m/>
    <x v="86"/>
    <m/>
  </r>
  <r>
    <n v="708"/>
    <x v="56"/>
    <s v="WHATS"/>
    <n v="73852"/>
    <n v="1015"/>
    <m/>
    <m/>
    <m/>
    <x v="86"/>
    <m/>
  </r>
  <r>
    <n v="432"/>
    <x v="43"/>
    <s v="WHATS"/>
    <n v="74724"/>
    <n v="1960.55"/>
    <m/>
    <m/>
    <m/>
    <x v="86"/>
    <m/>
  </r>
  <r>
    <n v="3194"/>
    <x v="18"/>
    <s v="WHATS"/>
    <n v="98850"/>
    <n v="17.2"/>
    <m/>
    <m/>
    <m/>
    <x v="86"/>
    <m/>
  </r>
  <r>
    <n v="746"/>
    <x v="3"/>
    <s v="TEL"/>
    <n v="98852"/>
    <n v="569.29999999999995"/>
    <m/>
    <m/>
    <m/>
    <x v="87"/>
    <m/>
  </r>
  <r>
    <n v="746"/>
    <x v="3"/>
    <s v="TEL"/>
    <n v="74836"/>
    <n v="2671.09"/>
    <m/>
    <m/>
    <m/>
    <x v="87"/>
    <m/>
  </r>
  <r>
    <n v="1026"/>
    <x v="7"/>
    <s v="WHATS"/>
    <n v="74390"/>
    <n v="2418.2199999999998"/>
    <m/>
    <m/>
    <m/>
    <x v="87"/>
    <m/>
  </r>
  <r>
    <n v="2397"/>
    <x v="6"/>
    <s v="TEL"/>
    <n v="74848"/>
    <n v="1136.5"/>
    <m/>
    <m/>
    <m/>
    <x v="87"/>
    <m/>
  </r>
  <r>
    <n v="2911"/>
    <x v="15"/>
    <s v="WHATS"/>
    <n v="74847"/>
    <n v="2045.41"/>
    <m/>
    <m/>
    <m/>
    <x v="87"/>
    <m/>
  </r>
  <r>
    <n v="2911"/>
    <x v="15"/>
    <s v="WHATS"/>
    <n v="98861"/>
    <n v="249.3"/>
    <m/>
    <m/>
    <m/>
    <x v="87"/>
    <m/>
  </r>
  <r>
    <n v="2397"/>
    <x v="6"/>
    <s v="TEL"/>
    <n v="74850"/>
    <n v="1136.5"/>
    <m/>
    <m/>
    <m/>
    <x v="87"/>
    <m/>
  </r>
  <r>
    <n v="1206"/>
    <x v="33"/>
    <s v="WHATS"/>
    <n v="74841"/>
    <n v="1097.79"/>
    <m/>
    <m/>
    <m/>
    <x v="87"/>
    <m/>
  </r>
  <r>
    <n v="475"/>
    <x v="23"/>
    <s v="WHATS"/>
    <n v="74842"/>
    <n v="2695.74"/>
    <m/>
    <m/>
    <m/>
    <x v="87"/>
    <m/>
  </r>
  <r>
    <n v="475"/>
    <x v="23"/>
    <s v="WHATS"/>
    <n v="98855"/>
    <n v="1033.45"/>
    <m/>
    <m/>
    <m/>
    <x v="87"/>
    <m/>
  </r>
  <r>
    <n v="1262"/>
    <x v="0"/>
    <s v="WHATS"/>
    <n v="74869"/>
    <n v="936.5"/>
    <m/>
    <m/>
    <m/>
    <x v="87"/>
    <m/>
  </r>
  <r>
    <n v="592"/>
    <x v="0"/>
    <s v="WHATS"/>
    <n v="74874"/>
    <n v="498.6"/>
    <m/>
    <m/>
    <m/>
    <x v="87"/>
    <m/>
  </r>
  <r>
    <n v="761"/>
    <x v="24"/>
    <s v="WHATS"/>
    <n v="74884"/>
    <n v="707.63"/>
    <m/>
    <m/>
    <m/>
    <x v="87"/>
    <m/>
  </r>
  <r>
    <n v="761"/>
    <x v="24"/>
    <s v="WHATS"/>
    <n v="98869"/>
    <n v="445.05"/>
    <m/>
    <m/>
    <m/>
    <x v="87"/>
    <m/>
  </r>
  <r>
    <n v="50600"/>
    <x v="0"/>
    <s v="WHATS"/>
    <n v="74929"/>
    <n v="1131"/>
    <m/>
    <m/>
    <m/>
    <x v="88"/>
    <m/>
  </r>
  <r>
    <n v="3475"/>
    <x v="59"/>
    <s v="WHATS"/>
    <n v="73715"/>
    <n v="514.04999999999995"/>
    <m/>
    <m/>
    <m/>
    <x v="89"/>
    <m/>
  </r>
  <r>
    <n v="3077"/>
    <x v="10"/>
    <s v="TEL"/>
    <n v="74966"/>
    <n v="476.1"/>
    <m/>
    <m/>
    <m/>
    <x v="89"/>
    <m/>
  </r>
  <r>
    <n v="1164"/>
    <x v="58"/>
    <s v="TEL"/>
    <n v="74968"/>
    <n v="731.4"/>
    <m/>
    <m/>
    <m/>
    <x v="89"/>
    <m/>
  </r>
  <r>
    <n v="1164"/>
    <x v="58"/>
    <s v="TEL"/>
    <n v="98889"/>
    <n v="142.25"/>
    <m/>
    <m/>
    <m/>
    <x v="89"/>
    <m/>
  </r>
  <r>
    <n v="2022"/>
    <x v="28"/>
    <s v="WHATS"/>
    <n v="74995"/>
    <n v="1199.44"/>
    <m/>
    <m/>
    <m/>
    <x v="89"/>
    <m/>
  </r>
  <r>
    <n v="1726"/>
    <x v="34"/>
    <s v="EMAIL"/>
    <n v="75011"/>
    <n v="317.2"/>
    <m/>
    <m/>
    <m/>
    <x v="90"/>
    <m/>
  </r>
  <r>
    <n v="475"/>
    <x v="23"/>
    <s v="WHATS"/>
    <n v="75003"/>
    <n v="5424.39"/>
    <m/>
    <m/>
    <m/>
    <x v="90"/>
    <m/>
  </r>
  <r>
    <n v="50219"/>
    <x v="14"/>
    <s v="WHATS"/>
    <n v="74607"/>
    <n v="134"/>
    <m/>
    <m/>
    <m/>
    <x v="90"/>
    <m/>
  </r>
  <r>
    <n v="1493"/>
    <x v="21"/>
    <s v="TEL"/>
    <n v="74726"/>
    <n v="1010.49"/>
    <m/>
    <m/>
    <m/>
    <x v="90"/>
    <m/>
  </r>
  <r>
    <n v="475"/>
    <x v="23"/>
    <s v="WHATS"/>
    <n v="75011"/>
    <n v="317.2"/>
    <m/>
    <m/>
    <m/>
    <x v="90"/>
    <m/>
  </r>
  <r>
    <n v="311"/>
    <x v="46"/>
    <s v="WHATS"/>
    <n v="98882"/>
    <n v="376.7"/>
    <m/>
    <m/>
    <m/>
    <x v="91"/>
    <m/>
  </r>
  <r>
    <n v="311"/>
    <x v="46"/>
    <s v="WHATS"/>
    <n v="74921"/>
    <n v="2829.95"/>
    <m/>
    <m/>
    <m/>
    <x v="91"/>
    <m/>
  </r>
  <r>
    <n v="746"/>
    <x v="3"/>
    <s v="WHATS"/>
    <n v="98912"/>
    <n v="59.25"/>
    <m/>
    <m/>
    <m/>
    <x v="91"/>
    <m/>
  </r>
  <r>
    <n v="960"/>
    <x v="30"/>
    <s v="WHATS"/>
    <n v="75008"/>
    <n v="478.2"/>
    <m/>
    <m/>
    <m/>
    <x v="91"/>
    <m/>
  </r>
  <r>
    <n v="960"/>
    <x v="30"/>
    <s v="WHATS"/>
    <n v="98905"/>
    <n v="536.62"/>
    <m/>
    <m/>
    <m/>
    <x v="91"/>
    <m/>
  </r>
  <r>
    <n v="687"/>
    <x v="16"/>
    <s v="WHATS"/>
    <n v="75067"/>
    <n v="503.4"/>
    <m/>
    <m/>
    <m/>
    <x v="91"/>
    <m/>
  </r>
  <r>
    <n v="325"/>
    <x v="97"/>
    <s v="WHATS"/>
    <n v="75072"/>
    <n v="1752.4"/>
    <m/>
    <m/>
    <m/>
    <x v="91"/>
    <m/>
  </r>
  <r>
    <n v="325"/>
    <x v="97"/>
    <s v="WHATS"/>
    <n v="98911"/>
    <n v="365.9"/>
    <m/>
    <m/>
    <m/>
    <x v="91"/>
    <m/>
  </r>
  <r>
    <n v="1616"/>
    <x v="83"/>
    <s v="WHATS"/>
    <n v="74771"/>
    <n v="1095"/>
    <m/>
    <m/>
    <m/>
    <x v="92"/>
    <m/>
  </r>
  <r>
    <n v="1533"/>
    <x v="50"/>
    <s v="WHATS"/>
    <n v="75104"/>
    <n v="377.7"/>
    <m/>
    <m/>
    <m/>
    <x v="92"/>
    <m/>
  </r>
  <r>
    <n v="874"/>
    <x v="53"/>
    <s v="WHATS"/>
    <n v="75109"/>
    <n v="647.08000000000004"/>
    <m/>
    <m/>
    <m/>
    <x v="92"/>
    <m/>
  </r>
  <r>
    <n v="463"/>
    <x v="32"/>
    <s v="WHATS"/>
    <n v="75112"/>
    <n v="1583.65"/>
    <m/>
    <m/>
    <m/>
    <x v="92"/>
    <m/>
  </r>
  <r>
    <n v="1616"/>
    <x v="83"/>
    <s v="WHATS"/>
    <n v="98916"/>
    <n v="91.46"/>
    <m/>
    <m/>
    <m/>
    <x v="92"/>
    <m/>
  </r>
  <r>
    <n v="50465"/>
    <x v="96"/>
    <s v="WHATS"/>
    <n v="75018"/>
    <n v="576.4"/>
    <m/>
    <m/>
    <m/>
    <x v="92"/>
    <m/>
  </r>
  <r>
    <n v="756"/>
    <x v="8"/>
    <s v="WHATS"/>
    <n v="98921"/>
    <n v="123.48"/>
    <m/>
    <m/>
    <m/>
    <x v="92"/>
    <m/>
  </r>
  <r>
    <n v="756"/>
    <x v="8"/>
    <s v="WHATS"/>
    <n v="75127"/>
    <n v="6750.12"/>
    <m/>
    <m/>
    <m/>
    <x v="92"/>
    <m/>
  </r>
  <r>
    <n v="2980"/>
    <x v="40"/>
    <s v="WHATS"/>
    <n v="74907"/>
    <n v="1480.6"/>
    <m/>
    <m/>
    <m/>
    <x v="92"/>
    <m/>
  </r>
  <r>
    <n v="50576"/>
    <x v="37"/>
    <s v="WHATS"/>
    <n v="75131"/>
    <n v="2429.2800000000002"/>
    <m/>
    <m/>
    <m/>
    <x v="92"/>
    <m/>
  </r>
  <r>
    <n v="50526"/>
    <x v="38"/>
    <s v="WHATS"/>
    <n v="98924"/>
    <n v="522.4"/>
    <m/>
    <m/>
    <m/>
    <x v="92"/>
    <m/>
  </r>
  <r>
    <n v="475"/>
    <x v="23"/>
    <s v="WHATS"/>
    <n v="98925"/>
    <n v="412.93"/>
    <m/>
    <m/>
    <m/>
    <x v="92"/>
    <m/>
  </r>
  <r>
    <n v="761"/>
    <x v="24"/>
    <s v="WHATS"/>
    <n v="98927"/>
    <n v="172"/>
    <m/>
    <m/>
    <m/>
    <x v="93"/>
    <m/>
  </r>
  <r>
    <n v="761"/>
    <x v="24"/>
    <s v="WHATS"/>
    <n v="75156"/>
    <n v="160"/>
    <m/>
    <m/>
    <m/>
    <x v="93"/>
    <m/>
  </r>
  <r>
    <n v="500005"/>
    <x v="102"/>
    <s v="WHATS"/>
    <n v="75184"/>
    <n v="4960"/>
    <n v="3"/>
    <n v="4960"/>
    <m/>
    <x v="94"/>
    <m/>
  </r>
  <r>
    <n v="3077"/>
    <x v="10"/>
    <s v="WHATS"/>
    <n v="75188"/>
    <n v="7990"/>
    <n v="1"/>
    <n v="7990"/>
    <m/>
    <x v="94"/>
    <m/>
  </r>
  <r>
    <n v="516"/>
    <x v="11"/>
    <s v="WHATS"/>
    <n v="75186"/>
    <n v="8318.92"/>
    <m/>
    <m/>
    <m/>
    <x v="94"/>
    <m/>
  </r>
  <r>
    <n v="3032"/>
    <x v="0"/>
    <s v="WHATS"/>
    <n v="75196"/>
    <n v="220"/>
    <m/>
    <m/>
    <m/>
    <x v="94"/>
    <m/>
  </r>
  <r>
    <n v="690"/>
    <x v="19"/>
    <s v="WHATS"/>
    <n v="74370"/>
    <n v="189"/>
    <m/>
    <m/>
    <m/>
    <x v="94"/>
    <m/>
  </r>
  <r>
    <n v="50554"/>
    <x v="20"/>
    <s v="WHATS"/>
    <n v="74371"/>
    <n v="189"/>
    <m/>
    <m/>
    <m/>
    <x v="94"/>
    <m/>
  </r>
  <r>
    <n v="1989"/>
    <x v="67"/>
    <s v="WHATS"/>
    <n v="74373"/>
    <n v="606.12"/>
    <m/>
    <m/>
    <m/>
    <x v="94"/>
    <m/>
  </r>
  <r>
    <n v="544"/>
    <x v="0"/>
    <s v="WHATS"/>
    <n v="75179"/>
    <n v="706.6"/>
    <m/>
    <m/>
    <m/>
    <x v="94"/>
    <m/>
  </r>
  <r>
    <n v="3017"/>
    <x v="62"/>
    <s v="WHATS"/>
    <n v="75207"/>
    <n v="1425.1"/>
    <m/>
    <m/>
    <m/>
    <x v="94"/>
    <m/>
  </r>
  <r>
    <n v="575"/>
    <x v="45"/>
    <s v="TEL"/>
    <n v="75215"/>
    <n v="258.73"/>
    <m/>
    <m/>
    <m/>
    <x v="94"/>
    <m/>
  </r>
  <r>
    <n v="575"/>
    <x v="45"/>
    <s v="TEL"/>
    <n v="98934"/>
    <n v="108"/>
    <m/>
    <m/>
    <m/>
    <x v="94"/>
    <m/>
  </r>
  <r>
    <n v="1813"/>
    <x v="48"/>
    <s v="TEL"/>
    <n v="75229"/>
    <n v="1830.35"/>
    <m/>
    <m/>
    <m/>
    <x v="95"/>
    <m/>
  </r>
  <r>
    <n v="2192"/>
    <x v="0"/>
    <s v="WHATS"/>
    <n v="75218"/>
    <n v="2541.13"/>
    <m/>
    <m/>
    <m/>
    <x v="95"/>
    <m/>
  </r>
  <r>
    <n v="1164"/>
    <x v="58"/>
    <s v="WHATS"/>
    <n v="75255"/>
    <n v="1330.57"/>
    <m/>
    <m/>
    <m/>
    <x v="95"/>
    <m/>
  </r>
  <r>
    <n v="1164"/>
    <x v="58"/>
    <s v="WHATS"/>
    <n v="98944"/>
    <n v="88.89"/>
    <m/>
    <m/>
    <m/>
    <x v="95"/>
    <m/>
  </r>
  <r>
    <n v="756"/>
    <x v="8"/>
    <s v="WHATS"/>
    <n v="75275"/>
    <n v="170"/>
    <m/>
    <m/>
    <m/>
    <x v="95"/>
    <m/>
  </r>
  <r>
    <n v="1842"/>
    <x v="47"/>
    <s v="WHATS"/>
    <n v="98933"/>
    <n v="369.6"/>
    <m/>
    <m/>
    <m/>
    <x v="96"/>
    <m/>
  </r>
  <r>
    <n v="1842"/>
    <x v="47"/>
    <s v="WHATS"/>
    <n v="74888"/>
    <n v="368.99"/>
    <m/>
    <m/>
    <m/>
    <x v="96"/>
    <m/>
  </r>
  <r>
    <n v="50219"/>
    <x v="14"/>
    <s v="WHATS"/>
    <n v="75318"/>
    <n v="570"/>
    <m/>
    <m/>
    <m/>
    <x v="97"/>
    <m/>
  </r>
  <r>
    <n v="906"/>
    <x v="27"/>
    <s v="WHATS"/>
    <n v="75315"/>
    <n v="1906.2"/>
    <m/>
    <m/>
    <m/>
    <x v="97"/>
    <m/>
  </r>
  <r>
    <n v="906"/>
    <x v="27"/>
    <s v="WHATS"/>
    <n v="98952"/>
    <n v="177.78"/>
    <m/>
    <m/>
    <m/>
    <x v="97"/>
    <m/>
  </r>
  <r>
    <n v="2980"/>
    <x v="40"/>
    <s v="WHATS"/>
    <n v="98956"/>
    <n v="204.3"/>
    <m/>
    <m/>
    <m/>
    <x v="97"/>
    <m/>
  </r>
  <r>
    <n v="1788"/>
    <x v="91"/>
    <s v="WHATS"/>
    <n v="75201"/>
    <n v="506"/>
    <m/>
    <m/>
    <m/>
    <x v="97"/>
    <m/>
  </r>
  <r>
    <n v="171"/>
    <x v="70"/>
    <s v="WHATS"/>
    <n v="75337"/>
    <n v="2050"/>
    <m/>
    <m/>
    <m/>
    <x v="97"/>
    <m/>
  </r>
  <r>
    <n v="822"/>
    <x v="66"/>
    <s v="WHATS"/>
    <n v="98961"/>
    <n v="1254"/>
    <m/>
    <m/>
    <m/>
    <x v="97"/>
    <m/>
  </r>
  <r>
    <n v="822"/>
    <x v="66"/>
    <s v="WHATS"/>
    <n v="75356"/>
    <n v="615"/>
    <m/>
    <m/>
    <m/>
    <x v="97"/>
    <m/>
  </r>
  <r>
    <n v="761"/>
    <x v="24"/>
    <s v="WHATS"/>
    <n v="75360"/>
    <n v="522.30999999999995"/>
    <m/>
    <m/>
    <m/>
    <x v="97"/>
    <m/>
  </r>
  <r>
    <n v="708"/>
    <x v="56"/>
    <s v="WHATS"/>
    <n v="75362"/>
    <n v="2272.5"/>
    <m/>
    <m/>
    <m/>
    <x v="98"/>
    <m/>
  </r>
  <r>
    <n v="2415"/>
    <x v="63"/>
    <s v="WHATS"/>
    <n v="75363"/>
    <n v="1900"/>
    <m/>
    <m/>
    <m/>
    <x v="98"/>
    <m/>
  </r>
  <r>
    <n v="480"/>
    <x v="39"/>
    <s v="WHATS"/>
    <n v="75364"/>
    <n v="4296"/>
    <m/>
    <m/>
    <m/>
    <x v="98"/>
    <m/>
  </r>
  <r>
    <n v="1206"/>
    <x v="33"/>
    <s v="WHATS"/>
    <n v="75368"/>
    <n v="825.3"/>
    <m/>
    <m/>
    <m/>
    <x v="98"/>
    <m/>
  </r>
  <r>
    <n v="475"/>
    <x v="23"/>
    <s v="EMAIL"/>
    <n v="75372"/>
    <n v="13775.5"/>
    <m/>
    <m/>
    <m/>
    <x v="98"/>
    <m/>
  </r>
  <r>
    <n v="311"/>
    <x v="46"/>
    <s v="WHATS"/>
    <n v="98973"/>
    <n v="533.25"/>
    <m/>
    <m/>
    <m/>
    <x v="98"/>
    <m/>
  </r>
  <r>
    <n v="311"/>
    <x v="46"/>
    <s v="WHATS"/>
    <n v="75392"/>
    <n v="158.12"/>
    <m/>
    <m/>
    <m/>
    <x v="98"/>
    <m/>
  </r>
  <r>
    <n v="50554"/>
    <x v="20"/>
    <s v="TEL"/>
    <n v="75404"/>
    <n v="1999.4"/>
    <m/>
    <m/>
    <m/>
    <x v="98"/>
    <m/>
  </r>
  <r>
    <n v="50554"/>
    <x v="20"/>
    <s v="TEL"/>
    <n v="98975"/>
    <n v="139.19999999999999"/>
    <m/>
    <m/>
    <m/>
    <x v="98"/>
    <m/>
  </r>
  <r>
    <n v="3565"/>
    <x v="103"/>
    <s v="WHATS"/>
    <n v="75408"/>
    <n v="96.7"/>
    <m/>
    <m/>
    <m/>
    <x v="98"/>
    <m/>
  </r>
  <r>
    <n v="724"/>
    <x v="42"/>
    <s v="WHATS"/>
    <n v="75431"/>
    <n v="168.6"/>
    <m/>
    <m/>
    <m/>
    <x v="99"/>
    <m/>
  </r>
  <r>
    <n v="3126"/>
    <x v="0"/>
    <s v="WHATS"/>
    <n v="75433"/>
    <n v="1641.78"/>
    <m/>
    <m/>
    <m/>
    <x v="99"/>
    <m/>
  </r>
  <r>
    <n v="1652"/>
    <x v="61"/>
    <s v="TEL"/>
    <n v="75407"/>
    <n v="884.11"/>
    <m/>
    <m/>
    <m/>
    <x v="99"/>
    <m/>
  </r>
  <r>
    <n v="432"/>
    <x v="43"/>
    <s v="WHATS"/>
    <n v="75140"/>
    <n v="135.1"/>
    <m/>
    <m/>
    <m/>
    <x v="100"/>
    <m/>
  </r>
  <r>
    <n v="1971"/>
    <x v="29"/>
    <s v="WHATS"/>
    <n v="75478"/>
    <n v="667.25"/>
    <m/>
    <m/>
    <m/>
    <x v="100"/>
    <m/>
  </r>
  <r>
    <n v="3017"/>
    <x v="62"/>
    <s v="WHATS"/>
    <n v="40784"/>
    <n v="270.60000000000002"/>
    <m/>
    <m/>
    <m/>
    <x v="100"/>
    <m/>
  </r>
  <r>
    <n v="772"/>
    <x v="71"/>
    <s v="WHATS"/>
    <n v="75493"/>
    <n v="315.45"/>
    <m/>
    <m/>
    <m/>
    <x v="101"/>
    <m/>
  </r>
  <r>
    <n v="475"/>
    <x v="23"/>
    <s v="EMAIL"/>
    <n v="98996"/>
    <n v="1073.03"/>
    <m/>
    <m/>
    <m/>
    <x v="101"/>
    <m/>
  </r>
  <r>
    <n v="475"/>
    <x v="23"/>
    <s v="EMAIL"/>
    <n v="75515"/>
    <n v="2706.73"/>
    <m/>
    <m/>
    <m/>
    <x v="101"/>
    <m/>
  </r>
  <r>
    <n v="874"/>
    <x v="53"/>
    <s v="WHATS"/>
    <n v="75517"/>
    <n v="645"/>
    <m/>
    <m/>
    <m/>
    <x v="101"/>
    <m/>
  </r>
  <r>
    <n v="3240"/>
    <x v="75"/>
    <s v="WHATS"/>
    <n v="98998"/>
    <n v="345.66"/>
    <m/>
    <m/>
    <m/>
    <x v="101"/>
    <m/>
  </r>
  <r>
    <n v="3240"/>
    <x v="75"/>
    <s v="WHATS"/>
    <n v="75520"/>
    <n v="339.85"/>
    <m/>
    <m/>
    <m/>
    <x v="101"/>
    <m/>
  </r>
  <r>
    <n v="3190"/>
    <x v="60"/>
    <s v="WHATS"/>
    <n v="75490"/>
    <n v="405.86"/>
    <m/>
    <m/>
    <m/>
    <x v="6"/>
    <m/>
  </r>
  <r>
    <n v="762"/>
    <x v="41"/>
    <s v="EMAIL"/>
    <n v="75533"/>
    <n v="6758.93"/>
    <m/>
    <m/>
    <m/>
    <x v="6"/>
    <m/>
  </r>
  <r>
    <n v="1534"/>
    <x v="104"/>
    <s v="EMAIL"/>
    <n v="75253"/>
    <n v="137.25"/>
    <m/>
    <m/>
    <m/>
    <x v="6"/>
    <m/>
  </r>
  <r>
    <n v="1534"/>
    <x v="104"/>
    <s v="EMAIL"/>
    <n v="98970"/>
    <n v="2520"/>
    <m/>
    <m/>
    <m/>
    <x v="6"/>
    <m/>
  </r>
  <r>
    <n v="2911"/>
    <x v="15"/>
    <s v="WHATS"/>
    <n v="75543"/>
    <n v="1468.4"/>
    <m/>
    <m/>
    <m/>
    <x v="6"/>
    <m/>
  </r>
  <r>
    <n v="2911"/>
    <x v="15"/>
    <s v="WHATS"/>
    <n v="99003"/>
    <n v="88"/>
    <m/>
    <m/>
    <m/>
    <x v="6"/>
    <m/>
  </r>
  <r>
    <n v="3153"/>
    <x v="12"/>
    <s v="WHATS"/>
    <n v="75528"/>
    <n v="1210.5"/>
    <m/>
    <m/>
    <m/>
    <x v="6"/>
    <m/>
  </r>
  <r>
    <n v="1164"/>
    <x v="58"/>
    <s v="TEL"/>
    <n v="75551"/>
    <n v="1277.4000000000001"/>
    <m/>
    <m/>
    <m/>
    <x v="6"/>
    <m/>
  </r>
  <r>
    <n v="311"/>
    <x v="46"/>
    <s v="WHATS"/>
    <n v="99007"/>
    <n v="832.5"/>
    <m/>
    <m/>
    <m/>
    <x v="6"/>
    <m/>
  </r>
  <r>
    <n v="311"/>
    <x v="46"/>
    <s v="WHATS"/>
    <n v="75561"/>
    <n v="54.9"/>
    <m/>
    <m/>
    <m/>
    <x v="6"/>
    <m/>
  </r>
  <r>
    <n v="1026"/>
    <x v="7"/>
    <s v="WHATS"/>
    <n v="75563"/>
    <n v="1381.4"/>
    <m/>
    <m/>
    <m/>
    <x v="6"/>
    <m/>
  </r>
  <r>
    <n v="746"/>
    <x v="3"/>
    <s v="TEL"/>
    <n v="75314"/>
    <n v="3268.32"/>
    <m/>
    <m/>
    <m/>
    <x v="6"/>
    <m/>
  </r>
  <r>
    <n v="746"/>
    <x v="3"/>
    <s v="TEL"/>
    <n v="99012"/>
    <n v="228.74"/>
    <m/>
    <m/>
    <m/>
    <x v="6"/>
    <m/>
  </r>
  <r>
    <n v="50219"/>
    <x v="14"/>
    <s v="WHATS"/>
    <n v="75576"/>
    <n v="1116"/>
    <m/>
    <m/>
    <m/>
    <x v="102"/>
    <m/>
  </r>
  <r>
    <n v="50222"/>
    <x v="89"/>
    <s v="WHATS"/>
    <n v="99014"/>
    <n v="59.25"/>
    <m/>
    <m/>
    <m/>
    <x v="102"/>
    <m/>
  </r>
  <r>
    <n v="3018"/>
    <x v="64"/>
    <s v="WHATS"/>
    <n v="75589"/>
    <n v="549.14"/>
    <m/>
    <m/>
    <m/>
    <x v="102"/>
    <m/>
  </r>
  <r>
    <n v="3018"/>
    <x v="64"/>
    <s v="WHATS"/>
    <n v="99015"/>
    <n v="118.5"/>
    <m/>
    <m/>
    <m/>
    <x v="102"/>
    <m/>
  </r>
  <r>
    <n v="1533"/>
    <x v="50"/>
    <s v="WHATS"/>
    <n v="75620"/>
    <n v="1360"/>
    <m/>
    <m/>
    <m/>
    <x v="102"/>
    <m/>
  </r>
  <r>
    <n v="784"/>
    <x v="13"/>
    <s v="EMAIL"/>
    <n v="75609"/>
    <n v="4162.1499999999996"/>
    <m/>
    <m/>
    <m/>
    <x v="102"/>
    <m/>
  </r>
  <r>
    <n v="1122"/>
    <x v="87"/>
    <s v="WHATS"/>
    <n v="75628"/>
    <n v="682"/>
    <m/>
    <m/>
    <m/>
    <x v="102"/>
    <m/>
  </r>
  <r>
    <n v="50554"/>
    <x v="20"/>
    <s v="TEL"/>
    <n v="75639"/>
    <n v="2302"/>
    <m/>
    <m/>
    <m/>
    <x v="102"/>
    <m/>
  </r>
  <r>
    <n v="50497"/>
    <x v="77"/>
    <s v="TEL"/>
    <n v="99022"/>
    <n v="553.29999999999995"/>
    <m/>
    <m/>
    <m/>
    <x v="102"/>
    <m/>
  </r>
  <r>
    <n v="690"/>
    <x v="19"/>
    <s v="TEL"/>
    <n v="99023"/>
    <n v="929.8"/>
    <m/>
    <m/>
    <m/>
    <x v="102"/>
    <m/>
  </r>
  <r>
    <n v="690"/>
    <x v="19"/>
    <s v="TEL"/>
    <n v="75643"/>
    <n v="961.8"/>
    <m/>
    <m/>
    <m/>
    <x v="102"/>
    <m/>
  </r>
  <r>
    <n v="761"/>
    <x v="24"/>
    <s v="WHATS"/>
    <n v="75649"/>
    <n v="780"/>
    <m/>
    <m/>
    <m/>
    <x v="103"/>
    <m/>
  </r>
  <r>
    <n v="1616"/>
    <x v="83"/>
    <s v="WHATS"/>
    <n v="75648"/>
    <n v="1000"/>
    <m/>
    <m/>
    <m/>
    <x v="103"/>
    <m/>
  </r>
  <r>
    <n v="2702"/>
    <x v="73"/>
    <s v="WHATS"/>
    <n v="75653"/>
    <n v="1205.5999999999999"/>
    <m/>
    <m/>
    <m/>
    <x v="103"/>
    <m/>
  </r>
  <r>
    <n v="572"/>
    <x v="51"/>
    <s v="WHATS"/>
    <n v="75660"/>
    <n v="1211.5899999999999"/>
    <m/>
    <m/>
    <m/>
    <x v="103"/>
    <m/>
  </r>
  <r>
    <n v="50185"/>
    <x v="105"/>
    <s v="WHATS"/>
    <n v="75657"/>
    <n v="789.4"/>
    <m/>
    <m/>
    <m/>
    <x v="103"/>
    <m/>
  </r>
  <r>
    <n v="756"/>
    <x v="8"/>
    <s v="WHATS"/>
    <n v="75678"/>
    <n v="3412.64"/>
    <m/>
    <m/>
    <m/>
    <x v="103"/>
    <m/>
  </r>
  <r>
    <n v="50418"/>
    <x v="35"/>
    <s v="WHATS"/>
    <n v="75659"/>
    <n v="2457.42"/>
    <m/>
    <m/>
    <m/>
    <x v="104"/>
    <m/>
  </r>
  <r>
    <n v="50418"/>
    <x v="35"/>
    <s v="WHATS"/>
    <n v="123"/>
    <n v="410"/>
    <m/>
    <m/>
    <m/>
    <x v="104"/>
    <m/>
  </r>
  <r>
    <n v="50816"/>
    <x v="100"/>
    <s v="WHATS"/>
    <n v="75712"/>
    <n v="169"/>
    <m/>
    <m/>
    <m/>
    <x v="104"/>
    <m/>
  </r>
  <r>
    <n v="475"/>
    <x v="23"/>
    <s v="WHATS"/>
    <n v="75717"/>
    <n v="1584.75"/>
    <m/>
    <m/>
    <m/>
    <x v="104"/>
    <m/>
  </r>
  <r>
    <n v="746"/>
    <x v="3"/>
    <s v="WHATS"/>
    <n v="75745"/>
    <n v="1465.2"/>
    <m/>
    <m/>
    <m/>
    <x v="104"/>
    <m/>
  </r>
  <r>
    <n v="2415"/>
    <x v="63"/>
    <s v="WHATS"/>
    <n v="75771"/>
    <n v="531.64"/>
    <m/>
    <m/>
    <m/>
    <x v="104"/>
    <m/>
  </r>
  <r>
    <n v="3194"/>
    <x v="18"/>
    <s v="WHATS"/>
    <n v="75787"/>
    <n v="467.7"/>
    <m/>
    <m/>
    <m/>
    <x v="105"/>
    <m/>
  </r>
  <r>
    <n v="3194"/>
    <x v="18"/>
    <s v="WHATS"/>
    <n v="99047"/>
    <n v="149.1"/>
    <m/>
    <m/>
    <m/>
    <x v="105"/>
    <m/>
  </r>
  <r>
    <n v="50497"/>
    <x v="77"/>
    <s v="WHATS"/>
    <n v="99050"/>
    <n v="45.5"/>
    <m/>
    <m/>
    <m/>
    <x v="106"/>
    <m/>
  </r>
  <r>
    <n v="1533"/>
    <x v="50"/>
    <s v="WHATS"/>
    <n v="75803"/>
    <n v="1276.2"/>
    <m/>
    <m/>
    <m/>
    <x v="106"/>
    <m/>
  </r>
  <r>
    <n v="1623"/>
    <x v="57"/>
    <s v="WHATS"/>
    <n v="75814"/>
    <n v="592"/>
    <m/>
    <m/>
    <m/>
    <x v="106"/>
    <m/>
  </r>
  <r>
    <n v="412"/>
    <x v="90"/>
    <s v="WHATS"/>
    <n v="75816"/>
    <n v="1017.45"/>
    <m/>
    <m/>
    <m/>
    <x v="106"/>
    <m/>
  </r>
  <r>
    <n v="50497"/>
    <x v="77"/>
    <s v="WHATS"/>
    <n v="75824"/>
    <n v="76.400000000000006"/>
    <m/>
    <m/>
    <m/>
    <x v="106"/>
    <m/>
  </r>
  <r>
    <n v="874"/>
    <x v="53"/>
    <s v="WHATS"/>
    <n v="75833"/>
    <n v="1154.55"/>
    <m/>
    <m/>
    <m/>
    <x v="106"/>
    <m/>
  </r>
  <r>
    <n v="1813"/>
    <x v="48"/>
    <s v="WHATS"/>
    <n v="75829"/>
    <n v="972.6"/>
    <m/>
    <m/>
    <m/>
    <x v="106"/>
    <m/>
  </r>
  <r>
    <n v="2192"/>
    <x v="0"/>
    <s v="WHATS"/>
    <n v="75403"/>
    <n v="2171.37"/>
    <m/>
    <m/>
    <m/>
    <x v="106"/>
    <m/>
  </r>
  <r>
    <n v="2022"/>
    <x v="28"/>
    <s v="WHATS"/>
    <n v="75848"/>
    <n v="983"/>
    <m/>
    <m/>
    <m/>
    <x v="106"/>
    <m/>
  </r>
  <r>
    <n v="1122"/>
    <x v="87"/>
    <s v="WHATS"/>
    <n v="75860"/>
    <n v="1048.3"/>
    <m/>
    <m/>
    <m/>
    <x v="107"/>
    <m/>
  </r>
  <r>
    <n v="823"/>
    <x v="17"/>
    <s v="TEL"/>
    <n v="75226"/>
    <n v="9059.15"/>
    <m/>
    <m/>
    <m/>
    <x v="107"/>
    <m/>
  </r>
  <r>
    <n v="1041"/>
    <x v="78"/>
    <s v="WHATS"/>
    <n v="75868"/>
    <n v="264"/>
    <m/>
    <m/>
    <m/>
    <x v="107"/>
    <m/>
  </r>
  <r>
    <n v="708"/>
    <x v="56"/>
    <s v="WHATS"/>
    <n v="75873"/>
    <n v="2272.5"/>
    <m/>
    <m/>
    <m/>
    <x v="107"/>
    <m/>
  </r>
  <r>
    <n v="620"/>
    <x v="69"/>
    <s v="WHATS"/>
    <n v="75872"/>
    <n v="401"/>
    <m/>
    <m/>
    <m/>
    <x v="107"/>
    <m/>
  </r>
  <r>
    <n v="311"/>
    <x v="46"/>
    <s v="WHATS"/>
    <n v="75894"/>
    <n v="904.1"/>
    <m/>
    <m/>
    <m/>
    <x v="107"/>
    <m/>
  </r>
  <r>
    <n v="762"/>
    <x v="41"/>
    <s v="EMAIL"/>
    <n v="75903"/>
    <n v="3280"/>
    <m/>
    <m/>
    <m/>
    <x v="107"/>
    <m/>
  </r>
  <r>
    <n v="432"/>
    <x v="43"/>
    <s v="WHATS"/>
    <n v="74724"/>
    <n v="4454.57"/>
    <m/>
    <m/>
    <m/>
    <x v="108"/>
    <m/>
  </r>
  <r>
    <n v="432"/>
    <x v="43"/>
    <s v="WHATS"/>
    <n v="99061"/>
    <n v="408.38"/>
    <m/>
    <m/>
    <m/>
    <x v="108"/>
    <m/>
  </r>
  <r>
    <n v="2022"/>
    <x v="28"/>
    <s v="WHATS"/>
    <n v="75917"/>
    <n v="1922.34"/>
    <m/>
    <m/>
    <m/>
    <x v="108"/>
    <m/>
  </r>
  <r>
    <n v="2022"/>
    <x v="28"/>
    <s v="WHATS"/>
    <n v="99007"/>
    <n v="215"/>
    <m/>
    <m/>
    <m/>
    <x v="108"/>
    <m/>
  </r>
  <r>
    <n v="687"/>
    <x v="16"/>
    <s v="WHATS"/>
    <n v="75933"/>
    <n v="856"/>
    <m/>
    <m/>
    <m/>
    <x v="109"/>
    <m/>
  </r>
  <r>
    <n v="705"/>
    <x v="1"/>
    <s v="WHATS"/>
    <n v="99016"/>
    <n v="400"/>
    <m/>
    <m/>
    <m/>
    <x v="109"/>
    <m/>
  </r>
  <r>
    <n v="705"/>
    <x v="1"/>
    <s v="WHATS"/>
    <n v="75612"/>
    <n v="228.7"/>
    <m/>
    <m/>
    <m/>
    <x v="109"/>
    <m/>
  </r>
  <r>
    <n v="480"/>
    <x v="39"/>
    <s v="WHATS"/>
    <n v="98992"/>
    <n v="96.1"/>
    <m/>
    <m/>
    <m/>
    <x v="109"/>
    <m/>
  </r>
  <r>
    <n v="480"/>
    <x v="39"/>
    <s v="WHATS"/>
    <n v="75774"/>
    <n v="256"/>
    <m/>
    <m/>
    <m/>
    <x v="109"/>
    <m/>
  </r>
  <r>
    <n v="3475"/>
    <x v="59"/>
    <s v="WHATS"/>
    <n v="75617"/>
    <n v="665.5"/>
    <m/>
    <m/>
    <m/>
    <x v="109"/>
    <m/>
  </r>
  <r>
    <n v="1726"/>
    <x v="34"/>
    <s v="EMAIL"/>
    <n v="75953"/>
    <n v="389.8"/>
    <m/>
    <m/>
    <m/>
    <x v="109"/>
    <m/>
  </r>
  <r>
    <n v="784"/>
    <x v="13"/>
    <s v="WHATS"/>
    <n v="75624"/>
    <n v="722"/>
    <m/>
    <m/>
    <m/>
    <x v="109"/>
    <m/>
  </r>
  <r>
    <n v="704"/>
    <x v="49"/>
    <s v="TEL"/>
    <n v="75973"/>
    <n v="767.5"/>
    <m/>
    <m/>
    <m/>
    <x v="109"/>
    <m/>
  </r>
  <r>
    <n v="704"/>
    <x v="49"/>
    <s v="TEL"/>
    <n v="99080"/>
    <n v="91.12"/>
    <m/>
    <m/>
    <m/>
    <x v="109"/>
    <m/>
  </r>
  <r>
    <n v="581"/>
    <x v="74"/>
    <s v="WHATS"/>
    <n v="99084"/>
    <n v="1155.57"/>
    <m/>
    <m/>
    <m/>
    <x v="109"/>
    <m/>
  </r>
  <r>
    <n v="581"/>
    <x v="74"/>
    <s v="WHATS"/>
    <n v="75983"/>
    <n v="92"/>
    <m/>
    <m/>
    <m/>
    <x v="109"/>
    <m/>
  </r>
  <r>
    <n v="50544"/>
    <x v="0"/>
    <s v="WHATS"/>
    <n v="75988"/>
    <n v="567.29999999999995"/>
    <m/>
    <m/>
    <m/>
    <x v="110"/>
    <m/>
  </r>
  <r>
    <n v="761"/>
    <x v="24"/>
    <s v="WHATS"/>
    <n v="75908"/>
    <n v="212.7"/>
    <m/>
    <m/>
    <m/>
    <x v="110"/>
    <m/>
  </r>
  <r>
    <n v="761"/>
    <x v="24"/>
    <s v="WHATS"/>
    <n v="99074"/>
    <n v="172"/>
    <m/>
    <m/>
    <m/>
    <x v="110"/>
    <m/>
  </r>
  <r>
    <n v="618"/>
    <x v="26"/>
    <s v="WHATS"/>
    <n v="76001"/>
    <n v="2358.6999999999998"/>
    <m/>
    <m/>
    <m/>
    <x v="110"/>
    <m/>
  </r>
  <r>
    <n v="618"/>
    <x v="26"/>
    <s v="WHATS"/>
    <n v="99085"/>
    <n v="446"/>
    <m/>
    <m/>
    <m/>
    <x v="110"/>
    <m/>
  </r>
  <r>
    <n v="3240"/>
    <x v="75"/>
    <s v="WHATS"/>
    <n v="76005"/>
    <n v="1047.9000000000001"/>
    <m/>
    <m/>
    <m/>
    <x v="110"/>
    <m/>
  </r>
  <r>
    <n v="50576"/>
    <x v="37"/>
    <s v="WHATS"/>
    <n v="75907"/>
    <n v="2846.1"/>
    <m/>
    <m/>
    <m/>
    <x v="110"/>
    <m/>
  </r>
  <r>
    <n v="50526"/>
    <x v="38"/>
    <s v="WHATS"/>
    <n v="99093"/>
    <n v="94.8"/>
    <m/>
    <m/>
    <m/>
    <x v="110"/>
    <m/>
  </r>
  <r>
    <n v="475"/>
    <x v="23"/>
    <s v="EMAIL"/>
    <n v="76012"/>
    <n v="4776.17"/>
    <m/>
    <m/>
    <m/>
    <x v="110"/>
    <m/>
  </r>
  <r>
    <n v="823"/>
    <x v="17"/>
    <s v="WHATS"/>
    <n v="99060"/>
    <n v="110"/>
    <m/>
    <m/>
    <m/>
    <x v="110"/>
    <m/>
  </r>
  <r>
    <n v="51042"/>
    <x v="106"/>
    <s v="WHATS"/>
    <n v="75789"/>
    <n v="249.51"/>
    <m/>
    <m/>
    <m/>
    <x v="110"/>
    <m/>
  </r>
  <r>
    <n v="51042"/>
    <x v="106"/>
    <s v="WHATS"/>
    <n v="99049"/>
    <n v="177.75"/>
    <m/>
    <m/>
    <m/>
    <x v="110"/>
    <m/>
  </r>
  <r>
    <n v="2198"/>
    <x v="92"/>
    <s v="WHATS"/>
    <n v="75924"/>
    <n v="3620.05"/>
    <m/>
    <m/>
    <m/>
    <x v="111"/>
    <m/>
  </r>
  <r>
    <n v="1206"/>
    <x v="33"/>
    <s v="WHATS"/>
    <n v="76055"/>
    <n v="1013.4"/>
    <m/>
    <m/>
    <m/>
    <x v="111"/>
    <m/>
  </r>
  <r>
    <n v="3077"/>
    <x v="10"/>
    <s v="WHATS"/>
    <n v="76052"/>
    <n v="628.15"/>
    <m/>
    <m/>
    <m/>
    <x v="111"/>
    <m/>
  </r>
  <r>
    <n v="3077"/>
    <x v="10"/>
    <s v="WHATS"/>
    <n v="99103"/>
    <n v="84.5"/>
    <m/>
    <m/>
    <m/>
    <x v="111"/>
    <m/>
  </r>
  <r>
    <n v="50554"/>
    <x v="20"/>
    <s v="WHATS"/>
    <n v="75792"/>
    <n v="189"/>
    <m/>
    <m/>
    <m/>
    <x v="111"/>
    <m/>
  </r>
  <r>
    <n v="690"/>
    <x v="19"/>
    <s v="WHATS"/>
    <n v="75790"/>
    <n v="189"/>
    <m/>
    <m/>
    <m/>
    <x v="111"/>
    <m/>
  </r>
  <r>
    <n v="1989"/>
    <x v="67"/>
    <s v="WHATS"/>
    <n v="75793"/>
    <n v="606.12"/>
    <m/>
    <m/>
    <m/>
    <x v="111"/>
    <m/>
  </r>
  <r>
    <n v="311"/>
    <x v="46"/>
    <s v="WHATS"/>
    <n v="99064"/>
    <n v="814.29"/>
    <m/>
    <m/>
    <m/>
    <x v="111"/>
    <m/>
  </r>
  <r>
    <n v="311"/>
    <x v="46"/>
    <s v="WHATS"/>
    <n v="76022"/>
    <n v="113"/>
    <m/>
    <m/>
    <m/>
    <x v="111"/>
    <m/>
  </r>
  <r>
    <n v="2022"/>
    <x v="28"/>
    <s v="WHATS"/>
    <n v="76064"/>
    <n v="664.47"/>
    <m/>
    <m/>
    <m/>
    <x v="111"/>
    <m/>
  </r>
  <r>
    <n v="1493"/>
    <x v="21"/>
    <s v="WHATS"/>
    <n v="74726"/>
    <n v="1172.3900000000001"/>
    <m/>
    <m/>
    <m/>
    <x v="111"/>
    <m/>
  </r>
  <r>
    <n v="1164"/>
    <x v="58"/>
    <s v="WHATS"/>
    <n v="76099"/>
    <n v="390.4"/>
    <m/>
    <m/>
    <m/>
    <x v="112"/>
    <m/>
  </r>
  <r>
    <n v="1905"/>
    <x v="107"/>
    <s v="WHATS"/>
    <n v="76030"/>
    <n v="389.4"/>
    <m/>
    <m/>
    <m/>
    <x v="112"/>
    <m/>
  </r>
  <r>
    <n v="822"/>
    <x v="66"/>
    <s v="WHATS"/>
    <n v="75906"/>
    <n v="343"/>
    <m/>
    <m/>
    <m/>
    <x v="112"/>
    <m/>
  </r>
  <r>
    <n v="756"/>
    <x v="8"/>
    <s v="WHATS"/>
    <n v="75898"/>
    <n v="1765.1"/>
    <m/>
    <m/>
    <m/>
    <x v="112"/>
    <m/>
  </r>
  <r>
    <n v="325"/>
    <x v="97"/>
    <s v="WHATS"/>
    <n v="99110"/>
    <n v="345.8"/>
    <m/>
    <m/>
    <m/>
    <x v="112"/>
    <m/>
  </r>
  <r>
    <n v="325"/>
    <x v="97"/>
    <s v="WHATS"/>
    <n v="76135"/>
    <n v="955.7"/>
    <m/>
    <m/>
    <m/>
    <x v="112"/>
    <m/>
  </r>
  <r>
    <n v="50497"/>
    <x v="77"/>
    <s v="WHATS"/>
    <n v="99111"/>
    <n v="69.900000000000006"/>
    <m/>
    <m/>
    <m/>
    <x v="113"/>
    <m/>
  </r>
  <r>
    <n v="432"/>
    <x v="43"/>
    <s v="WHATS"/>
    <n v="75905"/>
    <n v="92.5"/>
    <m/>
    <m/>
    <m/>
    <x v="113"/>
    <m/>
  </r>
  <r>
    <n v="432"/>
    <x v="43"/>
    <s v="WHATS"/>
    <n v="99112"/>
    <n v="206.47"/>
    <m/>
    <m/>
    <m/>
    <x v="113"/>
    <m/>
  </r>
  <r>
    <n v="516"/>
    <x v="11"/>
    <s v="EMAIL"/>
    <n v="76157"/>
    <n v="14125.05"/>
    <m/>
    <m/>
    <m/>
    <x v="113"/>
    <m/>
  </r>
  <r>
    <n v="2022"/>
    <x v="28"/>
    <s v="WHATS"/>
    <n v="76179"/>
    <n v="3692.6"/>
    <m/>
    <m/>
    <m/>
    <x v="114"/>
    <m/>
  </r>
  <r>
    <n v="746"/>
    <x v="3"/>
    <s v="WHATS"/>
    <n v="76187"/>
    <n v="505.8"/>
    <m/>
    <m/>
    <m/>
    <x v="114"/>
    <m/>
  </r>
  <r>
    <n v="475"/>
    <x v="23"/>
    <s v="EMAIL"/>
    <n v="76086"/>
    <n v="5679.6"/>
    <m/>
    <m/>
    <m/>
    <x v="114"/>
    <m/>
  </r>
  <r>
    <n v="475"/>
    <x v="23"/>
    <s v="EMAIL"/>
    <n v="99122"/>
    <n v="206.47"/>
    <m/>
    <m/>
    <m/>
    <x v="114"/>
    <m/>
  </r>
  <r>
    <n v="335"/>
    <x v="9"/>
    <s v="WHATS"/>
    <n v="76212"/>
    <n v="141.55000000000001"/>
    <m/>
    <m/>
    <m/>
    <x v="114"/>
    <m/>
  </r>
  <r>
    <n v="335"/>
    <x v="9"/>
    <s v="WHATS"/>
    <n v="99124"/>
    <n v="539.35"/>
    <m/>
    <m/>
    <m/>
    <x v="114"/>
    <m/>
  </r>
  <r>
    <n v="3077"/>
    <x v="10"/>
    <s v="WHATS"/>
    <n v="76052"/>
    <n v="628.15"/>
    <m/>
    <m/>
    <m/>
    <x v="114"/>
    <m/>
  </r>
  <r>
    <n v="3077"/>
    <x v="10"/>
    <s v="WHATS"/>
    <n v="99103"/>
    <n v="84.5"/>
    <m/>
    <m/>
    <m/>
    <x v="114"/>
    <m/>
  </r>
  <r>
    <n v="9063"/>
    <x v="22"/>
    <s v="WHATS"/>
    <n v="76217"/>
    <n v="664.3"/>
    <m/>
    <m/>
    <m/>
    <x v="114"/>
    <m/>
  </r>
  <r>
    <n v="761"/>
    <x v="24"/>
    <s v="WHATS"/>
    <n v="76233"/>
    <n v="2566"/>
    <m/>
    <m/>
    <m/>
    <x v="115"/>
    <m/>
  </r>
  <r>
    <n v="761"/>
    <x v="24"/>
    <s v="WHATS"/>
    <n v="99127"/>
    <n v="337.9"/>
    <m/>
    <m/>
    <m/>
    <x v="115"/>
    <m/>
  </r>
  <r>
    <n v="705"/>
    <x v="1"/>
    <s v="TEL"/>
    <n v="75926"/>
    <n v="426"/>
    <m/>
    <m/>
    <m/>
    <x v="115"/>
    <m/>
  </r>
  <r>
    <n v="1016"/>
    <x v="101"/>
    <s v="TEL"/>
    <n v="76244"/>
    <n v="509.56"/>
    <m/>
    <m/>
    <m/>
    <x v="115"/>
    <m/>
  </r>
  <r>
    <n v="3017"/>
    <x v="62"/>
    <s v="WHATS"/>
    <n v="76249"/>
    <n v="1320.16"/>
    <m/>
    <m/>
    <m/>
    <x v="115"/>
    <m/>
  </r>
  <r>
    <n v="822"/>
    <x v="66"/>
    <s v="WHATS"/>
    <n v="75906"/>
    <n v="343"/>
    <m/>
    <m/>
    <m/>
    <x v="115"/>
    <m/>
  </r>
  <r>
    <n v="3240"/>
    <x v="75"/>
    <s v="WHATS"/>
    <n v="99132"/>
    <n v="66.569999999999993"/>
    <m/>
    <m/>
    <m/>
    <x v="115"/>
    <m/>
  </r>
  <r>
    <n v="3240"/>
    <x v="75"/>
    <s v="WHATS"/>
    <n v="76252"/>
    <n v="908.6"/>
    <m/>
    <m/>
    <m/>
    <x v="115"/>
    <m/>
  </r>
  <r>
    <n v="756"/>
    <x v="8"/>
    <s v="WHATS"/>
    <n v="76270"/>
    <n v="2781.72"/>
    <m/>
    <m/>
    <m/>
    <x v="116"/>
    <m/>
  </r>
  <r>
    <n v="756"/>
    <x v="8"/>
    <s v="WHATS"/>
    <n v="99031"/>
    <n v="246.96"/>
    <m/>
    <m/>
    <m/>
    <x v="116"/>
    <m/>
  </r>
  <r>
    <n v="2163"/>
    <x v="36"/>
    <s v="TEL"/>
    <n v="76276"/>
    <n v="1944.39"/>
    <m/>
    <m/>
    <m/>
    <x v="116"/>
    <m/>
  </r>
  <r>
    <n v="500242"/>
    <x v="0"/>
    <s v="WHATS"/>
    <n v="74981"/>
    <n v="456.06"/>
    <m/>
    <m/>
    <m/>
    <x v="116"/>
    <m/>
  </r>
  <r>
    <n v="1122"/>
    <x v="87"/>
    <s v="EMAIL"/>
    <n v="76291"/>
    <n v="1340"/>
    <m/>
    <m/>
    <m/>
    <x v="116"/>
    <m/>
  </r>
  <r>
    <n v="50310"/>
    <x v="108"/>
    <s v="WHATS"/>
    <n v="99141"/>
    <n v="311.2"/>
    <m/>
    <m/>
    <m/>
    <x v="117"/>
    <m/>
  </r>
  <r>
    <n v="906"/>
    <x v="27"/>
    <s v="WHATS"/>
    <n v="76263"/>
    <n v="751"/>
    <m/>
    <m/>
    <m/>
    <x v="117"/>
    <m/>
  </r>
  <r>
    <n v="906"/>
    <x v="27"/>
    <s v="WHATS"/>
    <n v="12345"/>
    <n v="410"/>
    <m/>
    <m/>
    <m/>
    <x v="117"/>
    <m/>
  </r>
  <r>
    <n v="2702"/>
    <x v="73"/>
    <s v="WHATS"/>
    <n v="76298"/>
    <n v="883"/>
    <m/>
    <m/>
    <m/>
    <x v="117"/>
    <m/>
  </r>
  <r>
    <n v="708"/>
    <x v="56"/>
    <s v="WHATS"/>
    <n v="76308"/>
    <n v="2275.5"/>
    <m/>
    <m/>
    <m/>
    <x v="117"/>
    <m/>
  </r>
  <r>
    <n v="50576"/>
    <x v="37"/>
    <s v="WHATS"/>
    <n v="76343"/>
    <n v="54"/>
    <m/>
    <m/>
    <m/>
    <x v="118"/>
    <m/>
  </r>
  <r>
    <n v="705"/>
    <x v="1"/>
    <s v="WHATS"/>
    <n v="76357"/>
    <n v="88"/>
    <m/>
    <m/>
    <m/>
    <x v="118"/>
    <m/>
  </r>
  <r>
    <n v="50219"/>
    <x v="14"/>
    <s v="WHATS"/>
    <n v="76355"/>
    <n v="638.20000000000005"/>
    <m/>
    <m/>
    <m/>
    <x v="118"/>
    <m/>
  </r>
  <r>
    <n v="2022"/>
    <x v="28"/>
    <s v="WHATS"/>
    <n v="72415"/>
    <n v="810"/>
    <m/>
    <m/>
    <m/>
    <x v="118"/>
    <m/>
  </r>
  <r>
    <n v="50961"/>
    <x v="109"/>
    <s v="WHATS"/>
    <n v="76365"/>
    <n v="1048.8699999999999"/>
    <m/>
    <m/>
    <m/>
    <x v="118"/>
    <m/>
  </r>
  <r>
    <n v="3190"/>
    <x v="60"/>
    <s v="WHATS"/>
    <n v="76371"/>
    <n v="1656.5"/>
    <m/>
    <m/>
    <m/>
    <x v="119"/>
    <m/>
  </r>
  <r>
    <n v="500243"/>
    <x v="110"/>
    <s v="WHATS"/>
    <n v="76380"/>
    <n v="505"/>
    <m/>
    <m/>
    <m/>
    <x v="119"/>
    <m/>
  </r>
  <r>
    <n v="9063"/>
    <x v="22"/>
    <s v="WHATS"/>
    <n v="76217"/>
    <n v="754"/>
    <m/>
    <m/>
    <m/>
    <x v="119"/>
    <m/>
  </r>
  <r>
    <n v="725"/>
    <x v="65"/>
    <s v="WHATS"/>
    <n v="75734"/>
    <n v="454.45"/>
    <m/>
    <m/>
    <m/>
    <x v="120"/>
    <m/>
  </r>
  <r>
    <n v="2022"/>
    <x v="28"/>
    <s v="WHATS"/>
    <n v="76399"/>
    <n v="2282.29"/>
    <m/>
    <m/>
    <m/>
    <x v="120"/>
    <m/>
  </r>
  <r>
    <n v="772"/>
    <x v="71"/>
    <s v="WHATS"/>
    <n v="76404"/>
    <n v="860.59"/>
    <m/>
    <m/>
    <m/>
    <x v="120"/>
    <m/>
  </r>
  <r>
    <n v="1240"/>
    <x v="25"/>
    <s v="WHATS"/>
    <n v="76396"/>
    <n v="1107.92"/>
    <m/>
    <m/>
    <m/>
    <x v="120"/>
    <m/>
  </r>
  <r>
    <n v="572"/>
    <x v="51"/>
    <s v="WHATS"/>
    <n v="76426"/>
    <n v="383.05"/>
    <m/>
    <m/>
    <m/>
    <x v="120"/>
    <m/>
  </r>
  <r>
    <n v="474"/>
    <x v="98"/>
    <s v="WHATS"/>
    <n v="99160"/>
    <n v="864"/>
    <m/>
    <m/>
    <m/>
    <x v="121"/>
    <m/>
  </r>
  <r>
    <n v="1813"/>
    <x v="48"/>
    <s v="WHATS"/>
    <n v="76432"/>
    <n v="1065"/>
    <m/>
    <m/>
    <m/>
    <x v="121"/>
    <m/>
  </r>
  <r>
    <n v="475"/>
    <x v="23"/>
    <s v="WHATS"/>
    <n v="76444"/>
    <n v="2132.1799999999998"/>
    <m/>
    <m/>
    <m/>
    <x v="121"/>
    <m/>
  </r>
  <r>
    <n v="2911"/>
    <x v="15"/>
    <s v="WHATS"/>
    <n v="99164"/>
    <n v="211.05"/>
    <m/>
    <m/>
    <m/>
    <x v="121"/>
    <m/>
  </r>
  <r>
    <n v="2911"/>
    <x v="15"/>
    <s v="WHATS"/>
    <n v="76387"/>
    <n v="956.35"/>
    <m/>
    <m/>
    <m/>
    <x v="121"/>
    <m/>
  </r>
  <r>
    <n v="311"/>
    <x v="46"/>
    <s v="WHATS"/>
    <n v="99166"/>
    <n v="319.95"/>
    <m/>
    <m/>
    <m/>
    <x v="121"/>
    <m/>
  </r>
  <r>
    <n v="311"/>
    <x v="46"/>
    <s v="WHATS"/>
    <n v="76466"/>
    <n v="327.5"/>
    <m/>
    <m/>
    <m/>
    <x v="121"/>
    <m/>
  </r>
  <r>
    <n v="705"/>
    <x v="1"/>
    <s v="WHATS"/>
    <n v="99151"/>
    <n v="549.9"/>
    <m/>
    <m/>
    <m/>
    <x v="121"/>
    <m/>
  </r>
  <r>
    <n v="51175"/>
    <x v="79"/>
    <s v="WHATS"/>
    <n v="76492"/>
    <n v="176"/>
    <m/>
    <m/>
    <m/>
    <x v="121"/>
    <m/>
  </r>
  <r>
    <n v="575"/>
    <x v="45"/>
    <s v="TEL"/>
    <n v="76496"/>
    <n v="860.79"/>
    <m/>
    <m/>
    <m/>
    <x v="122"/>
    <m/>
  </r>
  <r>
    <n v="1971"/>
    <x v="29"/>
    <s v="WHATS"/>
    <n v="76502"/>
    <n v="575.77"/>
    <m/>
    <m/>
    <m/>
    <x v="122"/>
    <m/>
  </r>
  <r>
    <n v="311"/>
    <x v="46"/>
    <s v="WHATS"/>
    <n v="76498"/>
    <n v="525.20000000000005"/>
    <m/>
    <m/>
    <m/>
    <x v="122"/>
    <m/>
  </r>
  <r>
    <n v="2655"/>
    <x v="52"/>
    <s v="WHATS"/>
    <n v="76508"/>
    <n v="483.00299999999999"/>
    <m/>
    <m/>
    <m/>
    <x v="122"/>
    <m/>
  </r>
  <r>
    <n v="480"/>
    <x v="39"/>
    <s v="WHATS"/>
    <n v="76538"/>
    <n v="485.63"/>
    <m/>
    <m/>
    <m/>
    <x v="7"/>
    <m/>
  </r>
  <r>
    <n v="741"/>
    <x v="85"/>
    <s v="WHATS"/>
    <n v="7652"/>
    <n v="480"/>
    <m/>
    <m/>
    <m/>
    <x v="7"/>
    <m/>
  </r>
  <r>
    <n v="784"/>
    <x v="13"/>
    <s v="WHATS"/>
    <n v="76532"/>
    <n v="3636.9"/>
    <m/>
    <m/>
    <m/>
    <x v="7"/>
    <m/>
  </r>
  <r>
    <n v="3153"/>
    <x v="12"/>
    <s v="WHATS"/>
    <n v="76567"/>
    <n v="2542.6999999999998"/>
    <m/>
    <m/>
    <m/>
    <x v="123"/>
    <m/>
  </r>
  <r>
    <n v="1206"/>
    <x v="33"/>
    <s v="WHATS"/>
    <n v="76593"/>
    <n v="1013.4"/>
    <m/>
    <m/>
    <m/>
    <x v="124"/>
    <m/>
  </r>
  <r>
    <n v="746"/>
    <x v="3"/>
    <s v="TEL"/>
    <n v="99196"/>
    <n v="237.25"/>
    <m/>
    <m/>
    <m/>
    <x v="124"/>
    <m/>
  </r>
  <r>
    <n v="746"/>
    <x v="3"/>
    <s v="TEL"/>
    <n v="76594"/>
    <n v="4404.54"/>
    <m/>
    <m/>
    <m/>
    <x v="124"/>
    <m/>
  </r>
  <r>
    <n v="50418"/>
    <x v="35"/>
    <s v="WHATS"/>
    <n v="76592"/>
    <n v="1142.95"/>
    <m/>
    <m/>
    <m/>
    <x v="124"/>
    <m/>
  </r>
  <r>
    <n v="761"/>
    <x v="24"/>
    <s v="WHATS"/>
    <n v="76599"/>
    <n v="282"/>
    <m/>
    <m/>
    <m/>
    <x v="124"/>
    <m/>
  </r>
  <r>
    <n v="761"/>
    <x v="24"/>
    <s v="WHATS"/>
    <n v="99201"/>
    <n v="172"/>
    <m/>
    <m/>
    <m/>
    <x v="124"/>
    <m/>
  </r>
  <r>
    <n v="2022"/>
    <x v="28"/>
    <s v="WHATS"/>
    <n v="76573"/>
    <n v="953.44"/>
    <m/>
    <m/>
    <m/>
    <x v="124"/>
    <m/>
  </r>
  <r>
    <n v="50418"/>
    <x v="35"/>
    <s v="WHATS"/>
    <n v="76592"/>
    <n v="872.95"/>
    <m/>
    <m/>
    <m/>
    <x v="124"/>
    <m/>
  </r>
  <r>
    <n v="762"/>
    <x v="41"/>
    <s v="EMAIL"/>
    <n v="76613"/>
    <n v="6325.93"/>
    <m/>
    <m/>
    <m/>
    <x v="124"/>
    <m/>
  </r>
  <r>
    <n v="50005"/>
    <x v="0"/>
    <s v="WHATS"/>
    <n v="76635"/>
    <n v="1514.45"/>
    <m/>
    <m/>
    <m/>
    <x v="125"/>
    <m/>
  </r>
  <r>
    <n v="690"/>
    <x v="19"/>
    <s v="TEL"/>
    <n v="76185"/>
    <n v="606.21"/>
    <m/>
    <m/>
    <m/>
    <x v="125"/>
    <m/>
  </r>
  <r>
    <n v="690"/>
    <x v="19"/>
    <s v="TEL"/>
    <n v="99214"/>
    <n v="289.89999999999998"/>
    <m/>
    <m/>
    <m/>
    <x v="125"/>
    <m/>
  </r>
  <r>
    <n v="3194"/>
    <x v="18"/>
    <s v="TEL"/>
    <n v="76646"/>
    <n v="209"/>
    <m/>
    <m/>
    <m/>
    <x v="125"/>
    <m/>
  </r>
  <r>
    <n v="50554"/>
    <x v="20"/>
    <s v="TEL"/>
    <n v="76644"/>
    <n v="3225.7"/>
    <m/>
    <m/>
    <m/>
    <x v="125"/>
    <m/>
  </r>
  <r>
    <n v="50497"/>
    <x v="77"/>
    <s v="TEL"/>
    <n v="99216"/>
    <n v="527.20000000000005"/>
    <m/>
    <m/>
    <m/>
    <x v="125"/>
    <m/>
  </r>
  <r>
    <n v="50219"/>
    <x v="14"/>
    <s v="WHATS"/>
    <n v="76577"/>
    <n v="1193.47"/>
    <m/>
    <m/>
    <m/>
    <x v="125"/>
    <m/>
  </r>
  <r>
    <n v="50222"/>
    <x v="89"/>
    <s v="WHATS"/>
    <n v="99220"/>
    <n v="82.95"/>
    <m/>
    <m/>
    <m/>
    <x v="125"/>
    <m/>
  </r>
  <r>
    <n v="2980"/>
    <x v="40"/>
    <s v="WHATS"/>
    <n v="76664"/>
    <n v="1661.4"/>
    <m/>
    <m/>
    <m/>
    <x v="125"/>
    <m/>
  </r>
  <r>
    <n v="756"/>
    <x v="8"/>
    <s v="WHATS"/>
    <n v="76673"/>
    <n v="615"/>
    <m/>
    <m/>
    <m/>
    <x v="125"/>
    <m/>
  </r>
  <r>
    <n v="1164"/>
    <x v="58"/>
    <s v="TEL"/>
    <n v="76698"/>
    <n v="1839.92"/>
    <m/>
    <m/>
    <m/>
    <x v="126"/>
    <m/>
  </r>
  <r>
    <n v="762"/>
    <x v="41"/>
    <s v="EMAIL"/>
    <n v="76722"/>
    <n v="6602.85"/>
    <m/>
    <m/>
    <m/>
    <x v="126"/>
    <m/>
  </r>
  <r>
    <n v="1905"/>
    <x v="107"/>
    <s v="WHATS"/>
    <n v="76221"/>
    <n v="4331.6000000000004"/>
    <m/>
    <m/>
    <m/>
    <x v="126"/>
    <m/>
  </r>
  <r>
    <n v="50544"/>
    <x v="0"/>
    <s v="WHATS"/>
    <n v="76623"/>
    <n v="586.44000000000005"/>
    <m/>
    <m/>
    <m/>
    <x v="126"/>
    <m/>
  </r>
  <r>
    <n v="3018"/>
    <x v="64"/>
    <s v="WHATS"/>
    <n v="99237"/>
    <n v="71.099999999999994"/>
    <m/>
    <m/>
    <m/>
    <x v="126"/>
    <m/>
  </r>
  <r>
    <n v="3018"/>
    <x v="64"/>
    <s v="WHATS"/>
    <n v="93309"/>
    <n v="591.32000000000005"/>
    <m/>
    <m/>
    <m/>
    <x v="126"/>
    <m/>
  </r>
  <r>
    <n v="690"/>
    <x v="19"/>
    <s v="TEL"/>
    <n v="99240"/>
    <n v="68.59"/>
    <m/>
    <m/>
    <m/>
    <x v="127"/>
    <m/>
  </r>
  <r>
    <n v="500149"/>
    <x v="94"/>
    <s v="TEL"/>
    <n v="76757"/>
    <n v="744"/>
    <m/>
    <m/>
    <m/>
    <x v="127"/>
    <m/>
  </r>
  <r>
    <n v="50497"/>
    <x v="77"/>
    <s v="TEL"/>
    <n v="99241"/>
    <n v="26.1"/>
    <m/>
    <m/>
    <m/>
    <x v="127"/>
    <m/>
  </r>
  <r>
    <n v="1726"/>
    <x v="34"/>
    <s v="EMAIL"/>
    <n v="76765"/>
    <n v="506.5"/>
    <m/>
    <m/>
    <m/>
    <x v="127"/>
    <m/>
  </r>
  <r>
    <n v="1122"/>
    <x v="87"/>
    <s v="EMAIL"/>
    <n v="76766"/>
    <n v="2649.5"/>
    <m/>
    <m/>
    <m/>
    <x v="127"/>
    <m/>
  </r>
  <r>
    <n v="1989"/>
    <x v="67"/>
    <s v="WHATS"/>
    <n v="76771"/>
    <n v="652.14"/>
    <m/>
    <m/>
    <m/>
    <x v="127"/>
    <m/>
  </r>
  <r>
    <n v="1623"/>
    <x v="57"/>
    <s v="TEL"/>
    <n v="76777"/>
    <n v="546.65"/>
    <m/>
    <m/>
    <m/>
    <x v="127"/>
    <m/>
  </r>
  <r>
    <n v="50576"/>
    <x v="37"/>
    <s v="WHATS"/>
    <n v="76788"/>
    <n v="1546.1"/>
    <m/>
    <m/>
    <m/>
    <x v="128"/>
    <m/>
  </r>
  <r>
    <n v="572"/>
    <x v="51"/>
    <s v="WHATS"/>
    <n v="76792"/>
    <n v="165.4"/>
    <m/>
    <m/>
    <m/>
    <x v="128"/>
    <m/>
  </r>
  <r>
    <n v="50936"/>
    <x v="93"/>
    <s v="WHATS"/>
    <n v="76793"/>
    <n v="327.3"/>
    <m/>
    <m/>
    <m/>
    <x v="128"/>
    <m/>
  </r>
  <r>
    <n v="2980"/>
    <x v="40"/>
    <s v="WHATS"/>
    <n v="99248"/>
    <n v="228"/>
    <m/>
    <m/>
    <m/>
    <x v="128"/>
    <m/>
  </r>
  <r>
    <n v="708"/>
    <x v="56"/>
    <s v="WHATS"/>
    <n v="76804"/>
    <n v="132.5"/>
    <m/>
    <m/>
    <m/>
    <x v="128"/>
    <m/>
  </r>
  <r>
    <n v="1533"/>
    <x v="50"/>
    <s v="WHATS"/>
    <n v="76669"/>
    <n v="1225.9000000000001"/>
    <m/>
    <m/>
    <m/>
    <x v="128"/>
    <m/>
  </r>
  <r>
    <n v="2192"/>
    <x v="0"/>
    <s v="WHATS"/>
    <n v="75967"/>
    <n v="2295.58"/>
    <m/>
    <m/>
    <m/>
    <x v="128"/>
    <m/>
  </r>
  <r>
    <n v="50558"/>
    <x v="2"/>
    <s v="WHATS"/>
    <n v="76810"/>
    <n v="3087.53"/>
    <m/>
    <m/>
    <m/>
    <x v="128"/>
    <m/>
  </r>
  <r>
    <n v="2022"/>
    <x v="28"/>
    <s v="WHATS"/>
    <n v="76751"/>
    <n v="258"/>
    <m/>
    <m/>
    <m/>
    <x v="128"/>
    <m/>
  </r>
  <r>
    <n v="690"/>
    <x v="19"/>
    <s v="WHATS"/>
    <n v="76814"/>
    <n v="100.8"/>
    <m/>
    <m/>
    <m/>
    <x v="128"/>
    <m/>
  </r>
  <r>
    <n v="50219"/>
    <x v="14"/>
    <s v="WHATS"/>
    <n v="76821"/>
    <n v="36.200000000000003"/>
    <m/>
    <m/>
    <m/>
    <x v="129"/>
    <m/>
  </r>
  <r>
    <n v="704"/>
    <x v="49"/>
    <s v="TEL"/>
    <n v="76428"/>
    <n v="593.6"/>
    <m/>
    <m/>
    <m/>
    <x v="129"/>
    <m/>
  </r>
  <r>
    <n v="704"/>
    <x v="49"/>
    <s v="TEL"/>
    <n v="99254"/>
    <n v="245.35"/>
    <m/>
    <m/>
    <m/>
    <x v="129"/>
    <m/>
  </r>
  <r>
    <n v="516"/>
    <x v="11"/>
    <s v="WHATS"/>
    <n v="76509"/>
    <n v="463"/>
    <m/>
    <m/>
    <m/>
    <x v="129"/>
    <m/>
  </r>
  <r>
    <n v="432"/>
    <x v="43"/>
    <s v="WHATS"/>
    <n v="76841"/>
    <n v="2891.27"/>
    <m/>
    <m/>
    <m/>
    <x v="129"/>
    <m/>
  </r>
  <r>
    <n v="3240"/>
    <x v="75"/>
    <s v="WHATS"/>
    <n v="76857"/>
    <n v="1214.0999999999999"/>
    <m/>
    <m/>
    <m/>
    <x v="129"/>
    <m/>
  </r>
  <r>
    <n v="1240"/>
    <x v="25"/>
    <s v="WHATS"/>
    <n v="76865"/>
    <n v="830.95"/>
    <m/>
    <m/>
    <m/>
    <x v="130"/>
    <m/>
  </r>
  <r>
    <n v="50576"/>
    <x v="37"/>
    <s v="WHATS"/>
    <n v="99209"/>
    <n v="391.8"/>
    <m/>
    <m/>
    <m/>
    <x v="130"/>
    <m/>
  </r>
  <r>
    <n v="581"/>
    <x v="74"/>
    <s v="WHATS"/>
    <n v="99261"/>
    <n v="800.01"/>
    <m/>
    <m/>
    <m/>
    <x v="130"/>
    <m/>
  </r>
  <r>
    <n v="3245"/>
    <x v="95"/>
    <s v="WHATS"/>
    <n v="76874"/>
    <n v="2068.4"/>
    <m/>
    <m/>
    <m/>
    <x v="130"/>
    <m/>
  </r>
  <r>
    <n v="2415"/>
    <x v="63"/>
    <s v="WHATS"/>
    <n v="76880"/>
    <n v="5156"/>
    <m/>
    <m/>
    <m/>
    <x v="130"/>
    <m/>
  </r>
  <r>
    <n v="335"/>
    <x v="9"/>
    <s v="TEL"/>
    <n v="76884"/>
    <n v="559.26"/>
    <m/>
    <m/>
    <m/>
    <x v="130"/>
    <m/>
  </r>
  <r>
    <n v="335"/>
    <x v="9"/>
    <s v="TEL"/>
    <n v="99265"/>
    <n v="184.9"/>
    <m/>
    <m/>
    <m/>
    <x v="130"/>
    <m/>
  </r>
  <r>
    <n v="1164"/>
    <x v="58"/>
    <s v="WHATS"/>
    <n v="76888"/>
    <n v="367"/>
    <m/>
    <m/>
    <m/>
    <x v="130"/>
    <m/>
  </r>
  <r>
    <n v="1164"/>
    <x v="58"/>
    <s v="WHATS"/>
    <n v="99267"/>
    <n v="71.099999999999994"/>
    <m/>
    <m/>
    <m/>
    <x v="130"/>
    <m/>
  </r>
  <r>
    <n v="1842"/>
    <x v="47"/>
    <s v="WHATS"/>
    <n v="76876"/>
    <n v="634.92999999999995"/>
    <m/>
    <m/>
    <m/>
    <x v="130"/>
    <m/>
  </r>
  <r>
    <n v="1989"/>
    <x v="67"/>
    <s v="WHATS"/>
    <n v="76227"/>
    <n v="606.13"/>
    <m/>
    <m/>
    <m/>
    <x v="130"/>
    <m/>
  </r>
  <r>
    <n v="690"/>
    <x v="19"/>
    <s v="WHATS"/>
    <n v="76226"/>
    <n v="189"/>
    <m/>
    <m/>
    <m/>
    <x v="130"/>
    <m/>
  </r>
  <r>
    <n v="50554"/>
    <x v="20"/>
    <s v="WHATS"/>
    <n v="76225"/>
    <n v="189"/>
    <m/>
    <m/>
    <m/>
    <x v="130"/>
    <m/>
  </r>
  <r>
    <n v="1842"/>
    <x v="47"/>
    <s v="WHATS"/>
    <n v="99268"/>
    <n v="231.15"/>
    <m/>
    <m/>
    <m/>
    <x v="130"/>
    <m/>
  </r>
  <r>
    <n v="1533"/>
    <x v="50"/>
    <s v="WHATS"/>
    <n v="76913"/>
    <n v="1258.2"/>
    <m/>
    <m/>
    <m/>
    <x v="131"/>
    <m/>
  </r>
  <r>
    <n v="762"/>
    <x v="41"/>
    <s v="WHATS"/>
    <n v="76925"/>
    <n v="80"/>
    <m/>
    <m/>
    <m/>
    <x v="131"/>
    <m/>
  </r>
  <r>
    <n v="463"/>
    <x v="32"/>
    <s v="WHATS"/>
    <n v="76952"/>
    <n v="1071.6500000000001"/>
    <m/>
    <m/>
    <m/>
    <x v="132"/>
    <m/>
  </r>
  <r>
    <n v="725"/>
    <x v="65"/>
    <s v="WHATS"/>
    <n v="76933"/>
    <n v="714.34"/>
    <m/>
    <m/>
    <m/>
    <x v="132"/>
    <m/>
  </r>
  <r>
    <n v="1493"/>
    <x v="21"/>
    <s v="WHATS"/>
    <n v="76977"/>
    <n v="856.7"/>
    <m/>
    <m/>
    <m/>
    <x v="132"/>
    <m/>
  </r>
  <r>
    <n v="741"/>
    <x v="85"/>
    <s v="WHATS"/>
    <n v="76978"/>
    <n v="7400"/>
    <n v="1"/>
    <n v="7400"/>
    <m/>
    <x v="132"/>
    <m/>
  </r>
  <r>
    <n v="741"/>
    <x v="85"/>
    <s v="WHATS"/>
    <n v="76981"/>
    <n v="1897.2"/>
    <m/>
    <m/>
    <m/>
    <x v="132"/>
    <m/>
  </r>
  <r>
    <n v="687"/>
    <x v="16"/>
    <s v="WHATS"/>
    <n v="76958"/>
    <n v="453.5"/>
    <m/>
    <m/>
    <m/>
    <x v="132"/>
    <m/>
  </r>
  <r>
    <n v="687"/>
    <x v="16"/>
    <s v="WHATS"/>
    <n v="99278"/>
    <n v="235.27"/>
    <m/>
    <m/>
    <m/>
    <x v="132"/>
    <m/>
  </r>
  <r>
    <n v="1026"/>
    <x v="7"/>
    <s v="WHATS"/>
    <n v="76997"/>
    <n v="1771.44"/>
    <m/>
    <m/>
    <m/>
    <x v="133"/>
    <m/>
  </r>
  <r>
    <n v="475"/>
    <x v="23"/>
    <s v="EMAIL"/>
    <n v="99287"/>
    <n v="1104.06"/>
    <m/>
    <m/>
    <m/>
    <x v="133"/>
    <m/>
  </r>
  <r>
    <n v="475"/>
    <x v="23"/>
    <s v="EMAIL"/>
    <n v="76904"/>
    <n v="11898.59"/>
    <m/>
    <m/>
    <m/>
    <x v="133"/>
    <m/>
  </r>
  <r>
    <n v="690"/>
    <x v="19"/>
    <s v="WHATS"/>
    <n v="77017"/>
    <n v="31"/>
    <m/>
    <m/>
    <m/>
    <x v="133"/>
    <m/>
  </r>
  <r>
    <n v="325"/>
    <x v="97"/>
    <s v="WHATS"/>
    <n v="77025"/>
    <n v="317.39999999999998"/>
    <m/>
    <m/>
    <m/>
    <x v="133"/>
    <m/>
  </r>
  <r>
    <n v="325"/>
    <x v="97"/>
    <s v="WHATS"/>
    <n v="99291"/>
    <n v="325.7"/>
    <m/>
    <m/>
    <m/>
    <x v="133"/>
    <m/>
  </r>
  <r>
    <n v="3190"/>
    <x v="60"/>
    <s v="WHATS"/>
    <n v="77027"/>
    <n v="1955.22"/>
    <m/>
    <m/>
    <m/>
    <x v="134"/>
    <m/>
  </r>
  <r>
    <n v="432"/>
    <x v="43"/>
    <s v="WHATS"/>
    <n v="77034"/>
    <n v="901.61"/>
    <m/>
    <m/>
    <m/>
    <x v="134"/>
    <m/>
  </r>
  <r>
    <n v="432"/>
    <x v="43"/>
    <s v="WHATS"/>
    <n v="99292"/>
    <n v="107.15"/>
    <m/>
    <m/>
    <m/>
    <x v="134"/>
    <m/>
  </r>
  <r>
    <n v="1533"/>
    <x v="50"/>
    <s v="WHATS"/>
    <n v="99295"/>
    <n v="222"/>
    <m/>
    <m/>
    <m/>
    <x v="134"/>
    <m/>
  </r>
  <r>
    <n v="1533"/>
    <x v="50"/>
    <s v="WHATS"/>
    <n v="77039"/>
    <n v="294"/>
    <m/>
    <m/>
    <m/>
    <x v="134"/>
    <m/>
  </r>
  <r>
    <n v="480"/>
    <x v="39"/>
    <s v="WHATS"/>
    <n v="77040"/>
    <n v="899.6"/>
    <m/>
    <m/>
    <m/>
    <x v="134"/>
    <m/>
  </r>
  <r>
    <n v="50961"/>
    <x v="109"/>
    <s v="WHATS"/>
    <n v="76554"/>
    <n v="988.83"/>
    <m/>
    <m/>
    <m/>
    <x v="134"/>
    <m/>
  </r>
  <r>
    <n v="761"/>
    <x v="24"/>
    <s v="WHATS"/>
    <n v="77073"/>
    <n v="360.55"/>
    <m/>
    <m/>
    <m/>
    <x v="135"/>
    <m/>
  </r>
  <r>
    <n v="1240"/>
    <x v="25"/>
    <s v="WHATS"/>
    <n v="77069"/>
    <n v="461.57"/>
    <m/>
    <m/>
    <m/>
    <x v="135"/>
    <m/>
  </r>
  <r>
    <n v="1726"/>
    <x v="34"/>
    <s v="EMAIL"/>
    <n v="77077"/>
    <n v="2411.4"/>
    <n v="1"/>
    <n v="2362.1"/>
    <m/>
    <x v="135"/>
    <m/>
  </r>
  <r>
    <n v="50418"/>
    <x v="35"/>
    <s v="WHATS"/>
    <n v="76887"/>
    <n v="126"/>
    <m/>
    <m/>
    <m/>
    <x v="135"/>
    <m/>
  </r>
  <r>
    <n v="50418"/>
    <x v="35"/>
    <s v="WHATS"/>
    <n v="1234"/>
    <n v="410"/>
    <m/>
    <m/>
    <m/>
    <x v="135"/>
    <m/>
  </r>
  <r>
    <n v="741"/>
    <x v="85"/>
    <s v="WHATS"/>
    <n v="77026"/>
    <n v="89"/>
    <m/>
    <m/>
    <m/>
    <x v="135"/>
    <m/>
  </r>
  <r>
    <n v="618"/>
    <x v="26"/>
    <s v="WHATS"/>
    <n v="77099"/>
    <n v="2969.5"/>
    <m/>
    <m/>
    <m/>
    <x v="135"/>
    <m/>
  </r>
  <r>
    <n v="1813"/>
    <x v="48"/>
    <s v="WHATS"/>
    <n v="77116"/>
    <n v="1283.1500000000001"/>
    <m/>
    <m/>
    <m/>
    <x v="136"/>
    <m/>
  </r>
  <r>
    <n v="1164"/>
    <x v="58"/>
    <s v="WHATS"/>
    <n v="77118"/>
    <n v="383.35"/>
    <m/>
    <m/>
    <m/>
    <x v="136"/>
    <m/>
  </r>
  <r>
    <n v="1164"/>
    <x v="58"/>
    <s v="WHATS"/>
    <n v="99306"/>
    <n v="88.89"/>
    <m/>
    <m/>
    <m/>
    <x v="136"/>
    <m/>
  </r>
  <r>
    <n v="874"/>
    <x v="53"/>
    <s v="WHATS"/>
    <n v="77135"/>
    <n v="377.6"/>
    <m/>
    <m/>
    <m/>
    <x v="136"/>
    <m/>
  </r>
  <r>
    <n v="475"/>
    <x v="23"/>
    <s v="WHATS"/>
    <n v="77138"/>
    <n v="5506.75"/>
    <m/>
    <m/>
    <m/>
    <x v="136"/>
    <m/>
  </r>
  <r>
    <n v="475"/>
    <x v="23"/>
    <s v="WHATS"/>
    <n v="99316"/>
    <n v="94.8"/>
    <m/>
    <m/>
    <m/>
    <x v="137"/>
    <m/>
  </r>
  <r>
    <n v="2397"/>
    <x v="6"/>
    <s v="WHATS"/>
    <n v="77016"/>
    <n v="1042.3"/>
    <m/>
    <m/>
    <m/>
    <x v="137"/>
    <m/>
  </r>
  <r>
    <n v="50576"/>
    <x v="37"/>
    <s v="SKYPE"/>
    <n v="77155"/>
    <n v="2343.1"/>
    <m/>
    <m/>
    <m/>
    <x v="137"/>
    <m/>
  </r>
  <r>
    <n v="784"/>
    <x v="13"/>
    <s v="WHATS"/>
    <n v="77158"/>
    <n v="96"/>
    <m/>
    <m/>
    <m/>
    <x v="137"/>
    <m/>
  </r>
  <r>
    <n v="1493"/>
    <x v="21"/>
    <s v="TEL"/>
    <n v="77086"/>
    <n v="807.7"/>
    <m/>
    <m/>
    <m/>
    <x v="137"/>
    <m/>
  </r>
  <r>
    <n v="960"/>
    <x v="30"/>
    <s v="WHATS"/>
    <n v="99279"/>
    <n v="299.48"/>
    <m/>
    <m/>
    <m/>
    <x v="137"/>
    <m/>
  </r>
  <r>
    <n v="960"/>
    <x v="30"/>
    <s v="WHATS"/>
    <n v="76972"/>
    <n v="181"/>
    <m/>
    <m/>
    <m/>
    <x v="137"/>
    <m/>
  </r>
  <r>
    <n v="516"/>
    <x v="11"/>
    <s v="WHATS"/>
    <n v="77182"/>
    <n v="3546.55"/>
    <m/>
    <m/>
    <m/>
    <x v="137"/>
    <m/>
  </r>
  <r>
    <n v="906"/>
    <x v="27"/>
    <s v="WHATS"/>
    <n v="99321"/>
    <n v="853.23"/>
    <m/>
    <m/>
    <m/>
    <x v="138"/>
    <m/>
  </r>
  <r>
    <n v="50728"/>
    <x v="84"/>
    <s v="WHATS"/>
    <n v="42316"/>
    <n v="720"/>
    <m/>
    <m/>
    <m/>
    <x v="138"/>
    <m/>
  </r>
  <r>
    <n v="761"/>
    <x v="24"/>
    <s v="WHATS"/>
    <n v="77241"/>
    <n v="57.4"/>
    <m/>
    <m/>
    <m/>
    <x v="139"/>
    <m/>
  </r>
  <r>
    <n v="761"/>
    <x v="24"/>
    <s v="WHATS"/>
    <n v="99300"/>
    <n v="413.4"/>
    <m/>
    <m/>
    <m/>
    <x v="139"/>
    <m/>
  </r>
  <r>
    <n v="905"/>
    <x v="72"/>
    <s v="TEL"/>
    <n v="76586"/>
    <n v="796.8"/>
    <m/>
    <m/>
    <m/>
    <x v="139"/>
    <m/>
  </r>
  <r>
    <n v="905"/>
    <x v="72"/>
    <s v="TEL"/>
    <n v="99334"/>
    <n v="206.37"/>
    <m/>
    <m/>
    <m/>
    <x v="139"/>
    <m/>
  </r>
  <r>
    <n v="572"/>
    <x v="51"/>
    <s v="WHATS"/>
    <n v="77287"/>
    <n v="1126.28"/>
    <m/>
    <m/>
    <m/>
    <x v="139"/>
    <m/>
  </r>
  <r>
    <n v="823"/>
    <x v="17"/>
    <s v="WHATS"/>
    <n v="77286"/>
    <n v="3267.5"/>
    <m/>
    <m/>
    <m/>
    <x v="139"/>
    <m/>
  </r>
  <r>
    <n v="823"/>
    <x v="17"/>
    <s v="WHATS"/>
    <n v="99158"/>
    <n v="774.6"/>
    <m/>
    <m/>
    <m/>
    <x v="139"/>
    <m/>
  </r>
  <r>
    <n v="1262"/>
    <x v="0"/>
    <s v="WHATS"/>
    <n v="77290"/>
    <n v="1260.2"/>
    <m/>
    <m/>
    <m/>
    <x v="139"/>
    <m/>
  </r>
  <r>
    <n v="1652"/>
    <x v="61"/>
    <s v="TEL"/>
    <n v="99339"/>
    <n v="359.6"/>
    <m/>
    <m/>
    <m/>
    <x v="139"/>
    <m/>
  </r>
  <r>
    <n v="1652"/>
    <x v="61"/>
    <s v="TEL"/>
    <n v="77295"/>
    <n v="907.9"/>
    <m/>
    <m/>
    <m/>
    <x v="139"/>
    <m/>
  </r>
  <r>
    <n v="2702"/>
    <x v="73"/>
    <s v="WHATS"/>
    <n v="77299"/>
    <n v="1499.25"/>
    <m/>
    <m/>
    <m/>
    <x v="139"/>
    <m/>
  </r>
  <r>
    <n v="2022"/>
    <x v="28"/>
    <s v="WHATS"/>
    <n v="77144"/>
    <n v="1399.69"/>
    <m/>
    <m/>
    <m/>
    <x v="139"/>
    <m/>
  </r>
  <r>
    <n v="2022"/>
    <x v="28"/>
    <s v="WHATS"/>
    <n v="99343"/>
    <n v="215"/>
    <m/>
    <m/>
    <m/>
    <x v="139"/>
    <m/>
  </r>
  <r>
    <n v="2911"/>
    <x v="15"/>
    <s v="WHATS"/>
    <n v="77310"/>
    <n v="1621.83"/>
    <m/>
    <m/>
    <m/>
    <x v="139"/>
    <m/>
  </r>
  <r>
    <n v="3405"/>
    <x v="111"/>
    <s v="EMAIL"/>
    <n v="77316"/>
    <n v="555.30999999999995"/>
    <m/>
    <m/>
    <m/>
    <x v="139"/>
    <m/>
  </r>
  <r>
    <n v="822"/>
    <x v="66"/>
    <s v="WHATS"/>
    <n v="77321"/>
    <n v="651.66"/>
    <m/>
    <m/>
    <m/>
    <x v="139"/>
    <m/>
  </r>
  <r>
    <n v="822"/>
    <x v="66"/>
    <s v="WHATS"/>
    <n v="99349"/>
    <n v="1508.36"/>
    <m/>
    <m/>
    <m/>
    <x v="139"/>
    <m/>
  </r>
  <r>
    <n v="1533"/>
    <x v="50"/>
    <s v="WHATS"/>
    <n v="77335"/>
    <n v="1892.45"/>
    <m/>
    <m/>
    <m/>
    <x v="140"/>
    <m/>
  </r>
  <r>
    <n v="2415"/>
    <x v="63"/>
    <s v="WHATS"/>
    <n v="77338"/>
    <n v="2074.5"/>
    <m/>
    <m/>
    <m/>
    <x v="140"/>
    <m/>
  </r>
  <r>
    <n v="1616"/>
    <x v="83"/>
    <s v="WHATS"/>
    <n v="77337"/>
    <n v="854.2"/>
    <m/>
    <m/>
    <m/>
    <x v="140"/>
    <m/>
  </r>
  <r>
    <n v="741"/>
    <x v="85"/>
    <s v="WHATS"/>
    <n v="99347"/>
    <n v="86"/>
    <m/>
    <m/>
    <m/>
    <x v="141"/>
    <m/>
  </r>
  <r>
    <n v="741"/>
    <x v="85"/>
    <s v="WHATS"/>
    <n v="77327"/>
    <n v="1701.1"/>
    <m/>
    <m/>
    <m/>
    <x v="141"/>
    <m/>
  </r>
  <r>
    <n v="50816"/>
    <x v="100"/>
    <s v="WHATS"/>
    <n v="77369"/>
    <n v="1029.8"/>
    <m/>
    <m/>
    <m/>
    <x v="142"/>
    <m/>
  </r>
  <r>
    <n v="885"/>
    <x v="88"/>
    <s v="WHATS"/>
    <n v="77380"/>
    <n v="1934.42"/>
    <m/>
    <m/>
    <m/>
    <x v="142"/>
    <m/>
  </r>
  <r>
    <n v="1971"/>
    <x v="29"/>
    <s v="WHATS"/>
    <n v="77382"/>
    <n v="629"/>
    <m/>
    <m/>
    <m/>
    <x v="142"/>
    <m/>
  </r>
  <r>
    <n v="3077"/>
    <x v="10"/>
    <s v="TEL"/>
    <n v="77413"/>
    <n v="779.94"/>
    <m/>
    <m/>
    <m/>
    <x v="143"/>
    <m/>
  </r>
  <r>
    <n v="3077"/>
    <x v="10"/>
    <s v="TEL"/>
    <n v="99371"/>
    <n v="88.89"/>
    <m/>
    <m/>
    <m/>
    <x v="143"/>
    <m/>
  </r>
  <r>
    <n v="2702"/>
    <x v="73"/>
    <s v="WHATS"/>
    <n v="77414"/>
    <n v="514.20000000000005"/>
    <m/>
    <m/>
    <m/>
    <x v="143"/>
    <m/>
  </r>
  <r>
    <n v="756"/>
    <x v="8"/>
    <s v="WHATS"/>
    <n v="77411"/>
    <n v="1615.16"/>
    <m/>
    <m/>
    <m/>
    <x v="143"/>
    <m/>
  </r>
  <r>
    <n v="756"/>
    <x v="8"/>
    <s v="WHATS"/>
    <n v="99369"/>
    <n v="206.47"/>
    <m/>
    <m/>
    <m/>
    <x v="143"/>
    <m/>
  </r>
  <r>
    <n v="1905"/>
    <x v="107"/>
    <s v="WHATS"/>
    <n v="77393"/>
    <n v="12400"/>
    <m/>
    <m/>
    <m/>
    <x v="144"/>
    <m/>
  </r>
  <r>
    <n v="1905"/>
    <x v="107"/>
    <s v="WHATS"/>
    <n v="77428"/>
    <n v="1188"/>
    <m/>
    <m/>
    <m/>
    <x v="144"/>
    <m/>
  </r>
  <r>
    <n v="761"/>
    <x v="24"/>
    <s v="WHATS"/>
    <n v="77443"/>
    <n v="164.5"/>
    <m/>
    <m/>
    <m/>
    <x v="144"/>
    <m/>
  </r>
  <r>
    <n v="761"/>
    <x v="24"/>
    <s v="WHATS"/>
    <n v="99377"/>
    <n v="211.2"/>
    <m/>
    <m/>
    <m/>
    <x v="144"/>
    <m/>
  </r>
  <r>
    <n v="690"/>
    <x v="19"/>
    <s v="TEL"/>
    <n v="77484"/>
    <n v="1607.25"/>
    <m/>
    <m/>
    <m/>
    <x v="144"/>
    <m/>
  </r>
  <r>
    <n v="690"/>
    <x v="19"/>
    <s v="TEL"/>
    <n v="99382"/>
    <n v="790.2"/>
    <m/>
    <m/>
    <m/>
    <x v="144"/>
    <m/>
  </r>
  <r>
    <n v="708"/>
    <x v="56"/>
    <s v="WHATS"/>
    <n v="77502"/>
    <n v="2030"/>
    <m/>
    <m/>
    <m/>
    <x v="145"/>
    <m/>
  </r>
  <r>
    <n v="1206"/>
    <x v="33"/>
    <s v="WHATS"/>
    <n v="77509"/>
    <n v="2684.04"/>
    <m/>
    <m/>
    <m/>
    <x v="145"/>
    <m/>
  </r>
  <r>
    <n v="1788"/>
    <x v="91"/>
    <s v="WHATS"/>
    <n v="77513"/>
    <n v="555.5"/>
    <m/>
    <m/>
    <m/>
    <x v="145"/>
    <m/>
  </r>
  <r>
    <n v="50554"/>
    <x v="20"/>
    <s v="TEL"/>
    <n v="77522"/>
    <n v="5063.5200000000004"/>
    <m/>
    <m/>
    <m/>
    <x v="145"/>
    <m/>
  </r>
  <r>
    <n v="20554"/>
    <x v="0"/>
    <s v="TEL"/>
    <n v="99385"/>
    <n v="1025.9000000000001"/>
    <m/>
    <m/>
    <m/>
    <x v="145"/>
    <m/>
  </r>
  <r>
    <n v="784"/>
    <x v="13"/>
    <s v="EMAIL"/>
    <n v="77533"/>
    <n v="2604.4499999999998"/>
    <m/>
    <m/>
    <m/>
    <x v="145"/>
    <m/>
  </r>
  <r>
    <n v="50219"/>
    <x v="14"/>
    <s v="WHATS"/>
    <n v="77539"/>
    <n v="1016.89"/>
    <m/>
    <m/>
    <m/>
    <x v="145"/>
    <m/>
  </r>
  <r>
    <n v="50222"/>
    <x v="89"/>
    <s v="WHATS"/>
    <n v="99388"/>
    <n v="71.099999999999994"/>
    <m/>
    <m/>
    <m/>
    <x v="145"/>
    <m/>
  </r>
  <r>
    <n v="432"/>
    <x v="43"/>
    <s v="WHATS"/>
    <n v="99389"/>
    <n v="195"/>
    <m/>
    <m/>
    <m/>
    <x v="145"/>
    <m/>
  </r>
  <r>
    <n v="432"/>
    <x v="43"/>
    <s v="WHATS"/>
    <n v="77550"/>
    <n v="2084.63"/>
    <m/>
    <m/>
    <m/>
    <x v="145"/>
    <m/>
  </r>
  <r>
    <n v="572"/>
    <x v="51"/>
    <s v="WHATS"/>
    <n v="77547"/>
    <n v="71.55"/>
    <m/>
    <m/>
    <m/>
    <x v="145"/>
    <m/>
  </r>
  <r>
    <n v="412"/>
    <x v="90"/>
    <s v="WHATS"/>
    <n v="77563"/>
    <n v="253.7"/>
    <m/>
    <m/>
    <m/>
    <x v="145"/>
    <m/>
  </r>
  <r>
    <n v="463"/>
    <x v="32"/>
    <s v="WHATS"/>
    <n v="77555"/>
    <n v="888.4"/>
    <m/>
    <m/>
    <m/>
    <x v="145"/>
    <m/>
  </r>
  <r>
    <n v="746"/>
    <x v="3"/>
    <s v="TEL"/>
    <n v="77565"/>
    <n v="5555.83"/>
    <m/>
    <m/>
    <m/>
    <x v="146"/>
    <m/>
  </r>
  <r>
    <n v="746"/>
    <x v="3"/>
    <s v="TEL"/>
    <n v="99391"/>
    <n v="71.099999999999994"/>
    <m/>
    <m/>
    <m/>
    <x v="146"/>
    <m/>
  </r>
  <r>
    <n v="1122"/>
    <x v="87"/>
    <s v="EMAIL"/>
    <n v="77519"/>
    <n v="1949.39"/>
    <m/>
    <m/>
    <m/>
    <x v="146"/>
    <m/>
  </r>
  <r>
    <n v="3194"/>
    <x v="18"/>
    <s v="EMAIL"/>
    <n v="77611"/>
    <n v="853.1"/>
    <m/>
    <m/>
    <m/>
    <x v="146"/>
    <m/>
  </r>
  <r>
    <n v="3194"/>
    <x v="18"/>
    <s v="TEL"/>
    <n v="99398"/>
    <n v="324.7"/>
    <m/>
    <m/>
    <m/>
    <x v="146"/>
    <m/>
  </r>
  <r>
    <n v="20"/>
    <x v="112"/>
    <s v="EMAIL"/>
    <n v="77616"/>
    <n v="146.19999999999999"/>
    <m/>
    <m/>
    <m/>
    <x v="147"/>
    <m/>
  </r>
  <r>
    <n v="3018"/>
    <x v="64"/>
    <s v="WHATS"/>
    <n v="77630"/>
    <n v="549"/>
    <m/>
    <m/>
    <m/>
    <x v="147"/>
    <m/>
  </r>
  <r>
    <n v="1726"/>
    <x v="34"/>
    <s v="EMAIL"/>
    <n v="77631"/>
    <n v="432"/>
    <m/>
    <m/>
    <m/>
    <x v="147"/>
    <m/>
  </r>
  <r>
    <n v="50185"/>
    <x v="105"/>
    <s v="WHATS"/>
    <n v="77637"/>
    <n v="546"/>
    <m/>
    <m/>
    <m/>
    <x v="147"/>
    <m/>
  </r>
  <r>
    <n v="2795"/>
    <x v="113"/>
    <s v="WHATS"/>
    <n v="77654"/>
    <n v="5321.04"/>
    <m/>
    <m/>
    <m/>
    <x v="147"/>
    <m/>
  </r>
  <r>
    <n v="335"/>
    <x v="9"/>
    <s v="WHATS"/>
    <n v="99409"/>
    <n v="615.20000000000005"/>
    <m/>
    <m/>
    <m/>
    <x v="147"/>
    <m/>
  </r>
  <r>
    <n v="335"/>
    <x v="9"/>
    <s v="WHATS"/>
    <n v="77663"/>
    <n v="741.07"/>
    <m/>
    <m/>
    <m/>
    <x v="147"/>
    <m/>
  </r>
  <r>
    <n v="311"/>
    <x v="46"/>
    <s v="WHATS"/>
    <n v="77724"/>
    <n v="1556.5"/>
    <m/>
    <m/>
    <m/>
    <x v="148"/>
    <m/>
  </r>
  <r>
    <n v="1164"/>
    <x v="58"/>
    <s v="WHATS"/>
    <n v="77728"/>
    <n v="1850.1"/>
    <m/>
    <m/>
    <m/>
    <x v="148"/>
    <m/>
  </r>
  <r>
    <n v="1164"/>
    <x v="58"/>
    <s v="WHATS"/>
    <n v="99418"/>
    <n v="59.5"/>
    <m/>
    <m/>
    <m/>
    <x v="148"/>
    <m/>
  </r>
  <r>
    <n v="311"/>
    <x v="46"/>
    <s v="WHATS"/>
    <n v="77724"/>
    <n v="1035.72"/>
    <m/>
    <m/>
    <m/>
    <x v="148"/>
    <m/>
  </r>
  <r>
    <n v="311"/>
    <x v="46"/>
    <s v="WHATS"/>
    <n v="99420"/>
    <n v="316"/>
    <m/>
    <m/>
    <m/>
    <x v="148"/>
    <m/>
  </r>
  <r>
    <n v="762"/>
    <x v="41"/>
    <s v="EMAIL"/>
    <n v="77752"/>
    <n v="7431.18"/>
    <m/>
    <m/>
    <m/>
    <x v="149"/>
    <m/>
  </r>
  <r>
    <n v="762"/>
    <x v="41"/>
    <s v="EMAIL"/>
    <n v="77751"/>
    <n v="4426.5"/>
    <m/>
    <m/>
    <m/>
    <x v="149"/>
    <m/>
  </r>
  <r>
    <n v="784"/>
    <x v="13"/>
    <s v="WHATS"/>
    <n v="77762"/>
    <n v="72.62"/>
    <m/>
    <m/>
    <m/>
    <x v="149"/>
    <m/>
  </r>
  <r>
    <n v="3017"/>
    <x v="62"/>
    <s v="WHATS"/>
    <n v="77779"/>
    <n v="1137.96"/>
    <m/>
    <m/>
    <m/>
    <x v="149"/>
    <m/>
  </r>
  <r>
    <n v="480"/>
    <x v="39"/>
    <s v="WHATS"/>
    <n v="77783"/>
    <n v="2273.8000000000002"/>
    <m/>
    <m/>
    <m/>
    <x v="149"/>
    <m/>
  </r>
  <r>
    <n v="480"/>
    <x v="39"/>
    <s v="WHATS"/>
    <n v="99434"/>
    <n v="83.2"/>
    <m/>
    <m/>
    <m/>
    <x v="149"/>
    <m/>
  </r>
  <r>
    <n v="50728"/>
    <x v="84"/>
    <s v="WHATS"/>
    <n v="77785"/>
    <n v="720"/>
    <m/>
    <m/>
    <m/>
    <x v="149"/>
    <m/>
  </r>
  <r>
    <n v="475"/>
    <x v="23"/>
    <s v="WHATS"/>
    <n v="99424"/>
    <n v="1124.83"/>
    <m/>
    <m/>
    <m/>
    <x v="149"/>
    <m/>
  </r>
  <r>
    <n v="475"/>
    <x v="23"/>
    <s v="WHATS"/>
    <n v="77705"/>
    <n v="11616.97"/>
    <m/>
    <m/>
    <m/>
    <x v="149"/>
    <m/>
  </r>
  <r>
    <n v="50554"/>
    <x v="20"/>
    <s v="TEL"/>
    <n v="77793"/>
    <n v="820.1"/>
    <m/>
    <m/>
    <m/>
    <x v="149"/>
    <m/>
  </r>
  <r>
    <n v="1742"/>
    <x v="81"/>
    <s v="WHATS"/>
    <n v="77748"/>
    <n v="857.35"/>
    <m/>
    <m/>
    <m/>
    <x v="150"/>
    <m/>
  </r>
  <r>
    <n v="2163"/>
    <x v="36"/>
    <s v="TEL"/>
    <n v="77825"/>
    <n v="3245"/>
    <m/>
    <m/>
    <m/>
    <x v="150"/>
    <m/>
  </r>
  <r>
    <n v="690"/>
    <x v="19"/>
    <s v="WHATS"/>
    <n v="77028"/>
    <n v="189"/>
    <m/>
    <m/>
    <m/>
    <x v="150"/>
    <m/>
  </r>
  <r>
    <n v="50554"/>
    <x v="20"/>
    <s v="WHATS"/>
    <n v="77029"/>
    <n v="189"/>
    <m/>
    <m/>
    <m/>
    <x v="150"/>
    <m/>
  </r>
  <r>
    <n v="1989"/>
    <x v="67"/>
    <s v="WHATS"/>
    <n v="77030"/>
    <n v="606.13"/>
    <m/>
    <m/>
    <m/>
    <x v="150"/>
    <m/>
  </r>
  <r>
    <n v="823"/>
    <x v="17"/>
    <s v="WHATS"/>
    <n v="77829"/>
    <n v="4170"/>
    <m/>
    <m/>
    <m/>
    <x v="150"/>
    <m/>
  </r>
  <r>
    <n v="2980"/>
    <x v="40"/>
    <s v="WHATS"/>
    <n v="99445"/>
    <n v="169"/>
    <m/>
    <m/>
    <m/>
    <x v="151"/>
    <m/>
  </r>
  <r>
    <n v="2980"/>
    <x v="40"/>
    <s v="WHATS"/>
    <n v="77846"/>
    <n v="1079.4000000000001"/>
    <m/>
    <m/>
    <m/>
    <x v="151"/>
    <m/>
  </r>
  <r>
    <n v="51042"/>
    <x v="106"/>
    <s v="WHATS"/>
    <n v="77853"/>
    <n v="321.16000000000003"/>
    <m/>
    <m/>
    <m/>
    <x v="151"/>
    <m/>
  </r>
  <r>
    <n v="1616"/>
    <x v="83"/>
    <s v="WHATS"/>
    <n v="77791"/>
    <n v="873.9"/>
    <m/>
    <m/>
    <m/>
    <x v="151"/>
    <m/>
  </r>
  <r>
    <n v="960"/>
    <x v="30"/>
    <s v="WHATS"/>
    <n v="99455"/>
    <n v="88"/>
    <m/>
    <m/>
    <m/>
    <x v="152"/>
    <m/>
  </r>
  <r>
    <n v="725"/>
    <x v="65"/>
    <s v="WHATS"/>
    <s v="75734/76933/77809"/>
    <n v="4500.54"/>
    <m/>
    <m/>
    <m/>
    <x v="152"/>
    <m/>
  </r>
  <r>
    <n v="1493"/>
    <x v="21"/>
    <s v="WHATS"/>
    <n v="77822"/>
    <n v="1215.48"/>
    <m/>
    <m/>
    <m/>
    <x v="152"/>
    <m/>
  </r>
  <r>
    <n v="364"/>
    <x v="31"/>
    <s v="WHATS"/>
    <n v="77915"/>
    <n v="825.2"/>
    <m/>
    <m/>
    <m/>
    <x v="152"/>
    <m/>
  </r>
  <r>
    <n v="364"/>
    <x v="31"/>
    <s v="WHATS"/>
    <n v="99456"/>
    <n v="544.58000000000004"/>
    <m/>
    <m/>
    <m/>
    <x v="152"/>
    <m/>
  </r>
  <r>
    <n v="575"/>
    <x v="45"/>
    <s v="EMAIL"/>
    <n v="77928"/>
    <n v="639.77"/>
    <m/>
    <m/>
    <m/>
    <x v="153"/>
    <m/>
  </r>
  <r>
    <n v="874"/>
    <x v="53"/>
    <s v="WHATS"/>
    <n v="77932"/>
    <n v="1848.77"/>
    <m/>
    <m/>
    <m/>
    <x v="153"/>
    <m/>
  </r>
  <r>
    <n v="1813"/>
    <x v="48"/>
    <s v="WHATS"/>
    <n v="77930"/>
    <n v="998"/>
    <m/>
    <m/>
    <m/>
    <x v="153"/>
    <m/>
  </r>
  <r>
    <n v="171"/>
    <x v="70"/>
    <s v="WHATS"/>
    <n v="77945"/>
    <n v="97.5"/>
    <m/>
    <m/>
    <m/>
    <x v="153"/>
    <m/>
  </r>
  <r>
    <n v="480"/>
    <x v="39"/>
    <s v="WHATS"/>
    <n v="99464"/>
    <n v="199"/>
    <m/>
    <m/>
    <m/>
    <x v="153"/>
    <m/>
  </r>
  <r>
    <n v="480"/>
    <x v="39"/>
    <s v="WHATS"/>
    <n v="77947"/>
    <n v="2730"/>
    <m/>
    <m/>
    <m/>
    <x v="153"/>
    <m/>
  </r>
  <r>
    <n v="3077"/>
    <x v="10"/>
    <s v="TEL"/>
    <n v="77954"/>
    <n v="1016.2"/>
    <m/>
    <m/>
    <m/>
    <x v="153"/>
    <m/>
  </r>
  <r>
    <n v="2702"/>
    <x v="73"/>
    <s v="WHATS"/>
    <n v="77970"/>
    <n v="1637.3"/>
    <m/>
    <m/>
    <m/>
    <x v="153"/>
    <m/>
  </r>
  <r>
    <n v="761"/>
    <x v="24"/>
    <s v="WHATS"/>
    <n v="77984"/>
    <n v="665.2"/>
    <m/>
    <m/>
    <m/>
    <x v="154"/>
    <m/>
  </r>
  <r>
    <n v="2415"/>
    <x v="63"/>
    <s v="WHATS"/>
    <n v="77996"/>
    <n v="760"/>
    <m/>
    <m/>
    <m/>
    <x v="154"/>
    <m/>
  </r>
  <r>
    <n v="500243"/>
    <x v="110"/>
    <s v="WHATS"/>
    <n v="78003"/>
    <n v="808.3"/>
    <m/>
    <m/>
    <m/>
    <x v="154"/>
    <m/>
  </r>
  <r>
    <n v="325"/>
    <x v="97"/>
    <s v="WHATS"/>
    <n v="99475"/>
    <n v="325.7"/>
    <m/>
    <m/>
    <m/>
    <x v="154"/>
    <m/>
  </r>
  <r>
    <n v="325"/>
    <x v="97"/>
    <s v="WHATS"/>
    <n v="78012"/>
    <n v="1554.3"/>
    <m/>
    <m/>
    <m/>
    <x v="154"/>
    <m/>
  </r>
  <r>
    <n v="704"/>
    <x v="49"/>
    <s v="WHATS"/>
    <n v="99476"/>
    <n v="328.22"/>
    <m/>
    <m/>
    <m/>
    <x v="154"/>
    <m/>
  </r>
  <r>
    <n v="704"/>
    <x v="49"/>
    <s v="WHATS"/>
    <n v="78022"/>
    <n v="1545.45"/>
    <m/>
    <m/>
    <m/>
    <x v="154"/>
    <m/>
  </r>
  <r>
    <n v="516"/>
    <x v="11"/>
    <s v="WHATS"/>
    <n v="78015"/>
    <n v="8145.2"/>
    <m/>
    <m/>
    <m/>
    <x v="154"/>
    <m/>
  </r>
  <r>
    <n v="1533"/>
    <x v="50"/>
    <s v="WHATS"/>
    <n v="78035"/>
    <n v="1538.8"/>
    <m/>
    <m/>
    <m/>
    <x v="155"/>
    <m/>
  </r>
  <r>
    <n v="741"/>
    <x v="85"/>
    <s v="WHATS"/>
    <n v="77765"/>
    <n v="1361.77"/>
    <m/>
    <m/>
    <m/>
    <x v="155"/>
    <m/>
  </r>
  <r>
    <n v="756"/>
    <x v="8"/>
    <s v="WHATS"/>
    <n v="77888"/>
    <n v="2230.6"/>
    <m/>
    <m/>
    <m/>
    <x v="155"/>
    <m/>
  </r>
  <r>
    <n v="1122"/>
    <x v="87"/>
    <s v="WHATS"/>
    <s v="77519/77615"/>
    <n v="3305.9"/>
    <m/>
    <m/>
    <m/>
    <x v="155"/>
    <m/>
  </r>
  <r>
    <n v="475"/>
    <x v="23"/>
    <s v="EMAIL"/>
    <s v="77705/77138/78056"/>
    <n v="2897.61"/>
    <m/>
    <m/>
    <m/>
    <x v="155"/>
    <m/>
  </r>
  <r>
    <n v="2198"/>
    <x v="92"/>
    <s v="WHATS"/>
    <n v="78053"/>
    <n v="8421.8700000000008"/>
    <m/>
    <m/>
    <m/>
    <x v="155"/>
    <m/>
  </r>
  <r>
    <n v="772"/>
    <x v="71"/>
    <s v="WHATS"/>
    <n v="78066"/>
    <n v="862.35"/>
    <m/>
    <m/>
    <m/>
    <x v="155"/>
    <m/>
  </r>
  <r>
    <n v="1164"/>
    <x v="58"/>
    <s v="WHATS"/>
    <n v="78081"/>
    <n v="844.6"/>
    <m/>
    <m/>
    <m/>
    <x v="156"/>
    <m/>
  </r>
  <r>
    <n v="572"/>
    <x v="51"/>
    <s v="WHATS"/>
    <n v="78082"/>
    <n v="756.43"/>
    <m/>
    <m/>
    <m/>
    <x v="156"/>
    <m/>
  </r>
  <r>
    <n v="2022"/>
    <x v="28"/>
    <s v="WHATS"/>
    <n v="78083"/>
    <n v="152.58000000000001"/>
    <m/>
    <m/>
    <m/>
    <x v="156"/>
    <m/>
  </r>
  <r>
    <n v="690"/>
    <x v="19"/>
    <s v="WHATS"/>
    <n v="99421"/>
    <n v="36.4"/>
    <m/>
    <m/>
    <m/>
    <x v="156"/>
    <m/>
  </r>
  <r>
    <n v="690"/>
    <x v="19"/>
    <s v="WHATS"/>
    <n v="77711"/>
    <n v="151.19999999999999"/>
    <m/>
    <m/>
    <m/>
    <x v="156"/>
    <m/>
  </r>
  <r>
    <n v="822"/>
    <x v="66"/>
    <s v="WHATS"/>
    <n v="78020"/>
    <n v="55"/>
    <m/>
    <m/>
    <m/>
    <x v="156"/>
    <m/>
  </r>
  <r>
    <n v="1240"/>
    <x v="25"/>
    <s v="WHATS"/>
    <n v="74116"/>
    <n v="1835"/>
    <m/>
    <m/>
    <m/>
    <x v="157"/>
    <m/>
  </r>
  <r>
    <n v="1652"/>
    <x v="61"/>
    <s v="WHATS"/>
    <s v="99339/78126"/>
    <n v="763.4"/>
    <m/>
    <m/>
    <m/>
    <x v="157"/>
    <m/>
  </r>
  <r>
    <n v="311"/>
    <x v="46"/>
    <s v="TEL"/>
    <s v="77724/78157"/>
    <n v="266.52"/>
    <m/>
    <m/>
    <m/>
    <x v="158"/>
    <m/>
  </r>
  <r>
    <n v="50576"/>
    <x v="37"/>
    <s v="WHATS"/>
    <n v="78163"/>
    <n v="2593"/>
    <m/>
    <m/>
    <m/>
    <x v="158"/>
    <m/>
  </r>
  <r>
    <n v="50526"/>
    <x v="38"/>
    <s v="WHATS"/>
    <n v="99501"/>
    <n v="261.2"/>
    <m/>
    <m/>
    <m/>
    <x v="158"/>
    <m/>
  </r>
  <r>
    <n v="906"/>
    <x v="27"/>
    <s v="WHATS"/>
    <n v="78184"/>
    <n v="982.8"/>
    <m/>
    <m/>
    <m/>
    <x v="158"/>
    <m/>
  </r>
  <r>
    <n v="1533"/>
    <x v="50"/>
    <s v="WHATS"/>
    <n v="7819"/>
    <n v="1202"/>
    <m/>
    <m/>
    <m/>
    <x v="158"/>
    <m/>
  </r>
  <r>
    <n v="1502"/>
    <x v="76"/>
    <s v="WHATS"/>
    <n v="78188"/>
    <n v="1218"/>
    <m/>
    <m/>
    <m/>
    <x v="158"/>
    <m/>
  </r>
  <r>
    <n v="708"/>
    <x v="56"/>
    <s v="WHATS"/>
    <n v="78200"/>
    <n v="2030"/>
    <m/>
    <m/>
    <m/>
    <x v="159"/>
    <m/>
  </r>
  <r>
    <n v="50576"/>
    <x v="37"/>
    <s v="WHATS"/>
    <n v="78212"/>
    <n v="655"/>
    <m/>
    <m/>
    <m/>
    <x v="159"/>
    <m/>
  </r>
  <r>
    <n v="335"/>
    <x v="9"/>
    <s v="WHATS"/>
    <n v="99511"/>
    <n v="387.6"/>
    <m/>
    <m/>
    <m/>
    <x v="159"/>
    <m/>
  </r>
  <r>
    <n v="335"/>
    <x v="9"/>
    <s v="WHATS"/>
    <n v="78218"/>
    <n v="33.9"/>
    <m/>
    <m/>
    <m/>
    <x v="159"/>
    <m/>
  </r>
  <r>
    <n v="197"/>
    <x v="99"/>
    <s v="WHATS"/>
    <n v="77981"/>
    <n v="1345.2"/>
    <m/>
    <m/>
    <m/>
    <x v="159"/>
    <m/>
  </r>
  <r>
    <n v="197"/>
    <x v="99"/>
    <s v="WHATS"/>
    <n v="99512"/>
    <n v="123.48"/>
    <m/>
    <m/>
    <m/>
    <x v="159"/>
    <m/>
  </r>
  <r>
    <n v="432"/>
    <x v="43"/>
    <s v="WHATS"/>
    <n v="78236"/>
    <n v="708.8"/>
    <m/>
    <m/>
    <m/>
    <x v="160"/>
    <m/>
  </r>
  <r>
    <n v="50554"/>
    <x v="20"/>
    <s v="WHATS"/>
    <n v="78251"/>
    <n v="415.8"/>
    <m/>
    <m/>
    <m/>
    <x v="160"/>
    <m/>
  </r>
  <r>
    <n v="50497"/>
    <x v="77"/>
    <s v="WHATS"/>
    <n v="99499"/>
    <n v="72"/>
    <m/>
    <m/>
    <m/>
    <x v="160"/>
    <m/>
  </r>
  <r>
    <n v="2022"/>
    <x v="28"/>
    <s v="WHATS"/>
    <n v="78264"/>
    <n v="1315.98"/>
    <m/>
    <m/>
    <m/>
    <x v="160"/>
    <m/>
  </r>
  <r>
    <n v="412"/>
    <x v="90"/>
    <s v="WHATS"/>
    <n v="78229"/>
    <n v="720"/>
    <m/>
    <m/>
    <m/>
    <x v="161"/>
    <m/>
  </r>
  <r>
    <n v="412"/>
    <x v="90"/>
    <s v="WHATS"/>
    <n v="99521"/>
    <n v="95.3"/>
    <m/>
    <m/>
    <m/>
    <x v="161"/>
    <m/>
  </r>
  <r>
    <n v="1905"/>
    <x v="107"/>
    <s v="WHATS"/>
    <n v="77428"/>
    <n v="175"/>
    <m/>
    <m/>
    <m/>
    <x v="162"/>
    <m/>
  </r>
  <r>
    <n v="50465"/>
    <x v="96"/>
    <s v="WHATS"/>
    <n v="78312"/>
    <n v="941.8"/>
    <m/>
    <m/>
    <m/>
    <x v="162"/>
    <m/>
  </r>
  <r>
    <n v="1905"/>
    <x v="107"/>
    <s v="WHATS"/>
    <n v="77535"/>
    <n v="443.2"/>
    <m/>
    <m/>
    <m/>
    <x v="163"/>
    <m/>
  </r>
  <r>
    <n v="3240"/>
    <x v="75"/>
    <s v="WHATS"/>
    <n v="78346"/>
    <n v="1104.9000000000001"/>
    <m/>
    <m/>
    <m/>
    <x v="163"/>
    <m/>
  </r>
  <r>
    <n v="3240"/>
    <x v="75"/>
    <s v="WHATS"/>
    <n v="99536"/>
    <n v="142.19999999999999"/>
    <m/>
    <m/>
    <m/>
    <x v="163"/>
    <m/>
  </r>
  <r>
    <n v="50310"/>
    <x v="108"/>
    <s v="WHATS"/>
    <n v="99537"/>
    <n v="328"/>
    <m/>
    <m/>
    <m/>
    <x v="163"/>
    <m/>
  </r>
  <r>
    <n v="50312"/>
    <x v="86"/>
    <s v="WHATS"/>
    <n v="78348"/>
    <n v="77.2"/>
    <m/>
    <m/>
    <m/>
    <x v="163"/>
    <m/>
  </r>
  <r>
    <n v="311"/>
    <x v="46"/>
    <s v="TEL"/>
    <n v="75354"/>
    <n v="4703.41"/>
    <m/>
    <m/>
    <m/>
    <x v="163"/>
    <m/>
  </r>
  <r>
    <n v="311"/>
    <x v="46"/>
    <s v="TEL"/>
    <n v="99539"/>
    <n v="62.91"/>
    <m/>
    <m/>
    <m/>
    <x v="163"/>
    <m/>
  </r>
  <r>
    <n v="761"/>
    <x v="24"/>
    <s v="WHATS"/>
    <n v="78393"/>
    <n v="359.9"/>
    <m/>
    <m/>
    <m/>
    <x v="9"/>
    <m/>
  </r>
  <r>
    <n v="761"/>
    <x v="24"/>
    <s v="WHATS"/>
    <n v="99544"/>
    <n v="348.95"/>
    <m/>
    <m/>
    <m/>
    <x v="9"/>
    <m/>
  </r>
  <r>
    <n v="480"/>
    <x v="39"/>
    <s v="WHATS"/>
    <n v="78395"/>
    <n v="857.6"/>
    <m/>
    <m/>
    <m/>
    <x v="9"/>
    <m/>
  </r>
  <r>
    <n v="1971"/>
    <x v="29"/>
    <s v="WHATS"/>
    <n v="78409"/>
    <n v="678.22"/>
    <m/>
    <m/>
    <m/>
    <x v="9"/>
    <m/>
  </r>
  <r>
    <n v="1971"/>
    <x v="29"/>
    <s v="WHATS"/>
    <n v="99549"/>
    <n v="348"/>
    <m/>
    <m/>
    <m/>
    <x v="9"/>
    <m/>
  </r>
  <r>
    <n v="784"/>
    <x v="13"/>
    <s v="EMAIL"/>
    <n v="749413"/>
    <n v="3453.7"/>
    <m/>
    <m/>
    <m/>
    <x v="9"/>
    <m/>
  </r>
  <r>
    <n v="731"/>
    <x v="4"/>
    <s v="WHATS"/>
    <n v="78432"/>
    <n v="461"/>
    <m/>
    <m/>
    <m/>
    <x v="9"/>
    <m/>
  </r>
  <r>
    <n v="364"/>
    <x v="31"/>
    <s v="WHATS"/>
    <n v="78442"/>
    <n v="325"/>
    <m/>
    <m/>
    <m/>
    <x v="164"/>
    <m/>
  </r>
  <r>
    <n v="475"/>
    <x v="23"/>
    <s v="WHATS"/>
    <n v="78231"/>
    <n v="7552.36"/>
    <m/>
    <m/>
    <m/>
    <x v="164"/>
    <m/>
  </r>
  <r>
    <n v="1318"/>
    <x v="114"/>
    <s v="WHATS"/>
    <n v="78430"/>
    <n v="829.8"/>
    <m/>
    <m/>
    <m/>
    <x v="164"/>
    <m/>
  </r>
  <r>
    <n v="50219"/>
    <x v="14"/>
    <s v="WHATS"/>
    <s v="78323/78462"/>
    <n v="821.25"/>
    <m/>
    <m/>
    <m/>
    <x v="164"/>
    <m/>
  </r>
  <r>
    <n v="2572"/>
    <x v="115"/>
    <s v="WHATS"/>
    <n v="78469"/>
    <n v="4028"/>
    <m/>
    <m/>
    <m/>
    <x v="164"/>
    <m/>
  </r>
  <r>
    <n v="620"/>
    <x v="69"/>
    <s v="WHATS"/>
    <n v="78473"/>
    <n v="1443.75"/>
    <m/>
    <m/>
    <m/>
    <x v="164"/>
    <m/>
  </r>
  <r>
    <n v="3153"/>
    <x v="12"/>
    <s v="WHATS"/>
    <n v="78475"/>
    <n v="1689.99"/>
    <m/>
    <m/>
    <m/>
    <x v="164"/>
    <m/>
  </r>
  <r>
    <n v="1726"/>
    <x v="34"/>
    <s v="WHATS"/>
    <n v="78496"/>
    <n v="674.88"/>
    <m/>
    <m/>
    <m/>
    <x v="165"/>
    <m/>
  </r>
  <r>
    <n v="2415"/>
    <x v="63"/>
    <s v="WHATS"/>
    <n v="78508"/>
    <n v="2212"/>
    <m/>
    <m/>
    <m/>
    <x v="165"/>
    <m/>
  </r>
  <r>
    <n v="364"/>
    <x v="31"/>
    <s v="WHATS"/>
    <n v="78445"/>
    <n v="325"/>
    <m/>
    <m/>
    <m/>
    <x v="165"/>
    <m/>
  </r>
  <r>
    <n v="364"/>
    <x v="31"/>
    <s v="WHATS"/>
    <n v="99572"/>
    <n v="28.2"/>
    <m/>
    <m/>
    <m/>
    <x v="165"/>
    <m/>
  </r>
  <r>
    <n v="2911"/>
    <x v="15"/>
    <s v="WHATS"/>
    <n v="78304"/>
    <n v="1280.8"/>
    <m/>
    <m/>
    <m/>
    <x v="165"/>
    <m/>
  </r>
  <r>
    <n v="2911"/>
    <x v="15"/>
    <s v="WHATS"/>
    <n v="99566"/>
    <n v="202.4"/>
    <m/>
    <m/>
    <m/>
    <x v="165"/>
    <m/>
  </r>
  <r>
    <n v="690"/>
    <x v="19"/>
    <s v="WHATS"/>
    <n v="78493"/>
    <n v="608.5"/>
    <m/>
    <m/>
    <m/>
    <x v="165"/>
    <m/>
  </r>
  <r>
    <n v="690"/>
    <x v="19"/>
    <s v="WHATS"/>
    <n v="99561"/>
    <n v="283.60000000000002"/>
    <m/>
    <m/>
    <m/>
    <x v="165"/>
    <m/>
  </r>
  <r>
    <n v="572"/>
    <x v="51"/>
    <s v="WHATS"/>
    <s v="78082/78569"/>
    <n v="610.66"/>
    <m/>
    <m/>
    <m/>
    <x v="165"/>
    <m/>
  </r>
  <r>
    <n v="1533"/>
    <x v="50"/>
    <s v="WHATS"/>
    <n v="785977"/>
    <n v="3745.2"/>
    <m/>
    <m/>
    <m/>
    <x v="166"/>
    <m/>
  </r>
  <r>
    <n v="51175"/>
    <x v="79"/>
    <s v="WHATS"/>
    <n v="78576"/>
    <n v="314.64"/>
    <m/>
    <m/>
    <m/>
    <x v="166"/>
    <m/>
  </r>
  <r>
    <n v="762"/>
    <x v="41"/>
    <s v="EMAIL"/>
    <n v="78600"/>
    <n v="6557.9"/>
    <m/>
    <m/>
    <m/>
    <x v="166"/>
    <m/>
  </r>
  <r>
    <n v="50554"/>
    <x v="20"/>
    <s v="WHATS"/>
    <n v="78567"/>
    <n v="5193.29"/>
    <m/>
    <m/>
    <m/>
    <x v="166"/>
    <m/>
  </r>
  <r>
    <n v="50497"/>
    <x v="77"/>
    <s v="WHATS"/>
    <n v="99582"/>
    <n v="1328.15"/>
    <m/>
    <m/>
    <m/>
    <x v="166"/>
    <m/>
  </r>
  <r>
    <n v="725"/>
    <x v="65"/>
    <s v="WHATS"/>
    <n v="78620"/>
    <n v="410"/>
    <m/>
    <m/>
    <m/>
    <x v="166"/>
    <m/>
  </r>
  <r>
    <n v="1164"/>
    <x v="58"/>
    <s v="WHATS"/>
    <n v="78589"/>
    <n v="1020.94"/>
    <m/>
    <m/>
    <m/>
    <x v="166"/>
    <m/>
  </r>
  <r>
    <n v="960"/>
    <x v="30"/>
    <s v="WHATS"/>
    <n v="99598"/>
    <n v="356.7"/>
    <m/>
    <m/>
    <m/>
    <x v="166"/>
    <m/>
  </r>
  <r>
    <n v="960"/>
    <x v="30"/>
    <s v="WHATS"/>
    <n v="78643"/>
    <n v="1493"/>
    <m/>
    <m/>
    <m/>
    <x v="167"/>
    <m/>
  </r>
  <r>
    <n v="746"/>
    <x v="3"/>
    <s v="TEL"/>
    <n v="78528"/>
    <n v="6347.02"/>
    <m/>
    <m/>
    <m/>
    <x v="167"/>
    <m/>
  </r>
  <r>
    <n v="746"/>
    <x v="3"/>
    <s v="TEL"/>
    <n v="99600"/>
    <n v="71.099999999999994"/>
    <m/>
    <m/>
    <m/>
    <x v="167"/>
    <m/>
  </r>
  <r>
    <n v="3194"/>
    <x v="18"/>
    <s v="TEL"/>
    <n v="78653"/>
    <n v="954.8"/>
    <m/>
    <m/>
    <m/>
    <x v="167"/>
    <m/>
  </r>
  <r>
    <n v="1041"/>
    <x v="78"/>
    <s v="WHATS"/>
    <n v="78650"/>
    <n v="76.8"/>
    <m/>
    <m/>
    <m/>
    <x v="167"/>
    <m/>
  </r>
  <r>
    <n v="1041"/>
    <x v="78"/>
    <s v="WHATS"/>
    <n v="99603"/>
    <n v="61.2"/>
    <m/>
    <m/>
    <m/>
    <x v="167"/>
    <m/>
  </r>
  <r>
    <n v="3018"/>
    <x v="64"/>
    <s v="WHATS"/>
    <n v="99607"/>
    <n v="451.8"/>
    <m/>
    <m/>
    <m/>
    <x v="167"/>
    <m/>
  </r>
  <r>
    <n v="3018"/>
    <x v="64"/>
    <s v="WHATS"/>
    <n v="78663"/>
    <n v="549"/>
    <m/>
    <m/>
    <m/>
    <x v="167"/>
    <m/>
  </r>
  <r>
    <n v="3017"/>
    <x v="62"/>
    <s v="WHATS"/>
    <n v="77801"/>
    <n v="1027.93"/>
    <m/>
    <m/>
    <m/>
    <x v="167"/>
    <m/>
  </r>
  <r>
    <n v="463"/>
    <x v="32"/>
    <s v="WHATS"/>
    <n v="78677"/>
    <n v="1052.6500000000001"/>
    <m/>
    <m/>
    <m/>
    <x v="167"/>
    <m/>
  </r>
  <r>
    <n v="1493"/>
    <x v="21"/>
    <s v="WHATS"/>
    <n v="78679"/>
    <n v="1996.99"/>
    <m/>
    <m/>
    <m/>
    <x v="167"/>
    <m/>
  </r>
  <r>
    <n v="690"/>
    <x v="19"/>
    <s v="WHATS"/>
    <n v="78074"/>
    <n v="189"/>
    <m/>
    <m/>
    <m/>
    <x v="168"/>
    <m/>
  </r>
  <r>
    <n v="1989"/>
    <x v="67"/>
    <s v="WHATS"/>
    <n v="78076"/>
    <n v="606.12"/>
    <m/>
    <m/>
    <m/>
    <x v="168"/>
    <m/>
  </r>
  <r>
    <n v="50554"/>
    <x v="20"/>
    <s v="WHATS"/>
    <n v="78075"/>
    <n v="189"/>
    <m/>
    <m/>
    <m/>
    <x v="168"/>
    <m/>
  </r>
  <r>
    <n v="618"/>
    <x v="26"/>
    <s v="WHATS"/>
    <n v="78685"/>
    <n v="1364.6"/>
    <m/>
    <m/>
    <m/>
    <x v="168"/>
    <m/>
  </r>
  <r>
    <n v="618"/>
    <x v="26"/>
    <s v="WHATS"/>
    <n v="99611"/>
    <n v="256.19"/>
    <m/>
    <m/>
    <m/>
    <x v="168"/>
    <m/>
  </r>
  <r>
    <n v="874"/>
    <x v="53"/>
    <s v="WHATS"/>
    <s v="77932/78694"/>
    <n v="1170.21"/>
    <m/>
    <m/>
    <m/>
    <x v="168"/>
    <m/>
  </r>
  <r>
    <n v="2415"/>
    <x v="63"/>
    <s v="WHATS"/>
    <n v="78010"/>
    <n v="1511.67"/>
    <m/>
    <m/>
    <m/>
    <x v="168"/>
    <m/>
  </r>
  <r>
    <n v="724"/>
    <x v="42"/>
    <s v="WHATS"/>
    <n v="78745"/>
    <n v="884.97"/>
    <m/>
    <m/>
    <m/>
    <x v="169"/>
    <m/>
  </r>
  <r>
    <n v="2022"/>
    <x v="28"/>
    <s v="WHATS"/>
    <s v="78265/78742"/>
    <n v="1175.77"/>
    <m/>
    <m/>
    <m/>
    <x v="169"/>
    <m/>
  </r>
  <r>
    <n v="581"/>
    <x v="74"/>
    <s v="WHATS"/>
    <n v="99631"/>
    <n v="1777.8"/>
    <m/>
    <m/>
    <m/>
    <x v="170"/>
    <m/>
  </r>
  <r>
    <n v="50576"/>
    <x v="37"/>
    <s v="WHATS"/>
    <n v="78787"/>
    <n v="1884.1"/>
    <m/>
    <m/>
    <m/>
    <x v="170"/>
    <m/>
  </r>
  <r>
    <n v="50526"/>
    <x v="38"/>
    <s v="WHATS"/>
    <n v="99633"/>
    <n v="261.2"/>
    <m/>
    <m/>
    <m/>
    <x v="170"/>
    <m/>
  </r>
  <r>
    <n v="741"/>
    <x v="85"/>
    <s v="WHATS"/>
    <n v="78760"/>
    <n v="1151.04"/>
    <m/>
    <m/>
    <m/>
    <x v="171"/>
    <m/>
  </r>
  <r>
    <n v="741"/>
    <x v="85"/>
    <s v="WHATS"/>
    <n v="99627"/>
    <n v="154.6"/>
    <m/>
    <m/>
    <m/>
    <x v="171"/>
    <m/>
  </r>
  <r>
    <n v="2795"/>
    <x v="113"/>
    <s v="WHATS"/>
    <n v="77654"/>
    <n v="178.8"/>
    <m/>
    <m/>
    <m/>
    <x v="171"/>
    <m/>
  </r>
  <r>
    <n v="1122"/>
    <x v="87"/>
    <s v="WHATS"/>
    <n v="78828"/>
    <n v="5367.2"/>
    <m/>
    <m/>
    <m/>
    <x v="171"/>
    <m/>
  </r>
  <r>
    <n v="475"/>
    <x v="23"/>
    <s v="WHATS"/>
    <n v="78834"/>
    <n v="16418.810000000001"/>
    <m/>
    <m/>
    <m/>
    <x v="171"/>
    <m/>
  </r>
  <r>
    <n v="475"/>
    <x v="23"/>
    <s v="WHATS"/>
    <n v="99643"/>
    <n v="1279.6600000000001"/>
    <m/>
    <m/>
    <m/>
    <x v="171"/>
    <m/>
  </r>
  <r>
    <n v="50219"/>
    <x v="14"/>
    <s v="WHATS"/>
    <n v="78835"/>
    <n v="1025.0999999999999"/>
    <m/>
    <m/>
    <m/>
    <x v="171"/>
    <m/>
  </r>
  <r>
    <n v="311"/>
    <x v="46"/>
    <s v="WHATS"/>
    <s v="78161/78845"/>
    <n v="1388.2"/>
    <m/>
    <m/>
    <m/>
    <x v="172"/>
    <m/>
  </r>
  <r>
    <n v="1533"/>
    <x v="50"/>
    <s v="WHATS"/>
    <n v="78737"/>
    <n v="416"/>
    <m/>
    <m/>
    <m/>
    <x v="172"/>
    <m/>
  </r>
  <r>
    <n v="325"/>
    <x v="97"/>
    <s v="WHATS"/>
    <n v="99648"/>
    <n v="325.7"/>
    <m/>
    <m/>
    <m/>
    <x v="172"/>
    <m/>
  </r>
  <r>
    <n v="325"/>
    <x v="97"/>
    <s v="WHATS"/>
    <n v="78855"/>
    <n v="220"/>
    <m/>
    <m/>
    <m/>
    <x v="172"/>
    <m/>
  </r>
  <r>
    <n v="1240"/>
    <x v="25"/>
    <s v="WHATS"/>
    <n v="78728"/>
    <n v="789.19"/>
    <m/>
    <m/>
    <m/>
    <x v="172"/>
    <m/>
  </r>
  <r>
    <n v="480"/>
    <x v="39"/>
    <s v="WHATS"/>
    <n v="78871"/>
    <n v="1795.68"/>
    <m/>
    <m/>
    <m/>
    <x v="172"/>
    <m/>
  </r>
  <r>
    <n v="2980"/>
    <x v="40"/>
    <s v="WHATS"/>
    <n v="99641"/>
    <n v="188.45"/>
    <m/>
    <m/>
    <m/>
    <x v="172"/>
    <m/>
  </r>
  <r>
    <n v="2980"/>
    <x v="40"/>
    <s v="WHATS"/>
    <n v="78859"/>
    <n v="123.3"/>
    <m/>
    <m/>
    <m/>
    <x v="172"/>
    <m/>
  </r>
  <r>
    <n v="50554"/>
    <x v="20"/>
    <s v="WHATS"/>
    <n v="78879"/>
    <n v="897.75"/>
    <m/>
    <m/>
    <m/>
    <x v="172"/>
    <m/>
  </r>
  <r>
    <n v="690"/>
    <x v="19"/>
    <s v="WHATS"/>
    <n v="78876"/>
    <n v="318.8"/>
    <m/>
    <m/>
    <m/>
    <x v="172"/>
    <m/>
  </r>
  <r>
    <n v="3194"/>
    <x v="18"/>
    <s v="WHATS"/>
    <n v="78875"/>
    <n v="79.8"/>
    <m/>
    <m/>
    <m/>
    <x v="172"/>
    <m/>
  </r>
  <r>
    <n v="687"/>
    <x v="16"/>
    <s v="WHATS"/>
    <n v="78874"/>
    <n v="1284"/>
    <m/>
    <m/>
    <m/>
    <x v="172"/>
    <m/>
  </r>
  <r>
    <n v="432"/>
    <x v="43"/>
    <s v="WHATS"/>
    <n v="78489"/>
    <n v="4507.04"/>
    <m/>
    <m/>
    <m/>
    <x v="172"/>
    <m/>
  </r>
  <r>
    <n v="432"/>
    <x v="43"/>
    <s v="WHATS"/>
    <n v="99653"/>
    <n v="508.41"/>
    <m/>
    <m/>
    <m/>
    <x v="172"/>
    <m/>
  </r>
  <r>
    <n v="663"/>
    <x v="116"/>
    <s v="WHATS"/>
    <n v="99656"/>
    <n v="60.3"/>
    <m/>
    <m/>
    <m/>
    <x v="172"/>
    <m/>
  </r>
  <r>
    <n v="663"/>
    <x v="116"/>
    <s v="WHATS"/>
    <n v="78884"/>
    <n v="366.36"/>
    <m/>
    <m/>
    <m/>
    <x v="172"/>
    <m/>
  </r>
  <r>
    <n v="500243"/>
    <x v="110"/>
    <s v="WHATS"/>
    <n v="78893"/>
    <n v="520"/>
    <m/>
    <m/>
    <m/>
    <x v="173"/>
    <m/>
  </r>
  <r>
    <n v="2022"/>
    <x v="28"/>
    <s v="WHATS"/>
    <n v="78919"/>
    <n v="645"/>
    <m/>
    <m/>
    <m/>
    <x v="173"/>
    <m/>
  </r>
  <r>
    <n v="463"/>
    <x v="32"/>
    <s v="WHATS"/>
    <n v="78911"/>
    <n v="910.9"/>
    <m/>
    <m/>
    <m/>
    <x v="173"/>
    <m/>
  </r>
  <r>
    <n v="823"/>
    <x v="17"/>
    <s v="WHATS"/>
    <n v="75810"/>
    <n v="6868"/>
    <m/>
    <m/>
    <m/>
    <x v="173"/>
    <m/>
  </r>
  <r>
    <n v="1206"/>
    <x v="33"/>
    <s v="TEL"/>
    <n v="78939"/>
    <n v="1208.98"/>
    <m/>
    <m/>
    <m/>
    <x v="174"/>
    <m/>
  </r>
  <r>
    <n v="3077"/>
    <x v="10"/>
    <s v="TEL"/>
    <n v="78941"/>
    <n v="371.3"/>
    <m/>
    <m/>
    <m/>
    <x v="174"/>
    <m/>
  </r>
  <r>
    <n v="3077"/>
    <x v="10"/>
    <s v="TEL"/>
    <n v="99664"/>
    <n v="62.35"/>
    <m/>
    <m/>
    <m/>
    <x v="174"/>
    <m/>
  </r>
  <r>
    <n v="2980"/>
    <x v="40"/>
    <s v="WHATS"/>
    <n v="78974"/>
    <n v="476.75"/>
    <m/>
    <m/>
    <m/>
    <x v="175"/>
    <m/>
  </r>
  <r>
    <n v="516"/>
    <x v="11"/>
    <s v="WHATS"/>
    <n v="78970"/>
    <n v="9369"/>
    <m/>
    <m/>
    <m/>
    <x v="175"/>
    <m/>
  </r>
  <r>
    <n v="50558"/>
    <x v="2"/>
    <s v="EMAIL"/>
    <n v="78977"/>
    <n v="3512"/>
    <m/>
    <m/>
    <m/>
    <x v="175"/>
    <m/>
  </r>
  <r>
    <n v="0"/>
    <x v="0"/>
    <s v="WHATS"/>
    <n v="78718"/>
    <n v="259.27999999999997"/>
    <m/>
    <m/>
    <m/>
    <x v="175"/>
    <m/>
  </r>
  <r>
    <n v="1493"/>
    <x v="21"/>
    <s v="WHATS"/>
    <n v="79005"/>
    <n v="456.5"/>
    <m/>
    <m/>
    <m/>
    <x v="176"/>
    <m/>
  </r>
  <r>
    <n v="1158"/>
    <x v="117"/>
    <s v="WHATS"/>
    <n v="78690"/>
    <n v="218.95"/>
    <m/>
    <m/>
    <m/>
    <x v="176"/>
    <m/>
  </r>
  <r>
    <n v="1164"/>
    <x v="58"/>
    <s v="WHATS"/>
    <n v="79012"/>
    <n v="575.9"/>
    <m/>
    <m/>
    <m/>
    <x v="176"/>
    <m/>
  </r>
  <r>
    <n v="1164"/>
    <x v="58"/>
    <s v="WHATS"/>
    <n v="99677"/>
    <n v="112.59"/>
    <m/>
    <m/>
    <m/>
    <x v="176"/>
    <m/>
  </r>
  <r>
    <n v="50936"/>
    <x v="93"/>
    <s v="WHATS"/>
    <n v="78254"/>
    <n v="395"/>
    <m/>
    <m/>
    <m/>
    <x v="176"/>
    <m/>
  </r>
  <r>
    <n v="761"/>
    <x v="24"/>
    <s v="WHATS"/>
    <n v="78617"/>
    <n v="521.4"/>
    <m/>
    <m/>
    <m/>
    <x v="176"/>
    <m/>
  </r>
  <r>
    <n v="3190"/>
    <x v="60"/>
    <s v="WHATS"/>
    <n v="79027"/>
    <n v="1086.6500000000001"/>
    <m/>
    <m/>
    <m/>
    <x v="176"/>
    <m/>
  </r>
  <r>
    <n v="572"/>
    <x v="51"/>
    <s v="WHATS"/>
    <n v="79041"/>
    <n v="347.45"/>
    <m/>
    <m/>
    <m/>
    <x v="176"/>
    <m/>
  </r>
  <r>
    <n v="960"/>
    <x v="30"/>
    <s v="WHATS"/>
    <n v="79050"/>
    <n v="391.7"/>
    <m/>
    <m/>
    <m/>
    <x v="176"/>
    <m/>
  </r>
  <r>
    <n v="960"/>
    <x v="30"/>
    <s v="WHATS"/>
    <n v="99681"/>
    <n v="264"/>
    <m/>
    <m/>
    <m/>
    <x v="176"/>
    <m/>
  </r>
  <r>
    <n v="822"/>
    <x v="66"/>
    <s v="WHATS"/>
    <n v="99684"/>
    <n v="1660.67"/>
    <m/>
    <m/>
    <m/>
    <x v="176"/>
    <m/>
  </r>
  <r>
    <n v="822"/>
    <x v="66"/>
    <s v="WHATS"/>
    <n v="79056"/>
    <n v="1759"/>
    <m/>
    <m/>
    <m/>
    <x v="176"/>
    <m/>
  </r>
  <r>
    <n v="704"/>
    <x v="49"/>
    <s v="WHATS"/>
    <n v="99687"/>
    <n v="259.16000000000003"/>
    <m/>
    <m/>
    <m/>
    <x v="177"/>
    <m/>
  </r>
  <r>
    <n v="704"/>
    <x v="49"/>
    <s v="WHATS"/>
    <n v="79047"/>
    <n v="2125.91"/>
    <m/>
    <m/>
    <m/>
    <x v="177"/>
    <m/>
  </r>
  <r>
    <n v="741"/>
    <x v="85"/>
    <s v="WHATS"/>
    <n v="79076"/>
    <n v="159.9"/>
    <m/>
    <m/>
    <m/>
    <x v="177"/>
    <m/>
  </r>
  <r>
    <n v="741"/>
    <x v="85"/>
    <s v="WHATS"/>
    <n v="99690"/>
    <n v="78"/>
    <m/>
    <m/>
    <m/>
    <x v="177"/>
    <m/>
  </r>
  <r>
    <n v="1813"/>
    <x v="48"/>
    <s v="WHATS"/>
    <n v="79082"/>
    <n v="991"/>
    <m/>
    <m/>
    <m/>
    <x v="177"/>
    <m/>
  </r>
  <r>
    <n v="1016"/>
    <x v="101"/>
    <s v="TEL"/>
    <n v="79088"/>
    <n v="1294.4100000000001"/>
    <m/>
    <m/>
    <m/>
    <x v="177"/>
    <m/>
  </r>
  <r>
    <n v="3565"/>
    <x v="103"/>
    <s v="WHATS"/>
    <n v="79096"/>
    <n v="623.79999999999995"/>
    <m/>
    <m/>
    <m/>
    <x v="178"/>
    <m/>
  </r>
  <r>
    <n v="500245"/>
    <x v="118"/>
    <s v="WHATS"/>
    <n v="78808"/>
    <n v="237.44"/>
    <m/>
    <m/>
    <m/>
    <x v="178"/>
    <m/>
  </r>
  <r>
    <n v="2022"/>
    <x v="28"/>
    <s v="WHATS"/>
    <n v="79106"/>
    <n v="943.28"/>
    <m/>
    <m/>
    <m/>
    <x v="178"/>
    <m/>
  </r>
  <r>
    <n v="2022"/>
    <x v="28"/>
    <s v="WHATS"/>
    <n v="99694"/>
    <n v="215"/>
    <m/>
    <m/>
    <m/>
    <x v="178"/>
    <m/>
  </r>
  <r>
    <n v="335"/>
    <x v="9"/>
    <s v="WHATS"/>
    <n v="79073"/>
    <n v="311.2"/>
    <m/>
    <m/>
    <m/>
    <x v="178"/>
    <m/>
  </r>
  <r>
    <n v="1371"/>
    <x v="119"/>
    <s v="WHATS"/>
    <n v="79112"/>
    <n v="725.25"/>
    <m/>
    <m/>
    <m/>
    <x v="178"/>
    <m/>
  </r>
  <r>
    <n v="2752"/>
    <x v="120"/>
    <s v="WHATS"/>
    <n v="79022"/>
    <n v="281.89999999999998"/>
    <m/>
    <m/>
    <m/>
    <x v="178"/>
    <m/>
  </r>
  <r>
    <n v="432"/>
    <x v="43"/>
    <s v="WHATS"/>
    <n v="79133"/>
    <n v="3736.2"/>
    <m/>
    <m/>
    <m/>
    <x v="178"/>
    <m/>
  </r>
  <r>
    <n v="1164"/>
    <x v="58"/>
    <s v="WHATS"/>
    <n v="79147"/>
    <n v="1051.05"/>
    <m/>
    <m/>
    <m/>
    <x v="179"/>
    <m/>
  </r>
  <r>
    <n v="668"/>
    <x v="121"/>
    <s v="WHATS"/>
    <n v="79161"/>
    <n v="536.4"/>
    <m/>
    <m/>
    <m/>
    <x v="179"/>
    <m/>
  </r>
  <r>
    <n v="690"/>
    <x v="19"/>
    <s v="WHATS"/>
    <n v="79173"/>
    <n v="305.2"/>
    <m/>
    <m/>
    <m/>
    <x v="180"/>
    <m/>
  </r>
  <r>
    <n v="690"/>
    <x v="19"/>
    <s v="WHATS"/>
    <n v="99702"/>
    <n v="93.52"/>
    <m/>
    <m/>
    <m/>
    <x v="180"/>
    <m/>
  </r>
  <r>
    <n v="906"/>
    <x v="27"/>
    <s v="WHATS"/>
    <n v="99704"/>
    <n v="604.38"/>
    <m/>
    <m/>
    <m/>
    <x v="180"/>
    <m/>
  </r>
  <r>
    <n v="906"/>
    <x v="27"/>
    <s v="WHATS"/>
    <n v="79178"/>
    <n v="3712"/>
    <m/>
    <m/>
    <m/>
    <x v="180"/>
    <m/>
  </r>
  <r>
    <n v="3065"/>
    <x v="122"/>
    <s v="WHATS"/>
    <n v="79176"/>
    <n v="59.85"/>
    <m/>
    <m/>
    <m/>
    <x v="180"/>
    <m/>
  </r>
  <r>
    <n v="2397"/>
    <x v="6"/>
    <s v="WHATS"/>
    <n v="79119"/>
    <n v="483.4"/>
    <m/>
    <m/>
    <m/>
    <x v="180"/>
    <m/>
  </r>
  <r>
    <n v="687"/>
    <x v="16"/>
    <s v="WHATS"/>
    <n v="79198"/>
    <n v="860"/>
    <m/>
    <m/>
    <m/>
    <x v="180"/>
    <m/>
  </r>
  <r>
    <n v="687"/>
    <x v="16"/>
    <s v="WHATS"/>
    <n v="99705"/>
    <n v="243.25"/>
    <m/>
    <m/>
    <m/>
    <x v="180"/>
    <m/>
  </r>
  <r>
    <n v="475"/>
    <x v="23"/>
    <s v="EMAIL"/>
    <n v="78863"/>
    <n v="26810.799999999999"/>
    <m/>
    <m/>
    <m/>
    <x v="181"/>
    <m/>
  </r>
  <r>
    <n v="475"/>
    <x v="23"/>
    <s v="EMAIL"/>
    <n v="99707"/>
    <n v="2751.98"/>
    <m/>
    <m/>
    <m/>
    <x v="181"/>
    <m/>
  </r>
  <r>
    <n v="50497"/>
    <x v="77"/>
    <s v="WHATS"/>
    <n v="99595"/>
    <n v="177.2"/>
    <m/>
    <m/>
    <m/>
    <x v="181"/>
    <m/>
  </r>
  <r>
    <n v="1533"/>
    <x v="50"/>
    <s v="WHATS"/>
    <n v="99715"/>
    <n v="350.09"/>
    <m/>
    <m/>
    <m/>
    <x v="181"/>
    <m/>
  </r>
  <r>
    <n v="1533"/>
    <x v="50"/>
    <s v="WHATS"/>
    <n v="79212"/>
    <n v="360"/>
    <m/>
    <m/>
    <m/>
    <x v="181"/>
    <m/>
  </r>
  <r>
    <n v="761"/>
    <x v="24"/>
    <s v="WHATS"/>
    <n v="99657"/>
    <n v="270.35000000000002"/>
    <m/>
    <m/>
    <m/>
    <x v="181"/>
    <m/>
  </r>
  <r>
    <n v="761"/>
    <x v="24"/>
    <s v="WHATS"/>
    <n v="79222"/>
    <n v="12.8"/>
    <m/>
    <m/>
    <m/>
    <x v="181"/>
    <m/>
  </r>
  <r>
    <n v="741"/>
    <x v="85"/>
    <s v="WHATS"/>
    <n v="79227"/>
    <n v="128"/>
    <m/>
    <m/>
    <m/>
    <x v="181"/>
    <m/>
  </r>
  <r>
    <n v="1026"/>
    <x v="7"/>
    <s v="TEL"/>
    <n v="79247"/>
    <n v="1480"/>
    <m/>
    <m/>
    <m/>
    <x v="181"/>
    <m/>
  </r>
  <r>
    <n v="756"/>
    <x v="8"/>
    <s v="WHATS"/>
    <n v="79282"/>
    <n v="3413.6"/>
    <m/>
    <m/>
    <m/>
    <x v="182"/>
    <m/>
  </r>
  <r>
    <n v="1533"/>
    <x v="50"/>
    <s v="WHATS"/>
    <n v="99729"/>
    <n v="71.099999999999994"/>
    <m/>
    <m/>
    <m/>
    <x v="182"/>
    <m/>
  </r>
  <r>
    <n v="50418"/>
    <x v="35"/>
    <s v="WHATS"/>
    <n v="79294"/>
    <n v="879.7"/>
    <m/>
    <m/>
    <m/>
    <x v="182"/>
    <m/>
  </r>
  <r>
    <n v="2022"/>
    <x v="28"/>
    <s v="WHATS"/>
    <n v="79279"/>
    <n v="2946.95"/>
    <m/>
    <m/>
    <m/>
    <x v="182"/>
    <m/>
  </r>
  <r>
    <n v="480"/>
    <x v="39"/>
    <s v="WHATS"/>
    <n v="79303"/>
    <n v="1202.4000000000001"/>
    <m/>
    <m/>
    <m/>
    <x v="182"/>
    <m/>
  </r>
  <r>
    <n v="380"/>
    <x v="123"/>
    <s v="WHATS"/>
    <n v="99731"/>
    <n v="131.65"/>
    <m/>
    <m/>
    <m/>
    <x v="182"/>
    <m/>
  </r>
  <r>
    <n v="1842"/>
    <x v="47"/>
    <s v="WHATS"/>
    <n v="79306"/>
    <n v="888.38"/>
    <m/>
    <m/>
    <m/>
    <x v="182"/>
    <m/>
  </r>
  <r>
    <n v="1842"/>
    <x v="47"/>
    <s v="WHATS"/>
    <n v="99732"/>
    <n v="186.8"/>
    <m/>
    <m/>
    <m/>
    <x v="182"/>
    <m/>
  </r>
  <r>
    <n v="311"/>
    <x v="46"/>
    <s v="WHATS"/>
    <n v="79309"/>
    <n v="221.55"/>
    <m/>
    <m/>
    <m/>
    <x v="182"/>
    <m/>
  </r>
  <r>
    <n v="822"/>
    <x v="66"/>
    <s v="WHATS"/>
    <n v="65569"/>
    <n v="77.900000000000006"/>
    <m/>
    <m/>
    <m/>
    <x v="183"/>
    <m/>
  </r>
  <r>
    <n v="822"/>
    <x v="66"/>
    <s v="WHATS"/>
    <n v="79312"/>
    <n v="835.9"/>
    <m/>
    <m/>
    <m/>
    <x v="183"/>
    <m/>
  </r>
  <r>
    <n v="50728"/>
    <x v="84"/>
    <s v="WHATS"/>
    <n v="79322"/>
    <n v="1080"/>
    <m/>
    <m/>
    <m/>
    <x v="183"/>
    <m/>
  </r>
  <r>
    <n v="3077"/>
    <x v="10"/>
    <s v="TEL"/>
    <n v="79341"/>
    <n v="822.62"/>
    <m/>
    <m/>
    <m/>
    <x v="183"/>
    <m/>
  </r>
  <r>
    <n v="3077"/>
    <x v="10"/>
    <s v="TEL"/>
    <n v="99740"/>
    <n v="123"/>
    <m/>
    <m/>
    <m/>
    <x v="183"/>
    <m/>
  </r>
  <r>
    <n v="50576"/>
    <x v="37"/>
    <s v="WHATS"/>
    <n v="79364"/>
    <n v="2387.1"/>
    <m/>
    <m/>
    <m/>
    <x v="184"/>
    <m/>
  </r>
  <r>
    <n v="50526"/>
    <x v="38"/>
    <s v="WHATS"/>
    <n v="99744"/>
    <n v="261.2"/>
    <m/>
    <m/>
    <m/>
    <x v="184"/>
    <m/>
  </r>
  <r>
    <n v="474"/>
    <x v="98"/>
    <s v="WHATS"/>
    <n v="99747"/>
    <n v="384.4"/>
    <m/>
    <m/>
    <m/>
    <x v="184"/>
    <m/>
  </r>
  <r>
    <n v="474"/>
    <x v="98"/>
    <s v="WHATS"/>
    <n v="79371"/>
    <n v="216.31"/>
    <m/>
    <m/>
    <m/>
    <x v="184"/>
    <m/>
  </r>
  <r>
    <n v="2702"/>
    <x v="73"/>
    <s v="WHATS"/>
    <n v="79393"/>
    <n v="1810"/>
    <m/>
    <m/>
    <m/>
    <x v="10"/>
    <m/>
  </r>
  <r>
    <n v="784"/>
    <x v="13"/>
    <s v="WHATS"/>
    <n v="78640"/>
    <n v="234"/>
    <m/>
    <m/>
    <m/>
    <x v="10"/>
    <m/>
  </r>
  <r>
    <n v="50219"/>
    <x v="14"/>
    <s v="WHATS"/>
    <n v="79400"/>
    <n v="987.35"/>
    <m/>
    <m/>
    <m/>
    <x v="10"/>
    <m/>
  </r>
  <r>
    <n v="50222"/>
    <x v="89"/>
    <s v="WHATS"/>
    <n v="99759"/>
    <n v="191.35"/>
    <m/>
    <m/>
    <m/>
    <x v="10"/>
    <m/>
  </r>
  <r>
    <n v="1493"/>
    <x v="21"/>
    <s v="WHATS"/>
    <n v="79401"/>
    <n v="865.5"/>
    <m/>
    <m/>
    <m/>
    <x v="10"/>
    <m/>
  </r>
  <r>
    <n v="1652"/>
    <x v="61"/>
    <s v="TEL"/>
    <n v="79160"/>
    <n v="794.9"/>
    <m/>
    <m/>
    <m/>
    <x v="185"/>
    <m/>
  </r>
  <r>
    <n v="1652"/>
    <x v="61"/>
    <s v="TEL"/>
    <n v="99703"/>
    <n v="165.9"/>
    <m/>
    <m/>
    <m/>
    <x v="185"/>
    <m/>
  </r>
  <r>
    <n v="432"/>
    <x v="43"/>
    <s v="WHATS"/>
    <n v="79444"/>
    <n v="1795.9"/>
    <m/>
    <m/>
    <m/>
    <x v="185"/>
    <m/>
  </r>
  <r>
    <n v="1164"/>
    <x v="58"/>
    <s v="WHATS"/>
    <n v="79427"/>
    <n v="521.57000000000005"/>
    <m/>
    <m/>
    <m/>
    <x v="185"/>
    <m/>
  </r>
  <r>
    <n v="3153"/>
    <x v="12"/>
    <s v="WHATS"/>
    <n v="79448"/>
    <n v="1364.8"/>
    <m/>
    <m/>
    <m/>
    <x v="185"/>
    <m/>
  </r>
  <r>
    <n v="575"/>
    <x v="45"/>
    <s v="WHATS"/>
    <n v="79438"/>
    <n v="1207.68"/>
    <m/>
    <m/>
    <m/>
    <x v="185"/>
    <m/>
  </r>
  <r>
    <n v="756"/>
    <x v="8"/>
    <s v="WHATS"/>
    <s v="79282/79357"/>
    <n v="1617.88"/>
    <m/>
    <m/>
    <m/>
    <x v="185"/>
    <m/>
  </r>
  <r>
    <n v="823"/>
    <x v="17"/>
    <s v="TEL"/>
    <n v="78973"/>
    <n v="7630.75"/>
    <m/>
    <m/>
    <m/>
    <x v="186"/>
    <m/>
  </r>
  <r>
    <n v="823"/>
    <x v="17"/>
    <s v="TEL"/>
    <n v="99742"/>
    <n v="791.15"/>
    <m/>
    <m/>
    <m/>
    <x v="186"/>
    <m/>
  </r>
  <r>
    <n v="784"/>
    <x v="13"/>
    <s v="WHATS"/>
    <n v="79481"/>
    <n v="4157.2"/>
    <m/>
    <m/>
    <m/>
    <x v="186"/>
    <m/>
  </r>
  <r>
    <n v="475"/>
    <x v="23"/>
    <s v="WHATS"/>
    <s v="78863/78834/79493"/>
    <n v="2976.01"/>
    <m/>
    <m/>
    <m/>
    <x v="186"/>
    <m/>
  </r>
  <r>
    <n v="50554"/>
    <x v="20"/>
    <s v="WHATS"/>
    <n v="78770"/>
    <n v="189"/>
    <m/>
    <m/>
    <m/>
    <x v="186"/>
    <m/>
  </r>
  <r>
    <n v="690"/>
    <x v="19"/>
    <s v="WHATS"/>
    <n v="78771"/>
    <n v="189"/>
    <m/>
    <m/>
    <m/>
    <x v="186"/>
    <m/>
  </r>
  <r>
    <n v="1989"/>
    <x v="67"/>
    <s v="WHATS"/>
    <n v="78769"/>
    <n v="606.12"/>
    <m/>
    <m/>
    <m/>
    <x v="186"/>
    <m/>
  </r>
  <r>
    <n v="2911"/>
    <x v="15"/>
    <s v="WHATS"/>
    <n v="79527"/>
    <n v="1482.8"/>
    <m/>
    <m/>
    <m/>
    <x v="187"/>
    <m/>
  </r>
  <r>
    <n v="1726"/>
    <x v="34"/>
    <s v="EMAIL"/>
    <n v="79313"/>
    <m/>
    <n v="79313"/>
    <n v="3460.99"/>
    <m/>
    <x v="188"/>
    <m/>
  </r>
  <r>
    <n v="761"/>
    <x v="24"/>
    <s v="WHATS"/>
    <n v="79543"/>
    <n v="236"/>
    <m/>
    <m/>
    <m/>
    <x v="188"/>
    <m/>
  </r>
  <r>
    <n v="761"/>
    <x v="24"/>
    <s v="WHATS"/>
    <n v="99789"/>
    <n v="172"/>
    <m/>
    <m/>
    <m/>
    <x v="188"/>
    <m/>
  </r>
  <r>
    <n v="746"/>
    <x v="3"/>
    <s v="TEL"/>
    <n v="79557"/>
    <n v="5985.82"/>
    <m/>
    <m/>
    <m/>
    <x v="188"/>
    <m/>
  </r>
  <r>
    <n v="746"/>
    <x v="3"/>
    <s v="TEL"/>
    <n v="99794"/>
    <n v="273.05"/>
    <m/>
    <m/>
    <m/>
    <x v="188"/>
    <m/>
  </r>
  <r>
    <n v="690"/>
    <x v="19"/>
    <s v="TEL"/>
    <n v="99799"/>
    <n v="885.5"/>
    <m/>
    <m/>
    <m/>
    <x v="189"/>
    <m/>
  </r>
  <r>
    <n v="690"/>
    <x v="19"/>
    <s v="TEL"/>
    <n v="79590"/>
    <n v="1342.25"/>
    <m/>
    <m/>
    <m/>
    <x v="189"/>
    <m/>
  </r>
  <r>
    <n v="50497"/>
    <x v="77"/>
    <s v="TEL"/>
    <n v="99802"/>
    <n v="1303.2"/>
    <m/>
    <m/>
    <m/>
    <x v="189"/>
    <m/>
  </r>
  <r>
    <n v="50554"/>
    <x v="20"/>
    <s v="TEL"/>
    <n v="79600"/>
    <n v="3625.25"/>
    <m/>
    <m/>
    <m/>
    <x v="189"/>
    <m/>
  </r>
  <r>
    <n v="618"/>
    <x v="26"/>
    <s v="WHATS"/>
    <n v="79532"/>
    <n v="4224.91"/>
    <m/>
    <m/>
    <m/>
    <x v="189"/>
    <m/>
  </r>
  <r>
    <n v="1971"/>
    <x v="29"/>
    <s v="WHATS"/>
    <n v="79612"/>
    <n v="537.4"/>
    <m/>
    <m/>
    <m/>
    <x v="189"/>
    <m/>
  </r>
  <r>
    <n v="325"/>
    <x v="97"/>
    <s v="WHATS"/>
    <n v="79630"/>
    <n v="851.1"/>
    <m/>
    <m/>
    <m/>
    <x v="189"/>
    <m/>
  </r>
  <r>
    <n v="325"/>
    <x v="97"/>
    <s v="WHATS"/>
    <n v="99808"/>
    <n v="60.3"/>
    <m/>
    <m/>
    <m/>
    <x v="189"/>
    <m/>
  </r>
  <r>
    <n v="432"/>
    <x v="43"/>
    <s v="WHATS"/>
    <n v="79513"/>
    <n v="773.6"/>
    <m/>
    <m/>
    <m/>
    <x v="189"/>
    <m/>
  </r>
  <r>
    <n v="1122"/>
    <x v="87"/>
    <s v="EMAIL"/>
    <n v="79649"/>
    <n v="4321.5"/>
    <m/>
    <m/>
    <m/>
    <x v="189"/>
    <m/>
  </r>
  <r>
    <n v="1122"/>
    <x v="87"/>
    <s v="EMAIL"/>
    <n v="79654"/>
    <n v="1784.7"/>
    <m/>
    <m/>
    <m/>
    <x v="189"/>
    <m/>
  </r>
  <r>
    <n v="1726"/>
    <x v="34"/>
    <s v="EMAIL"/>
    <m/>
    <m/>
    <n v="79645"/>
    <n v="2520"/>
    <m/>
    <x v="189"/>
    <m/>
  </r>
  <r>
    <n v="516"/>
    <x v="11"/>
    <s v="WHATS"/>
    <n v="79668"/>
    <n v="48.1"/>
    <m/>
    <m/>
    <m/>
    <x v="189"/>
    <m/>
  </r>
  <r>
    <n v="3475"/>
    <x v="59"/>
    <s v="WHATS"/>
    <n v="79688"/>
    <n v="604.79999999999995"/>
    <m/>
    <m/>
    <m/>
    <x v="190"/>
    <m/>
  </r>
  <r>
    <n v="50576"/>
    <x v="37"/>
    <s v="WHATS"/>
    <s v="79364/79691"/>
    <n v="956.65"/>
    <m/>
    <m/>
    <m/>
    <x v="190"/>
    <m/>
  </r>
  <r>
    <n v="2022"/>
    <x v="28"/>
    <s v="WHATS"/>
    <n v="79279"/>
    <n v="930.05"/>
    <m/>
    <m/>
    <m/>
    <x v="190"/>
    <m/>
  </r>
  <r>
    <n v="3018"/>
    <x v="64"/>
    <s v="WHATS"/>
    <n v="79713"/>
    <n v="1131.5"/>
    <m/>
    <m/>
    <m/>
    <x v="190"/>
    <m/>
  </r>
  <r>
    <n v="3194"/>
    <x v="18"/>
    <s v="TEL"/>
    <n v="78764"/>
    <n v="1644.1"/>
    <m/>
    <m/>
    <m/>
    <x v="190"/>
    <m/>
  </r>
  <r>
    <n v="772"/>
    <x v="71"/>
    <s v="WHATS"/>
    <n v="99831"/>
    <n v="314.10000000000002"/>
    <m/>
    <m/>
    <m/>
    <x v="190"/>
    <m/>
  </r>
  <r>
    <n v="772"/>
    <x v="71"/>
    <s v="WHATS"/>
    <n v="79725"/>
    <n v="986.9"/>
    <m/>
    <m/>
    <m/>
    <x v="190"/>
    <m/>
  </r>
  <r>
    <n v="475"/>
    <x v="23"/>
    <s v="WHATS"/>
    <s v="78834/78231/78863"/>
    <n v="4332.6099999999997"/>
    <m/>
    <m/>
    <m/>
    <x v="191"/>
    <m/>
  </r>
  <r>
    <n v="516"/>
    <x v="11"/>
    <s v="WHATS"/>
    <n v="79535"/>
    <n v="3527.5"/>
    <m/>
    <m/>
    <m/>
    <x v="191"/>
    <m/>
  </r>
  <r>
    <n v="432"/>
    <x v="43"/>
    <s v="WHATS"/>
    <n v="79709"/>
    <n v="1128"/>
    <m/>
    <m/>
    <m/>
    <x v="191"/>
    <m/>
  </r>
  <r>
    <n v="1041"/>
    <x v="78"/>
    <s v="WHATS"/>
    <n v="99637"/>
    <n v="187.5"/>
    <m/>
    <m/>
    <m/>
    <x v="191"/>
    <m/>
  </r>
  <r>
    <n v="3240"/>
    <x v="75"/>
    <s v="WHATS"/>
    <n v="99835"/>
    <n v="225.15"/>
    <m/>
    <m/>
    <m/>
    <x v="191"/>
    <m/>
  </r>
  <r>
    <n v="3240"/>
    <x v="75"/>
    <s v="WHATS"/>
    <n v="79746"/>
    <n v="1259.55"/>
    <m/>
    <m/>
    <m/>
    <x v="191"/>
    <m/>
  </r>
  <r>
    <n v="3017"/>
    <x v="62"/>
    <s v="WHATS"/>
    <n v="79759"/>
    <n v="1168.8399999999999"/>
    <m/>
    <m/>
    <m/>
    <x v="191"/>
    <m/>
  </r>
  <r>
    <n v="1533"/>
    <x v="50"/>
    <s v="WHATS"/>
    <n v="79774"/>
    <n v="877"/>
    <m/>
    <m/>
    <m/>
    <x v="192"/>
    <m/>
  </r>
  <r>
    <n v="3077"/>
    <x v="10"/>
    <s v="TEL"/>
    <n v="79775"/>
    <n v="1707.74"/>
    <m/>
    <m/>
    <m/>
    <x v="192"/>
    <m/>
  </r>
  <r>
    <n v="3077"/>
    <x v="10"/>
    <s v="TEL"/>
    <n v="99839"/>
    <n v="266.67"/>
    <m/>
    <m/>
    <m/>
    <x v="192"/>
    <m/>
  </r>
  <r>
    <n v="1164"/>
    <x v="58"/>
    <s v="WHATS"/>
    <n v="99764"/>
    <n v="71.349999999999994"/>
    <m/>
    <m/>
    <m/>
    <x v="192"/>
    <m/>
  </r>
  <r>
    <n v="1164"/>
    <x v="58"/>
    <s v="WHATS"/>
    <n v="79786"/>
    <n v="1195.49"/>
    <m/>
    <m/>
    <m/>
    <x v="192"/>
    <m/>
  </r>
  <r>
    <n v="762"/>
    <x v="41"/>
    <s v="EMAIL"/>
    <n v="78604"/>
    <n v="2108.16"/>
    <m/>
    <m/>
    <m/>
    <x v="192"/>
    <m/>
  </r>
  <r>
    <n v="2022"/>
    <x v="28"/>
    <s v="TEL"/>
    <s v="79279/79805"/>
    <n v="479.22"/>
    <m/>
    <m/>
    <m/>
    <x v="193"/>
    <m/>
  </r>
  <r>
    <n v="708"/>
    <x v="56"/>
    <s v="WHATS"/>
    <n v="79825"/>
    <n v="2272.5"/>
    <m/>
    <m/>
    <m/>
    <x v="193"/>
    <m/>
  </r>
  <r>
    <n v="705"/>
    <x v="1"/>
    <s v="WHATS"/>
    <n v="99855"/>
    <n v="849.2"/>
    <m/>
    <m/>
    <m/>
    <x v="194"/>
    <m/>
  </r>
  <r>
    <n v="725"/>
    <x v="65"/>
    <s v="WHATS"/>
    <n v="79849"/>
    <n v="397.7"/>
    <m/>
    <m/>
    <m/>
    <x v="194"/>
    <m/>
  </r>
  <r>
    <n v="762"/>
    <x v="41"/>
    <s v="EMAIL"/>
    <n v="79852"/>
    <n v="14066.4"/>
    <m/>
    <m/>
    <m/>
    <x v="194"/>
    <m/>
  </r>
  <r>
    <n v="761"/>
    <x v="24"/>
    <s v="WHATS"/>
    <n v="99857"/>
    <n v="189.05"/>
    <m/>
    <m/>
    <m/>
    <x v="194"/>
    <m/>
  </r>
  <r>
    <n v="756"/>
    <x v="8"/>
    <s v="WHATS"/>
    <n v="79858"/>
    <n v="1201.94"/>
    <m/>
    <m/>
    <m/>
    <x v="194"/>
    <m/>
  </r>
  <r>
    <n v="171"/>
    <x v="70"/>
    <s v="WHATS"/>
    <n v="79678"/>
    <n v="856.55"/>
    <m/>
    <m/>
    <m/>
    <x v="194"/>
    <m/>
  </r>
  <r>
    <n v="725"/>
    <x v="65"/>
    <s v="WHATS"/>
    <n v="79865"/>
    <n v="410.85"/>
    <m/>
    <m/>
    <m/>
    <x v="194"/>
    <m/>
  </r>
  <r>
    <n v="705"/>
    <x v="1"/>
    <s v="TEL"/>
    <n v="79867"/>
    <n v="59.9"/>
    <m/>
    <m/>
    <m/>
    <x v="194"/>
    <m/>
  </r>
  <r>
    <n v="1813"/>
    <x v="48"/>
    <s v="WHATS"/>
    <n v="79872"/>
    <n v="661.75"/>
    <m/>
    <m/>
    <m/>
    <x v="194"/>
    <m/>
  </r>
  <r>
    <n v="463"/>
    <x v="32"/>
    <s v="WHATS"/>
    <n v="79875"/>
    <n v="917.2"/>
    <m/>
    <m/>
    <m/>
    <x v="194"/>
    <m/>
  </r>
  <r>
    <n v="1206"/>
    <x v="33"/>
    <s v="WHATS"/>
    <n v="79879"/>
    <n v="1097.79"/>
    <m/>
    <m/>
    <m/>
    <x v="194"/>
    <m/>
  </r>
  <r>
    <n v="1742"/>
    <x v="81"/>
    <s v="WHATS"/>
    <n v="79892"/>
    <n v="602.20000000000005"/>
    <m/>
    <m/>
    <m/>
    <x v="195"/>
    <m/>
  </r>
  <r>
    <n v="1026"/>
    <x v="7"/>
    <s v="WHATS"/>
    <s v="79247/79565"/>
    <n v="1070.2"/>
    <m/>
    <m/>
    <m/>
    <x v="195"/>
    <m/>
  </r>
  <r>
    <n v="432"/>
    <x v="43"/>
    <s v="WHATS"/>
    <n v="99861"/>
    <n v="743.52"/>
    <m/>
    <m/>
    <m/>
    <x v="195"/>
    <m/>
  </r>
  <r>
    <n v="432"/>
    <x v="43"/>
    <s v="WHATS"/>
    <n v="79888"/>
    <n v="3622.59"/>
    <m/>
    <m/>
    <m/>
    <x v="195"/>
    <m/>
  </r>
  <r>
    <n v="2163"/>
    <x v="36"/>
    <s v="WHATS"/>
    <n v="79908"/>
    <n v="2654.22"/>
    <m/>
    <m/>
    <m/>
    <x v="195"/>
    <m/>
  </r>
  <r>
    <n v="960"/>
    <x v="30"/>
    <s v="WHATS"/>
    <n v="79901"/>
    <n v="769.45"/>
    <m/>
    <m/>
    <m/>
    <x v="195"/>
    <m/>
  </r>
  <r>
    <n v="705"/>
    <x v="1"/>
    <s v="WHATS"/>
    <n v="79918"/>
    <n v="138.9"/>
    <m/>
    <m/>
    <m/>
    <x v="195"/>
    <m/>
  </r>
  <r>
    <n v="572"/>
    <x v="51"/>
    <s v="WHATS"/>
    <n v="79917"/>
    <n v="1156.8499999999999"/>
    <m/>
    <m/>
    <m/>
    <x v="195"/>
    <m/>
  </r>
  <r>
    <n v="50576"/>
    <x v="37"/>
    <s v="WHATS"/>
    <n v="79936"/>
    <n v="2510.54"/>
    <m/>
    <m/>
    <m/>
    <x v="196"/>
    <m/>
  </r>
  <r>
    <n v="50526"/>
    <x v="38"/>
    <s v="WHATS"/>
    <n v="99866"/>
    <n v="522.4"/>
    <m/>
    <m/>
    <m/>
    <x v="196"/>
    <m/>
  </r>
  <r>
    <n v="1971"/>
    <x v="29"/>
    <s v="WHATS"/>
    <n v="79930"/>
    <n v="71.89"/>
    <m/>
    <m/>
    <m/>
    <x v="196"/>
    <m/>
  </r>
  <r>
    <n v="51042"/>
    <x v="106"/>
    <s v="WHATS"/>
    <n v="79941"/>
    <n v="259.06"/>
    <m/>
    <m/>
    <m/>
    <x v="196"/>
    <m/>
  </r>
  <r>
    <n v="50941"/>
    <x v="0"/>
    <s v="WHATS"/>
    <n v="99868"/>
    <n v="69.400000000000006"/>
    <m/>
    <m/>
    <m/>
    <x v="196"/>
    <m/>
  </r>
  <r>
    <n v="705"/>
    <x v="1"/>
    <s v="WHATS"/>
    <n v="79948"/>
    <n v="392.9"/>
    <m/>
    <m/>
    <m/>
    <x v="196"/>
    <m/>
  </r>
  <r>
    <n v="516"/>
    <x v="11"/>
    <s v="EMAIL"/>
    <n v="79800"/>
    <n v="8889.9"/>
    <m/>
    <m/>
    <m/>
    <x v="196"/>
    <m/>
  </r>
  <r>
    <n v="1788"/>
    <x v="91"/>
    <s v="WHATS"/>
    <n v="79987"/>
    <n v="1185.4000000000001"/>
    <m/>
    <m/>
    <m/>
    <x v="197"/>
    <m/>
  </r>
  <r>
    <n v="2022"/>
    <x v="28"/>
    <s v="WHATS"/>
    <n v="79997"/>
    <n v="1442.46"/>
    <m/>
    <m/>
    <m/>
    <x v="197"/>
    <m/>
  </r>
  <r>
    <n v="475"/>
    <x v="23"/>
    <s v="EMAIL"/>
    <n v="80001"/>
    <n v="16886.259999999998"/>
    <m/>
    <m/>
    <m/>
    <x v="197"/>
    <m/>
  </r>
  <r>
    <n v="311"/>
    <x v="46"/>
    <s v="WHATS"/>
    <n v="80010"/>
    <n v="285.95"/>
    <m/>
    <m/>
    <m/>
    <x v="197"/>
    <m/>
  </r>
  <r>
    <n v="3190"/>
    <x v="60"/>
    <s v="WHATS"/>
    <n v="80016"/>
    <n v="225.68"/>
    <m/>
    <m/>
    <m/>
    <x v="198"/>
    <m/>
  </r>
  <r>
    <n v="1240"/>
    <x v="25"/>
    <s v="WHATS"/>
    <n v="80023"/>
    <n v="1059.4000000000001"/>
    <m/>
    <m/>
    <m/>
    <x v="198"/>
    <m/>
  </r>
  <r>
    <n v="2415"/>
    <x v="63"/>
    <s v="WHATS"/>
    <n v="80026"/>
    <n v="3241.5"/>
    <m/>
    <m/>
    <m/>
    <x v="198"/>
    <m/>
  </r>
  <r>
    <n v="364"/>
    <x v="31"/>
    <s v="WHATS"/>
    <n v="79954"/>
    <n v="590.79999999999995"/>
    <m/>
    <m/>
    <m/>
    <x v="198"/>
    <m/>
  </r>
  <r>
    <n v="364"/>
    <x v="31"/>
    <s v="WHATS"/>
    <n v="99877"/>
    <n v="123"/>
    <m/>
    <m/>
    <m/>
    <x v="198"/>
    <m/>
  </r>
  <r>
    <n v="3245"/>
    <x v="95"/>
    <s v="WHATS"/>
    <n v="80031"/>
    <n v="815.1"/>
    <m/>
    <m/>
    <m/>
    <x v="198"/>
    <m/>
  </r>
  <r>
    <n v="1164"/>
    <x v="58"/>
    <s v="WHATS"/>
    <n v="80036"/>
    <n v="614.20000000000005"/>
    <m/>
    <m/>
    <m/>
    <x v="198"/>
    <m/>
  </r>
  <r>
    <n v="1164"/>
    <x v="58"/>
    <s v="WHATS"/>
    <n v="99878"/>
    <n v="71.099999999999994"/>
    <m/>
    <m/>
    <m/>
    <x v="198"/>
    <m/>
  </r>
  <r>
    <n v="1623"/>
    <x v="57"/>
    <s v="WHATS"/>
    <n v="80043"/>
    <n v="4246.0200000000004"/>
    <m/>
    <m/>
    <m/>
    <x v="198"/>
    <m/>
  </r>
  <r>
    <n v="1206"/>
    <x v="33"/>
    <s v="WHATS"/>
    <n v="80049"/>
    <n v="677.1"/>
    <m/>
    <m/>
    <m/>
    <x v="198"/>
    <m/>
  </r>
  <r>
    <n v="705"/>
    <x v="1"/>
    <s v="WHATS"/>
    <n v="80058"/>
    <n v="1107"/>
    <m/>
    <m/>
    <m/>
    <x v="198"/>
    <m/>
  </r>
  <r>
    <n v="480"/>
    <x v="39"/>
    <s v="WHATS"/>
    <n v="80063"/>
    <n v="3466.35"/>
    <m/>
    <m/>
    <m/>
    <x v="198"/>
    <m/>
  </r>
  <r>
    <n v="480"/>
    <x v="39"/>
    <s v="WHATS"/>
    <n v="99886"/>
    <n v="60.55"/>
    <m/>
    <m/>
    <m/>
    <x v="198"/>
    <m/>
  </r>
  <r>
    <n v="687"/>
    <x v="16"/>
    <s v="WHATS"/>
    <n v="80073"/>
    <n v="1808.2"/>
    <m/>
    <m/>
    <m/>
    <x v="198"/>
    <m/>
  </r>
  <r>
    <n v="906"/>
    <x v="27"/>
    <s v="WHATS"/>
    <n v="99887"/>
    <n v="420.72"/>
    <m/>
    <m/>
    <m/>
    <x v="198"/>
    <m/>
  </r>
  <r>
    <n v="906"/>
    <x v="27"/>
    <s v="WHATS"/>
    <n v="80077"/>
    <n v="3127.5"/>
    <m/>
    <m/>
    <m/>
    <x v="198"/>
    <m/>
  </r>
  <r>
    <n v="432"/>
    <x v="43"/>
    <s v="WHATS"/>
    <n v="80080"/>
    <n v="967.5"/>
    <m/>
    <m/>
    <m/>
    <x v="198"/>
    <m/>
  </r>
  <r>
    <n v="1502"/>
    <x v="76"/>
    <s v="WHATS"/>
    <n v="80076"/>
    <n v="4095.82"/>
    <m/>
    <m/>
    <m/>
    <x v="198"/>
    <m/>
  </r>
  <r>
    <n v="784"/>
    <x v="13"/>
    <s v="WHATS"/>
    <s v="79734/77533"/>
    <n v="461.6"/>
    <m/>
    <m/>
    <m/>
    <x v="199"/>
    <m/>
  </r>
  <r>
    <n v="364"/>
    <x v="31"/>
    <s v="TEL"/>
    <n v="80115"/>
    <n v="431.52"/>
    <m/>
    <m/>
    <m/>
    <x v="199"/>
    <m/>
  </r>
  <r>
    <n v="1016"/>
    <x v="101"/>
    <s v="TEL"/>
    <n v="99904"/>
    <n v="1134"/>
    <m/>
    <m/>
    <m/>
    <x v="199"/>
    <m/>
  </r>
  <r>
    <n v="1016"/>
    <x v="101"/>
    <s v="TEL"/>
    <n v="80215"/>
    <n v="527"/>
    <m/>
    <m/>
    <m/>
    <x v="199"/>
    <m/>
  </r>
  <r>
    <n v="50554"/>
    <x v="20"/>
    <s v="TEL"/>
    <n v="80150"/>
    <n v="5986.5"/>
    <m/>
    <m/>
    <m/>
    <x v="199"/>
    <m/>
  </r>
  <r>
    <n v="500248"/>
    <x v="0"/>
    <s v="WHATS"/>
    <n v="80110"/>
    <n v="1507.25"/>
    <m/>
    <m/>
    <m/>
    <x v="199"/>
    <m/>
  </r>
  <r>
    <n v="1623"/>
    <x v="57"/>
    <s v="TEL"/>
    <m/>
    <m/>
    <n v="80173"/>
    <n v="4200"/>
    <m/>
    <x v="200"/>
    <m/>
  </r>
  <r>
    <n v="475"/>
    <x v="23"/>
    <s v="EMAIL"/>
    <n v="80175"/>
    <n v="3301.84"/>
    <m/>
    <m/>
    <m/>
    <x v="200"/>
    <m/>
  </r>
  <r>
    <n v="475"/>
    <x v="23"/>
    <s v="EMAIL"/>
    <n v="99872"/>
    <n v="802.05"/>
    <m/>
    <m/>
    <m/>
    <x v="200"/>
    <m/>
  </r>
  <r>
    <n v="3565"/>
    <x v="103"/>
    <s v="WHATS"/>
    <n v="80177"/>
    <n v="401.35"/>
    <m/>
    <m/>
    <m/>
    <x v="200"/>
    <m/>
  </r>
  <r>
    <n v="475"/>
    <x v="23"/>
    <s v="WHATS"/>
    <n v="80198"/>
    <n v="2150.7600000000002"/>
    <m/>
    <m/>
    <m/>
    <x v="200"/>
    <m/>
  </r>
  <r>
    <n v="311"/>
    <x v="46"/>
    <s v="WHATS"/>
    <n v="80192"/>
    <n v="1391.15"/>
    <m/>
    <m/>
    <m/>
    <x v="200"/>
    <m/>
  </r>
  <r>
    <n v="311"/>
    <x v="46"/>
    <s v="TEL"/>
    <n v="99911"/>
    <n v="183.25"/>
    <m/>
    <m/>
    <m/>
    <x v="200"/>
    <m/>
  </r>
  <r>
    <n v="50418"/>
    <x v="35"/>
    <s v="WHATS"/>
    <n v="80181"/>
    <n v="1578.95"/>
    <m/>
    <m/>
    <m/>
    <x v="200"/>
    <m/>
  </r>
  <r>
    <n v="432"/>
    <x v="43"/>
    <s v="WHATS"/>
    <n v="80080"/>
    <n v="967.5"/>
    <m/>
    <m/>
    <m/>
    <x v="200"/>
    <m/>
  </r>
  <r>
    <n v="463"/>
    <x v="32"/>
    <s v="WHATS"/>
    <n v="80221"/>
    <n v="1124.17"/>
    <m/>
    <m/>
    <m/>
    <x v="200"/>
    <m/>
  </r>
  <r>
    <n v="432"/>
    <x v="43"/>
    <s v="WHATS"/>
    <n v="80222"/>
    <n v="2385"/>
    <m/>
    <m/>
    <m/>
    <x v="201"/>
    <m/>
  </r>
  <r>
    <n v="2702"/>
    <x v="73"/>
    <s v="WHATS"/>
    <n v="80230"/>
    <n v="2071.9"/>
    <m/>
    <m/>
    <m/>
    <x v="201"/>
    <m/>
  </r>
  <r>
    <n v="1533"/>
    <x v="50"/>
    <s v="WHATS"/>
    <n v="80242"/>
    <n v="1133.8"/>
    <m/>
    <m/>
    <m/>
    <x v="201"/>
    <m/>
  </r>
  <r>
    <n v="784"/>
    <x v="13"/>
    <s v="EMAIL"/>
    <n v="80245"/>
    <n v="3896.95"/>
    <m/>
    <m/>
    <m/>
    <x v="201"/>
    <m/>
  </r>
  <r>
    <n v="2022"/>
    <x v="28"/>
    <s v="WHATS"/>
    <n v="80261"/>
    <n v="109.84"/>
    <m/>
    <m/>
    <m/>
    <x v="201"/>
    <m/>
  </r>
  <r>
    <n v="1164"/>
    <x v="58"/>
    <s v="TEL"/>
    <n v="99900"/>
    <n v="177.78"/>
    <m/>
    <m/>
    <m/>
    <x v="201"/>
    <m/>
  </r>
  <r>
    <n v="1164"/>
    <x v="58"/>
    <s v="TEL"/>
    <n v="80262"/>
    <n v="74.849999999999994"/>
    <m/>
    <m/>
    <m/>
    <x v="201"/>
    <m/>
  </r>
  <r>
    <n v="1623"/>
    <x v="57"/>
    <s v="TEL"/>
    <n v="80271"/>
    <n v="1945.8"/>
    <m/>
    <m/>
    <m/>
    <x v="201"/>
    <m/>
  </r>
  <r>
    <n v="50554"/>
    <x v="20"/>
    <s v="TEL"/>
    <n v="80234"/>
    <n v="31049.4"/>
    <m/>
    <m/>
    <m/>
    <x v="201"/>
    <m/>
  </r>
  <r>
    <n v="762"/>
    <x v="41"/>
    <s v="EMAIL"/>
    <n v="80279"/>
    <n v="14337.32"/>
    <m/>
    <m/>
    <m/>
    <x v="201"/>
    <m/>
  </r>
  <r>
    <n v="772"/>
    <x v="71"/>
    <s v="WHATS"/>
    <n v="99935"/>
    <n v="80.400000000000006"/>
    <m/>
    <m/>
    <m/>
    <x v="201"/>
    <m/>
  </r>
  <r>
    <n v="772"/>
    <x v="71"/>
    <s v="WHATS"/>
    <n v="80258"/>
    <n v="989.2"/>
    <m/>
    <m/>
    <m/>
    <x v="201"/>
    <m/>
  </r>
  <r>
    <n v="3041"/>
    <x v="0"/>
    <s v="WHATS"/>
    <n v="80283"/>
    <n v="851.8"/>
    <m/>
    <m/>
    <m/>
    <x v="202"/>
    <m/>
  </r>
  <r>
    <n v="704"/>
    <x v="49"/>
    <s v="WHATS"/>
    <n v="80294"/>
    <n v="775.5"/>
    <m/>
    <m/>
    <m/>
    <x v="202"/>
    <m/>
  </r>
  <r>
    <n v="1971"/>
    <x v="29"/>
    <s v="WHATS"/>
    <n v="80298"/>
    <n v="512.04999999999995"/>
    <m/>
    <m/>
    <m/>
    <x v="202"/>
    <m/>
  </r>
  <r>
    <n v="717"/>
    <x v="0"/>
    <s v="WHATS"/>
    <n v="80322"/>
    <n v="210.4"/>
    <m/>
    <m/>
    <m/>
    <x v="202"/>
    <m/>
  </r>
  <r>
    <n v="575"/>
    <x v="45"/>
    <s v="EMAIL"/>
    <n v="80307"/>
    <n v="1566.72"/>
    <m/>
    <m/>
    <m/>
    <x v="202"/>
    <m/>
  </r>
  <r>
    <n v="575"/>
    <x v="45"/>
    <s v="EMAIL"/>
    <n v="99939"/>
    <n v="99.26"/>
    <m/>
    <m/>
    <m/>
    <x v="202"/>
    <m/>
  </r>
  <r>
    <n v="822"/>
    <x v="66"/>
    <s v="WHATS"/>
    <n v="80324"/>
    <n v="454.3"/>
    <m/>
    <m/>
    <m/>
    <x v="203"/>
    <m/>
  </r>
  <r>
    <n v="620"/>
    <x v="69"/>
    <s v="WHATS"/>
    <n v="99941"/>
    <n v="123.48"/>
    <m/>
    <m/>
    <m/>
    <x v="203"/>
    <m/>
  </r>
  <r>
    <n v="620"/>
    <x v="69"/>
    <s v="WHATS"/>
    <n v="80351"/>
    <n v="1021.23"/>
    <m/>
    <m/>
    <m/>
    <x v="203"/>
    <m/>
  </r>
  <r>
    <n v="575"/>
    <x v="45"/>
    <s v="EMAIL"/>
    <s v="80307/79438/80879"/>
    <n v="735.3"/>
    <m/>
    <m/>
    <m/>
    <x v="204"/>
    <m/>
  </r>
  <r>
    <n v="575"/>
    <x v="45"/>
    <s v="WHATS"/>
    <s v="100055/99939"/>
    <n v="75.94"/>
    <m/>
    <m/>
    <m/>
    <x v="204"/>
    <m/>
  </r>
  <r>
    <n v="475"/>
    <x v="23"/>
    <s v="WHATS"/>
    <n v="80887"/>
    <n v="309"/>
    <m/>
    <m/>
    <m/>
    <x v="204"/>
    <m/>
  </r>
  <r>
    <n v="500149"/>
    <x v="94"/>
    <s v="WHATS"/>
    <n v="80785"/>
    <n v="2455.84"/>
    <m/>
    <m/>
    <m/>
    <x v="204"/>
    <m/>
  </r>
  <r>
    <n v="905"/>
    <x v="72"/>
    <s v="TEL"/>
    <n v="100058"/>
    <n v="283.79000000000002"/>
    <m/>
    <m/>
    <m/>
    <x v="204"/>
    <m/>
  </r>
  <r>
    <n v="905"/>
    <x v="72"/>
    <s v="TEL"/>
    <n v="80883"/>
    <n v="251.73"/>
    <m/>
    <m/>
    <m/>
    <x v="204"/>
    <m/>
  </r>
  <r>
    <n v="1652"/>
    <x v="61"/>
    <s v="TEL"/>
    <n v="80867"/>
    <n v="820.4"/>
    <m/>
    <m/>
    <m/>
    <x v="204"/>
    <m/>
  </r>
  <r>
    <n v="167"/>
    <x v="0"/>
    <s v="WHATS"/>
    <n v="80897"/>
    <n v="1521.84"/>
    <m/>
    <m/>
    <m/>
    <x v="205"/>
    <m/>
  </r>
  <r>
    <n v="167"/>
    <x v="0"/>
    <s v="WHATS"/>
    <n v="100062"/>
    <n v="292.2"/>
    <m/>
    <m/>
    <m/>
    <x v="205"/>
    <m/>
  </r>
  <r>
    <n v="167"/>
    <x v="0"/>
    <s v="WHATS"/>
    <n v="124"/>
    <n v="820"/>
    <m/>
    <m/>
    <m/>
    <x v="205"/>
    <m/>
  </r>
  <r>
    <n v="1971"/>
    <x v="29"/>
    <s v="WHATS"/>
    <n v="80905"/>
    <n v="310"/>
    <m/>
    <m/>
    <m/>
    <x v="205"/>
    <m/>
  </r>
  <r>
    <n v="3190"/>
    <x v="60"/>
    <s v="WHATS"/>
    <n v="80329"/>
    <n v="935.38"/>
    <m/>
    <m/>
    <m/>
    <x v="205"/>
    <m/>
  </r>
  <r>
    <n v="704"/>
    <x v="49"/>
    <s v="WHATS"/>
    <n v="80914"/>
    <n v="1980"/>
    <m/>
    <m/>
    <m/>
    <x v="205"/>
    <m/>
  </r>
  <r>
    <n v="2980"/>
    <x v="40"/>
    <s v="WHATS"/>
    <n v="80910"/>
    <n v="494.55"/>
    <m/>
    <m/>
    <m/>
    <x v="205"/>
    <m/>
  </r>
  <r>
    <n v="50554"/>
    <x v="20"/>
    <s v="WHATS"/>
    <n v="80921"/>
    <n v="252.7"/>
    <m/>
    <m/>
    <m/>
    <x v="205"/>
    <m/>
  </r>
  <r>
    <n v="50497"/>
    <x v="77"/>
    <s v="WHATS"/>
    <n v="100063"/>
    <n v="45.5"/>
    <m/>
    <m/>
    <m/>
    <x v="205"/>
    <m/>
  </r>
  <r>
    <n v="690"/>
    <x v="19"/>
    <s v="WHATS"/>
    <n v="80920"/>
    <n v="476.05"/>
    <m/>
    <m/>
    <m/>
    <x v="205"/>
    <m/>
  </r>
  <r>
    <n v="690"/>
    <x v="19"/>
    <s v="WHATS"/>
    <n v="100065"/>
    <n v="45.5"/>
    <m/>
    <m/>
    <m/>
    <x v="205"/>
    <m/>
  </r>
  <r>
    <n v="3194"/>
    <x v="18"/>
    <s v="WHATS"/>
    <n v="80601"/>
    <n v="1083.2"/>
    <m/>
    <m/>
    <m/>
    <x v="205"/>
    <m/>
  </r>
  <r>
    <n v="50576"/>
    <x v="37"/>
    <s v="WHATS"/>
    <n v="80940"/>
    <n v="1046"/>
    <m/>
    <m/>
    <m/>
    <x v="206"/>
    <m/>
  </r>
  <r>
    <n v="663"/>
    <x v="116"/>
    <s v="WHATS"/>
    <n v="80987"/>
    <n v="832.7"/>
    <m/>
    <m/>
    <m/>
    <x v="206"/>
    <m/>
  </r>
  <r>
    <n v="687"/>
    <x v="16"/>
    <s v="WHATS"/>
    <n v="80158"/>
    <n v="952"/>
    <m/>
    <m/>
    <m/>
    <x v="206"/>
    <m/>
  </r>
  <r>
    <n v="311"/>
    <x v="46"/>
    <s v="WHATS"/>
    <n v="80944"/>
    <n v="5092"/>
    <m/>
    <m/>
    <m/>
    <x v="207"/>
    <m/>
  </r>
  <r>
    <n v="1164"/>
    <x v="58"/>
    <s v="WHATS"/>
    <n v="80181"/>
    <n v="1116.5"/>
    <m/>
    <m/>
    <m/>
    <x v="208"/>
    <m/>
  </r>
  <r>
    <n v="1164"/>
    <x v="58"/>
    <s v="WHATS"/>
    <n v="100091"/>
    <n v="71.349999999999994"/>
    <m/>
    <m/>
    <m/>
    <x v="208"/>
    <m/>
  </r>
  <r>
    <n v="1989"/>
    <x v="67"/>
    <s v="WHATS"/>
    <n v="80610"/>
    <n v="606.12"/>
    <m/>
    <m/>
    <m/>
    <x v="208"/>
    <m/>
  </r>
  <r>
    <n v="690"/>
    <x v="19"/>
    <s v="WHATS"/>
    <n v="80608"/>
    <n v="189"/>
    <m/>
    <m/>
    <m/>
    <x v="208"/>
    <m/>
  </r>
  <r>
    <n v="50554"/>
    <x v="20"/>
    <s v="WHATS"/>
    <n v="80690"/>
    <n v="189"/>
    <m/>
    <m/>
    <m/>
    <x v="208"/>
    <m/>
  </r>
  <r>
    <n v="50219"/>
    <x v="14"/>
    <s v="WHATS"/>
    <n v="81089"/>
    <n v="1924.02"/>
    <m/>
    <m/>
    <m/>
    <x v="209"/>
    <m/>
  </r>
  <r>
    <n v="50219"/>
    <x v="14"/>
    <s v="WHATS"/>
    <n v="100093"/>
    <n v="186.2"/>
    <m/>
    <m/>
    <m/>
    <x v="209"/>
    <m/>
  </r>
  <r>
    <n v="1616"/>
    <x v="83"/>
    <s v="WHATS"/>
    <n v="81094"/>
    <n v="4754.1499999999996"/>
    <m/>
    <m/>
    <m/>
    <x v="209"/>
    <m/>
  </r>
  <r>
    <n v="2022"/>
    <x v="28"/>
    <s v="EMAIL"/>
    <n v="80968"/>
    <n v="2513.6999999999998"/>
    <m/>
    <m/>
    <m/>
    <x v="209"/>
    <m/>
  </r>
  <r>
    <n v="3194"/>
    <x v="18"/>
    <s v="WHATS"/>
    <n v="81096"/>
    <n v="2490"/>
    <m/>
    <m/>
    <m/>
    <x v="209"/>
    <m/>
  </r>
  <r>
    <n v="741"/>
    <x v="85"/>
    <s v="WHATS"/>
    <n v="100100"/>
    <n v="63"/>
    <m/>
    <m/>
    <m/>
    <x v="209"/>
    <m/>
  </r>
  <r>
    <n v="741"/>
    <x v="85"/>
    <s v="WHATS"/>
    <n v="81120"/>
    <n v="751.9"/>
    <m/>
    <m/>
    <m/>
    <x v="210"/>
    <m/>
  </r>
  <r>
    <n v="1164"/>
    <x v="58"/>
    <s v="WHATS"/>
    <n v="81162"/>
    <n v="879.75"/>
    <m/>
    <m/>
    <m/>
    <x v="210"/>
    <m/>
  </r>
  <r>
    <n v="50312"/>
    <x v="86"/>
    <s v="WHATS"/>
    <n v="81168"/>
    <n v="882.12"/>
    <m/>
    <m/>
    <m/>
    <x v="210"/>
    <m/>
  </r>
  <r>
    <n v="311"/>
    <x v="46"/>
    <s v="WHATS"/>
    <n v="81173"/>
    <n v="3176"/>
    <m/>
    <m/>
    <m/>
    <x v="210"/>
    <m/>
  </r>
  <r>
    <n v="885"/>
    <x v="88"/>
    <s v="WHATS"/>
    <n v="81163"/>
    <n v="3145.54"/>
    <m/>
    <m/>
    <m/>
    <x v="210"/>
    <m/>
  </r>
  <r>
    <n v="1240"/>
    <x v="25"/>
    <s v="WHATS"/>
    <n v="81156"/>
    <n v="2548.64"/>
    <m/>
    <m/>
    <m/>
    <x v="210"/>
    <m/>
  </r>
  <r>
    <n v="704"/>
    <x v="49"/>
    <s v="TEL"/>
    <n v="81172"/>
    <n v="2592"/>
    <m/>
    <m/>
    <m/>
    <x v="210"/>
    <m/>
  </r>
  <r>
    <n v="2702"/>
    <x v="73"/>
    <s v="WHATS"/>
    <n v="81167"/>
    <n v="1311.99"/>
    <m/>
    <m/>
    <m/>
    <x v="210"/>
    <m/>
  </r>
  <r>
    <n v="687"/>
    <x v="16"/>
    <s v="WHATS"/>
    <n v="81180"/>
    <n v="2601.1999999999998"/>
    <m/>
    <m/>
    <m/>
    <x v="210"/>
    <m/>
  </r>
  <r>
    <n v="2955"/>
    <x v="82"/>
    <s v="WHATS"/>
    <n v="81177"/>
    <n v="1654"/>
    <n v="1200"/>
    <n v="1200"/>
    <m/>
    <x v="211"/>
    <m/>
  </r>
  <r>
    <n v="2163"/>
    <x v="36"/>
    <s v="TEL"/>
    <n v="81206"/>
    <n v="1598.8"/>
    <m/>
    <m/>
    <m/>
    <x v="211"/>
    <m/>
  </r>
  <r>
    <n v="761"/>
    <x v="24"/>
    <s v="WHATS"/>
    <n v="81209"/>
    <n v="2200"/>
    <m/>
    <m/>
    <m/>
    <x v="211"/>
    <m/>
  </r>
  <r>
    <n v="712"/>
    <x v="124"/>
    <s v="WHATS"/>
    <n v="81213"/>
    <n v="324.52"/>
    <m/>
    <m/>
    <m/>
    <x v="211"/>
    <m/>
  </r>
  <r>
    <n v="1652"/>
    <x v="61"/>
    <s v="TEL"/>
    <s v="81212/100121"/>
    <n v="1165.0899999999999"/>
    <m/>
    <m/>
    <m/>
    <x v="211"/>
    <m/>
  </r>
  <r>
    <n v="784"/>
    <x v="13"/>
    <s v="EMAIL"/>
    <n v="81201"/>
    <n v="3511.18"/>
    <m/>
    <m/>
    <m/>
    <x v="211"/>
    <m/>
  </r>
  <r>
    <n v="516"/>
    <x v="11"/>
    <s v="WHATS"/>
    <n v="81020"/>
    <n v="666"/>
    <m/>
    <m/>
    <m/>
    <x v="211"/>
    <m/>
  </r>
  <r>
    <n v="2955"/>
    <x v="82"/>
    <s v="WHATS"/>
    <n v="81177"/>
    <n v="4718.2"/>
    <m/>
    <m/>
    <m/>
    <x v="211"/>
    <m/>
  </r>
  <r>
    <n v="1533"/>
    <x v="50"/>
    <s v="WHATS"/>
    <s v="81234/100129"/>
    <n v="1548.99"/>
    <m/>
    <m/>
    <m/>
    <x v="212"/>
    <m/>
  </r>
  <r>
    <n v="762"/>
    <x v="41"/>
    <s v="WHATS"/>
    <n v="81238"/>
    <n v="6766"/>
    <m/>
    <m/>
    <m/>
    <x v="212"/>
    <m/>
  </r>
  <r>
    <n v="581"/>
    <x v="74"/>
    <s v="WHATS"/>
    <n v="81239"/>
    <n v="2480"/>
    <m/>
    <m/>
    <m/>
    <x v="212"/>
    <m/>
  </r>
  <r>
    <n v="705"/>
    <x v="1"/>
    <s v="TEL"/>
    <s v="81243/100124"/>
    <n v="941.6"/>
    <m/>
    <m/>
    <m/>
    <x v="212"/>
    <m/>
  </r>
  <r>
    <n v="772"/>
    <x v="71"/>
    <s v="WHATS"/>
    <n v="81245"/>
    <n v="2480"/>
    <m/>
    <m/>
    <m/>
    <x v="212"/>
    <m/>
  </r>
  <r>
    <n v="3017"/>
    <x v="62"/>
    <s v="WHATS"/>
    <n v="81260"/>
    <n v="1043.08"/>
    <m/>
    <m/>
    <m/>
    <x v="212"/>
    <m/>
  </r>
  <r>
    <n v="620"/>
    <x v="69"/>
    <s v="WHATS"/>
    <s v="8099/100138"/>
    <n v="1328.73"/>
    <m/>
    <m/>
    <m/>
    <x v="212"/>
    <m/>
  </r>
  <r>
    <n v="50418"/>
    <x v="35"/>
    <s v="WHATS"/>
    <n v="81284"/>
    <n v="1715.49"/>
    <m/>
    <m/>
    <m/>
    <x v="213"/>
    <m/>
  </r>
  <r>
    <n v="2397"/>
    <x v="6"/>
    <s v="WHATS"/>
    <n v="81309"/>
    <n v="1515"/>
    <m/>
    <m/>
    <m/>
    <x v="213"/>
    <m/>
  </r>
  <r>
    <n v="3475"/>
    <x v="59"/>
    <s v="WHATS"/>
    <n v="81010"/>
    <n v="1996.8"/>
    <m/>
    <m/>
    <m/>
    <x v="213"/>
    <m/>
  </r>
  <r>
    <n v="463"/>
    <x v="32"/>
    <s v="WHATS"/>
    <n v="81340"/>
    <n v="1224.45"/>
    <m/>
    <m/>
    <m/>
    <x v="214"/>
    <m/>
  </r>
  <r>
    <n v="906"/>
    <x v="27"/>
    <s v="WHATS"/>
    <s v="81342/100153"/>
    <n v="4819.07"/>
    <m/>
    <m/>
    <m/>
    <x v="214"/>
    <m/>
  </r>
  <r>
    <n v="575"/>
    <x v="45"/>
    <s v="WHATS"/>
    <n v="80937"/>
    <n v="1221.8499999999999"/>
    <m/>
    <m/>
    <m/>
    <x v="214"/>
    <m/>
  </r>
  <r>
    <n v="1122"/>
    <x v="87"/>
    <s v="EMAIL"/>
    <s v="81359/81360/80947"/>
    <n v="8870.5"/>
    <m/>
    <m/>
    <m/>
    <x v="214"/>
    <m/>
  </r>
  <r>
    <n v="1206"/>
    <x v="33"/>
    <s v="WHATS"/>
    <n v="81386"/>
    <n v="1097.79"/>
    <m/>
    <m/>
    <m/>
    <x v="215"/>
    <m/>
  </r>
  <r>
    <n v="325"/>
    <x v="97"/>
    <s v="WHATS"/>
    <s v="81384/100164"/>
    <n v="1457.9"/>
    <m/>
    <m/>
    <m/>
    <x v="215"/>
    <m/>
  </r>
  <r>
    <n v="1493"/>
    <x v="21"/>
    <s v="WHATS"/>
    <n v="81375"/>
    <n v="2023.08"/>
    <m/>
    <m/>
    <m/>
    <x v="215"/>
    <m/>
  </r>
  <r>
    <n v="480"/>
    <x v="39"/>
    <s v="WHATS"/>
    <n v="81256"/>
    <n v="1217.5999999999999"/>
    <m/>
    <m/>
    <m/>
    <x v="215"/>
    <m/>
  </r>
  <r>
    <n v="690"/>
    <x v="19"/>
    <s v="TEL"/>
    <s v="81393/100164"/>
    <n v="1901.6"/>
    <m/>
    <m/>
    <m/>
    <x v="215"/>
    <m/>
  </r>
  <r>
    <n v="746"/>
    <x v="3"/>
    <s v="TEL"/>
    <n v="81388"/>
    <n v="3937.67"/>
    <m/>
    <m/>
    <m/>
    <x v="215"/>
    <m/>
  </r>
  <r>
    <n v="687"/>
    <x v="16"/>
    <s v="WHATS"/>
    <n v="81413"/>
    <n v="360"/>
    <m/>
    <m/>
    <m/>
    <x v="215"/>
    <m/>
  </r>
  <r>
    <n v="784"/>
    <x v="13"/>
    <s v="WHATS"/>
    <n v="81426"/>
    <n v="8689"/>
    <m/>
    <m/>
    <m/>
    <x v="215"/>
    <m/>
  </r>
  <r>
    <n v="2911"/>
    <x v="15"/>
    <s v="WHATS"/>
    <s v="81423/100170"/>
    <n v="989.4"/>
    <m/>
    <m/>
    <m/>
    <x v="215"/>
    <m/>
  </r>
  <r>
    <n v="960"/>
    <x v="30"/>
    <s v="WHATS"/>
    <s v="100178/81400"/>
    <n v="1380.18"/>
    <m/>
    <m/>
    <m/>
    <x v="215"/>
    <m/>
  </r>
  <r>
    <n v="581"/>
    <x v="74"/>
    <s v="WHATS"/>
    <s v="100175/81434"/>
    <n v="2660.14"/>
    <m/>
    <m/>
    <m/>
    <x v="215"/>
    <m/>
  </r>
  <r>
    <n v="575"/>
    <x v="45"/>
    <s v="WHATS"/>
    <n v="80937"/>
    <n v="1090.7"/>
    <m/>
    <m/>
    <m/>
    <x v="216"/>
    <m/>
  </r>
  <r>
    <n v="1616"/>
    <x v="83"/>
    <s v="WHATS"/>
    <n v="81442"/>
    <n v="152"/>
    <m/>
    <m/>
    <m/>
    <x v="216"/>
    <m/>
  </r>
  <r>
    <n v="3018"/>
    <x v="64"/>
    <s v="WHATS"/>
    <n v="81290"/>
    <n v="377.8"/>
    <m/>
    <m/>
    <m/>
    <x v="216"/>
    <m/>
  </r>
  <r>
    <n v="500005"/>
    <x v="102"/>
    <s v="WHATS"/>
    <n v="81445"/>
    <n v="4290.3"/>
    <m/>
    <m/>
    <m/>
    <x v="216"/>
    <m/>
  </r>
  <r>
    <n v="412"/>
    <x v="90"/>
    <s v="EMAIL"/>
    <s v="100166/81454"/>
    <n v="418.1"/>
    <m/>
    <m/>
    <m/>
    <x v="216"/>
    <m/>
  </r>
  <r>
    <n v="432"/>
    <x v="43"/>
    <s v="WHATS"/>
    <n v="81009"/>
    <n v="4596.6000000000004"/>
    <m/>
    <m/>
    <m/>
    <x v="216"/>
    <m/>
  </r>
  <r>
    <n v="1164"/>
    <x v="58"/>
    <s v="WHATS"/>
    <n v="81461"/>
    <n v="930.03"/>
    <m/>
    <m/>
    <m/>
    <x v="216"/>
    <m/>
  </r>
  <r>
    <n v="1616"/>
    <x v="83"/>
    <s v="WHATS"/>
    <n v="81475"/>
    <n v="1960"/>
    <m/>
    <m/>
    <m/>
    <x v="216"/>
    <m/>
  </r>
  <r>
    <n v="784"/>
    <x v="13"/>
    <s v="WHATS"/>
    <n v="81477"/>
    <n v="544"/>
    <m/>
    <m/>
    <m/>
    <x v="216"/>
    <m/>
  </r>
  <r>
    <n v="761"/>
    <x v="24"/>
    <s v="WHATS"/>
    <s v="81480/100188"/>
    <n v="700.04"/>
    <m/>
    <m/>
    <m/>
    <x v="216"/>
    <m/>
  </r>
  <r>
    <n v="50794"/>
    <x v="125"/>
    <s v="WHATS"/>
    <s v="81482/100190"/>
    <n v="676.13"/>
    <m/>
    <m/>
    <m/>
    <x v="216"/>
    <m/>
  </r>
  <r>
    <n v="1502"/>
    <x v="76"/>
    <s v="WHATS"/>
    <n v="81489"/>
    <n v="2260"/>
    <m/>
    <m/>
    <m/>
    <x v="216"/>
    <m/>
  </r>
  <r>
    <n v="2980"/>
    <x v="40"/>
    <s v="WHATS"/>
    <s v="81507/100152"/>
    <n v="703.43"/>
    <m/>
    <m/>
    <m/>
    <x v="217"/>
    <m/>
  </r>
  <r>
    <n v="724"/>
    <x v="42"/>
    <s v="WHATS"/>
    <n v="81526"/>
    <n v="748.35"/>
    <m/>
    <m/>
    <m/>
    <x v="217"/>
    <m/>
  </r>
  <r>
    <n v="500243"/>
    <x v="110"/>
    <s v="WHATS"/>
    <n v="84518"/>
    <n v="602.54999999999995"/>
    <m/>
    <m/>
    <m/>
    <x v="217"/>
    <m/>
  </r>
  <r>
    <n v="3153"/>
    <x v="12"/>
    <s v="WHATS"/>
    <n v="81298"/>
    <n v="1381.2"/>
    <m/>
    <m/>
    <m/>
    <x v="217"/>
    <m/>
  </r>
  <r>
    <n v="1813"/>
    <x v="48"/>
    <s v="WHATS"/>
    <n v="81543"/>
    <n v="1379.4"/>
    <m/>
    <m/>
    <m/>
    <x v="217"/>
    <m/>
  </r>
  <r>
    <n v="960"/>
    <x v="30"/>
    <s v="WHATS"/>
    <n v="81596"/>
    <m/>
    <n v="8950"/>
    <n v="8950"/>
    <m/>
    <x v="218"/>
    <m/>
  </r>
  <r>
    <n v="311"/>
    <x v="46"/>
    <s v="WHATS"/>
    <n v="81598"/>
    <n v="1832"/>
    <m/>
    <m/>
    <m/>
    <x v="218"/>
    <m/>
  </r>
  <r>
    <n v="475"/>
    <x v="23"/>
    <s v="EMAIL"/>
    <s v="100206/81552"/>
    <n v="19691.009999999998"/>
    <m/>
    <m/>
    <m/>
    <x v="218"/>
    <m/>
  </r>
  <r>
    <n v="3194"/>
    <x v="18"/>
    <s v="WHATS"/>
    <s v="81096/100204"/>
    <n v="2713.4"/>
    <m/>
    <m/>
    <m/>
    <x v="218"/>
    <m/>
  </r>
  <r>
    <n v="500149"/>
    <x v="94"/>
    <s v="WHATS"/>
    <n v="81611"/>
    <n v="2473"/>
    <m/>
    <m/>
    <m/>
    <x v="218"/>
    <m/>
  </r>
  <r>
    <n v="762"/>
    <x v="41"/>
    <s v="WHATS"/>
    <n v="81016"/>
    <n v="1794"/>
    <m/>
    <m/>
    <m/>
    <x v="218"/>
    <m/>
  </r>
  <r>
    <n v="1813"/>
    <x v="48"/>
    <s v="WHATS"/>
    <n v="81647"/>
    <n v="57.8"/>
    <m/>
    <m/>
    <m/>
    <x v="219"/>
    <m/>
  </r>
  <r>
    <n v="3077"/>
    <x v="10"/>
    <s v="TEL"/>
    <n v="81659"/>
    <n v="364"/>
    <m/>
    <m/>
    <m/>
    <x v="219"/>
    <m/>
  </r>
  <r>
    <n v="516"/>
    <x v="11"/>
    <s v="EMAIL"/>
    <n v="81664"/>
    <n v="2572.2399999999998"/>
    <m/>
    <m/>
    <m/>
    <x v="219"/>
    <m/>
  </r>
  <r>
    <n v="3018"/>
    <x v="64"/>
    <s v="WHATS"/>
    <n v="81575"/>
    <n v="549"/>
    <m/>
    <m/>
    <m/>
    <x v="220"/>
    <m/>
  </r>
  <r>
    <n v="2702"/>
    <x v="73"/>
    <s v="WHATS"/>
    <n v="81687"/>
    <n v="2388.2399999999998"/>
    <m/>
    <m/>
    <m/>
    <x v="220"/>
    <m/>
  </r>
  <r>
    <n v="3077"/>
    <x v="10"/>
    <s v="WHATS"/>
    <n v="81690"/>
    <n v="164.2"/>
    <m/>
    <m/>
    <m/>
    <x v="220"/>
    <m/>
  </r>
  <r>
    <n v="1533"/>
    <x v="50"/>
    <s v="WHATS"/>
    <n v="81731"/>
    <n v="1628.1"/>
    <m/>
    <m/>
    <m/>
    <x v="221"/>
    <m/>
  </r>
  <r>
    <n v="1971"/>
    <x v="29"/>
    <s v="WHATS"/>
    <n v="81734"/>
    <n v="1298"/>
    <m/>
    <m/>
    <m/>
    <x v="221"/>
    <m/>
  </r>
  <r>
    <n v="823"/>
    <x v="17"/>
    <s v="WHATS"/>
    <s v="81011/100160"/>
    <n v="6016.8"/>
    <m/>
    <m/>
    <m/>
    <x v="221"/>
    <m/>
  </r>
  <r>
    <n v="712"/>
    <x v="124"/>
    <s v="WHATS"/>
    <n v="81748"/>
    <n v="355.6"/>
    <m/>
    <m/>
    <m/>
    <x v="221"/>
    <m/>
  </r>
  <r>
    <n v="1026"/>
    <x v="7"/>
    <s v="WHATS"/>
    <n v="81757"/>
    <n v="1210"/>
    <m/>
    <m/>
    <m/>
    <x v="221"/>
    <m/>
  </r>
  <r>
    <n v="432"/>
    <x v="43"/>
    <s v="WHATS"/>
    <n v="100233"/>
    <n v="178.25"/>
    <m/>
    <m/>
    <m/>
    <x v="221"/>
    <m/>
  </r>
  <r>
    <n v="500005"/>
    <x v="102"/>
    <s v="TEL"/>
    <n v="81758"/>
    <n v="2100"/>
    <m/>
    <m/>
    <m/>
    <x v="221"/>
    <m/>
  </r>
  <r>
    <n v="2415"/>
    <x v="63"/>
    <s v="WHATS"/>
    <n v="81699"/>
    <n v="1584"/>
    <m/>
    <m/>
    <m/>
    <x v="221"/>
    <m/>
  </r>
  <r>
    <n v="746"/>
    <x v="3"/>
    <s v="WHATS"/>
    <n v="81388"/>
    <n v="195"/>
    <m/>
    <m/>
    <m/>
    <x v="222"/>
    <m/>
  </r>
  <r>
    <n v="1206"/>
    <x v="33"/>
    <s v="WHATS"/>
    <n v="81800"/>
    <n v="675.84"/>
    <m/>
    <m/>
    <m/>
    <x v="222"/>
    <m/>
  </r>
  <r>
    <n v="687"/>
    <x v="16"/>
    <s v="WHATS"/>
    <n v="81896"/>
    <n v="398"/>
    <m/>
    <m/>
    <m/>
    <x v="222"/>
    <m/>
  </r>
  <r>
    <n v="3017"/>
    <x v="62"/>
    <s v="WHATS"/>
    <n v="81802"/>
    <n v="1183.33"/>
    <m/>
    <m/>
    <m/>
    <x v="222"/>
    <m/>
  </r>
  <r>
    <n v="463"/>
    <x v="32"/>
    <s v="WHATS"/>
    <n v="81789"/>
    <n v="1026.8699999999999"/>
    <m/>
    <m/>
    <m/>
    <x v="222"/>
    <m/>
  </r>
  <r>
    <n v="3018"/>
    <x v="64"/>
    <s v="WHATS"/>
    <n v="100143"/>
    <n v="404"/>
    <m/>
    <m/>
    <m/>
    <x v="222"/>
    <m/>
  </r>
  <r>
    <n v="197"/>
    <x v="99"/>
    <s v="WHATS"/>
    <n v="81801"/>
    <n v="1188.0999999999999"/>
    <m/>
    <m/>
    <m/>
    <x v="222"/>
    <m/>
  </r>
  <r>
    <n v="412"/>
    <x v="90"/>
    <s v="WHATS"/>
    <s v="100239/81823"/>
    <n v="336.65"/>
    <m/>
    <m/>
    <m/>
    <x v="222"/>
    <m/>
  </r>
  <r>
    <n v="475"/>
    <x v="23"/>
    <s v="EMAIL"/>
    <n v="81007"/>
    <n v="3283.4"/>
    <m/>
    <m/>
    <m/>
    <x v="223"/>
    <m/>
  </r>
  <r>
    <n v="1493"/>
    <x v="21"/>
    <s v="WHATS"/>
    <n v="81843"/>
    <n v="505.8"/>
    <m/>
    <m/>
    <m/>
    <x v="223"/>
    <m/>
  </r>
  <r>
    <n v="2022"/>
    <x v="28"/>
    <s v="WHATS"/>
    <s v="81852/ 81849"/>
    <n v="1134.6600000000001"/>
    <m/>
    <m/>
    <m/>
    <x v="223"/>
    <m/>
  </r>
  <r>
    <n v="1652"/>
    <x v="61"/>
    <s v="TEL"/>
    <s v="100234/81751"/>
    <n v="1714.3"/>
    <m/>
    <m/>
    <m/>
    <x v="223"/>
    <m/>
  </r>
  <r>
    <n v="704"/>
    <x v="49"/>
    <s v="WHATS"/>
    <n v="81689"/>
    <n v="2550"/>
    <m/>
    <m/>
    <m/>
    <x v="223"/>
    <m/>
  </r>
  <r>
    <n v="3190"/>
    <x v="60"/>
    <s v="WHATS"/>
    <n v="81528"/>
    <n v="1123.4000000000001"/>
    <m/>
    <m/>
    <m/>
    <x v="224"/>
    <m/>
  </r>
  <r>
    <n v="51175"/>
    <x v="79"/>
    <s v="WHATS"/>
    <n v="81878"/>
    <n v="556"/>
    <m/>
    <m/>
    <m/>
    <x v="224"/>
    <m/>
  </r>
  <r>
    <n v="1164"/>
    <x v="58"/>
    <s v="WHATS"/>
    <n v="81880"/>
    <n v="1798"/>
    <m/>
    <m/>
    <m/>
    <x v="224"/>
    <m/>
  </r>
  <r>
    <n v="50576"/>
    <x v="37"/>
    <s v="WHATS"/>
    <s v="81881/100249"/>
    <n v="2824.2"/>
    <m/>
    <m/>
    <m/>
    <x v="224"/>
    <m/>
  </r>
  <r>
    <n v="50219"/>
    <x v="14"/>
    <s v="WHATS"/>
    <n v="81915"/>
    <n v="741.3"/>
    <m/>
    <m/>
    <m/>
    <x v="225"/>
    <m/>
  </r>
  <r>
    <n v="432"/>
    <x v="43"/>
    <s v="WHATS"/>
    <n v="81914"/>
    <n v="1824"/>
    <m/>
    <m/>
    <m/>
    <x v="225"/>
    <m/>
  </r>
  <r>
    <n v="874"/>
    <x v="53"/>
    <s v="WHATS"/>
    <n v="80995"/>
    <n v="570.05999999999995"/>
    <m/>
    <m/>
    <m/>
    <x v="225"/>
    <m/>
  </r>
  <r>
    <n v="480"/>
    <x v="39"/>
    <s v="WHATS"/>
    <n v="81935"/>
    <n v="3907.2"/>
    <m/>
    <m/>
    <m/>
    <x v="225"/>
    <m/>
  </r>
  <r>
    <n v="500434"/>
    <x v="126"/>
    <s v="WHATS"/>
    <n v="81910"/>
    <n v="479"/>
    <m/>
    <m/>
    <m/>
    <x v="225"/>
    <m/>
  </r>
  <r>
    <n v="1623"/>
    <x v="57"/>
    <s v="WHATS"/>
    <s v="81665/81904"/>
    <n v="663.86"/>
    <m/>
    <m/>
    <m/>
    <x v="225"/>
    <m/>
  </r>
  <r>
    <n v="980"/>
    <x v="80"/>
    <s v="WHATS"/>
    <n v="81651"/>
    <n v="496.7"/>
    <m/>
    <m/>
    <m/>
    <x v="226"/>
    <m/>
  </r>
  <r>
    <n v="3240"/>
    <x v="75"/>
    <s v="WHATS"/>
    <s v="81975/100267"/>
    <n v="754.95"/>
    <m/>
    <m/>
    <m/>
    <x v="226"/>
    <m/>
  </r>
  <r>
    <n v="1726"/>
    <x v="34"/>
    <s v="EMAIL"/>
    <n v="81547"/>
    <n v="553.79999999999995"/>
    <m/>
    <m/>
    <m/>
    <x v="226"/>
    <m/>
  </r>
  <r>
    <n v="50728"/>
    <x v="84"/>
    <s v="WHATS"/>
    <n v="82023"/>
    <n v="526"/>
    <m/>
    <m/>
    <m/>
    <x v="227"/>
    <m/>
  </r>
  <r>
    <n v="712"/>
    <x v="124"/>
    <s v="WHATS"/>
    <n v="82023"/>
    <n v="1200"/>
    <m/>
    <m/>
    <m/>
    <x v="227"/>
    <m/>
  </r>
  <r>
    <n v="1206"/>
    <x v="33"/>
    <s v="WHATS"/>
    <n v="82061"/>
    <n v="1097.79"/>
    <m/>
    <m/>
    <m/>
    <x v="228"/>
    <m/>
  </r>
  <r>
    <n v="980"/>
    <x v="80"/>
    <s v="WHATS"/>
    <n v="82060"/>
    <n v="1001"/>
    <m/>
    <m/>
    <m/>
    <x v="228"/>
    <m/>
  </r>
  <r>
    <n v="741"/>
    <x v="85"/>
    <s v="WHATS"/>
    <n v="81783"/>
    <n v="704"/>
    <m/>
    <m/>
    <m/>
    <x v="228"/>
    <m/>
  </r>
  <r>
    <n v="2911"/>
    <x v="15"/>
    <s v="WHATS"/>
    <s v="82072/100288"/>
    <n v="2223.16"/>
    <m/>
    <m/>
    <m/>
    <x v="228"/>
    <m/>
  </r>
  <r>
    <n v="51042"/>
    <x v="106"/>
    <s v="WHATS"/>
    <n v="82087"/>
    <n v="277.11"/>
    <m/>
    <m/>
    <m/>
    <x v="229"/>
    <m/>
  </r>
  <r>
    <n v="50219"/>
    <x v="14"/>
    <s v="WHATS"/>
    <s v="82094/100296"/>
    <n v="3650.04"/>
    <m/>
    <m/>
    <m/>
    <x v="229"/>
    <m/>
  </r>
  <r>
    <n v="1206"/>
    <x v="33"/>
    <s v="WHATS"/>
    <n v="82104"/>
    <n v="929.01"/>
    <m/>
    <m/>
    <m/>
    <x v="229"/>
    <m/>
  </r>
  <r>
    <n v="3190"/>
    <x v="60"/>
    <s v="WHATS"/>
    <s v="82106/100196"/>
    <n v="289.2"/>
    <m/>
    <m/>
    <m/>
    <x v="229"/>
    <m/>
  </r>
  <r>
    <n v="620"/>
    <x v="69"/>
    <s v="WHATS"/>
    <n v="81593"/>
    <n v="386"/>
    <m/>
    <m/>
    <m/>
    <x v="229"/>
    <m/>
  </r>
  <r>
    <n v="2022"/>
    <x v="28"/>
    <s v="WHATS"/>
    <s v="82114/82120"/>
    <n v="2636.75"/>
    <m/>
    <m/>
    <m/>
    <x v="229"/>
    <m/>
  </r>
  <r>
    <n v="1493"/>
    <x v="21"/>
    <s v="TEL"/>
    <n v="82117"/>
    <n v="1443.23"/>
    <m/>
    <m/>
    <m/>
    <x v="229"/>
    <m/>
  </r>
  <r>
    <n v="690"/>
    <x v="19"/>
    <s v="WHATS"/>
    <s v="82105/81992"/>
    <n v="1277.5"/>
    <m/>
    <m/>
    <m/>
    <x v="230"/>
    <m/>
  </r>
  <r>
    <n v="772"/>
    <x v="71"/>
    <s v="WHATS"/>
    <s v="82130/100304"/>
    <n v="2392.3000000000002"/>
    <m/>
    <m/>
    <m/>
    <x v="230"/>
    <m/>
  </r>
  <r>
    <n v="1813"/>
    <x v="48"/>
    <s v="WHATS"/>
    <n v="82136"/>
    <n v="1812.65"/>
    <m/>
    <m/>
    <m/>
    <x v="230"/>
    <m/>
  </r>
  <r>
    <n v="784"/>
    <x v="13"/>
    <s v="EMAIL"/>
    <n v="82150"/>
    <n v="3517.34"/>
    <m/>
    <m/>
    <m/>
    <x v="230"/>
    <m/>
  </r>
  <r>
    <n v="761"/>
    <x v="24"/>
    <s v="WHATS"/>
    <s v="82165/100309"/>
    <n v="401"/>
    <m/>
    <m/>
    <m/>
    <x v="230"/>
    <m/>
  </r>
  <r>
    <n v="1842"/>
    <x v="47"/>
    <s v="WHATS"/>
    <s v="81999/100275"/>
    <n v="705.05"/>
    <m/>
    <m/>
    <m/>
    <x v="230"/>
    <m/>
  </r>
  <r>
    <n v="1533"/>
    <x v="50"/>
    <s v="WHATS"/>
    <n v="82194"/>
    <n v="615.5"/>
    <m/>
    <m/>
    <m/>
    <x v="231"/>
    <m/>
  </r>
  <r>
    <n v="704"/>
    <x v="49"/>
    <s v="WHATS"/>
    <s v="82228/100320"/>
    <n v="1963.02"/>
    <m/>
    <m/>
    <m/>
    <x v="231"/>
    <m/>
  </r>
  <r>
    <n v="1240"/>
    <x v="25"/>
    <s v="WHATS"/>
    <n v="82230"/>
    <n v="2608.6799999999998"/>
    <m/>
    <m/>
    <m/>
    <x v="231"/>
    <m/>
  </r>
  <r>
    <n v="762"/>
    <x v="41"/>
    <s v="EMAIL"/>
    <n v="82237"/>
    <n v="6436.6"/>
    <m/>
    <m/>
    <m/>
    <x v="231"/>
    <m/>
  </r>
  <r>
    <n v="725"/>
    <x v="65"/>
    <s v="EMAIL"/>
    <n v="82262"/>
    <n v="1062.4000000000001"/>
    <m/>
    <m/>
    <m/>
    <x v="232"/>
    <m/>
  </r>
  <r>
    <n v="475"/>
    <x v="23"/>
    <s v="EMAIL"/>
    <s v="81552/81007/82270"/>
    <n v="17488.41"/>
    <m/>
    <m/>
    <m/>
    <x v="233"/>
    <m/>
  </r>
  <r>
    <n v="412"/>
    <x v="90"/>
    <s v="TEL"/>
    <n v="82282"/>
    <n v="1021.6"/>
    <m/>
    <m/>
    <m/>
    <x v="234"/>
    <m/>
  </r>
  <r>
    <n v="784"/>
    <x v="13"/>
    <s v="WHATS"/>
    <n v="82338"/>
    <n v="1100"/>
    <m/>
    <m/>
    <m/>
    <x v="234"/>
    <m/>
  </r>
  <r>
    <n v="1206"/>
    <x v="33"/>
    <s v="WHATS"/>
    <n v="82326"/>
    <n v="390"/>
    <m/>
    <m/>
    <m/>
    <x v="234"/>
    <m/>
  </r>
  <r>
    <n v="50936"/>
    <x v="93"/>
    <s v="WHATS"/>
    <n v="82321"/>
    <n v="592.5"/>
    <m/>
    <m/>
    <m/>
    <x v="233"/>
    <m/>
  </r>
  <r>
    <n v="618"/>
    <x v="26"/>
    <s v="WHATS"/>
    <s v="82199/100313"/>
    <n v="6078.24"/>
    <m/>
    <m/>
    <m/>
    <x v="234"/>
    <m/>
  </r>
  <r>
    <n v="432"/>
    <x v="43"/>
    <s v="WHATS"/>
    <s v="82330/100339"/>
    <n v="7688.16"/>
    <m/>
    <m/>
    <m/>
    <x v="234"/>
    <m/>
  </r>
  <r>
    <n v="50554"/>
    <x v="20"/>
    <s v="WHATS"/>
    <s v="82351/100344"/>
    <n v="7132.98"/>
    <m/>
    <m/>
    <m/>
    <x v="234"/>
    <m/>
  </r>
  <r>
    <n v="575"/>
    <x v="45"/>
    <s v="WHATS"/>
    <s v="100343/82343"/>
    <n v="974.6"/>
    <m/>
    <m/>
    <m/>
    <x v="234"/>
    <m/>
  </r>
  <r>
    <n v="500243"/>
    <x v="110"/>
    <s v="TEL"/>
    <n v="82395"/>
    <n v="438.3"/>
    <m/>
    <m/>
    <m/>
    <x v="234"/>
    <m/>
  </r>
  <r>
    <n v="3153"/>
    <x v="12"/>
    <s v="WHATS"/>
    <n v="82400"/>
    <n v="2213.2199999999998"/>
    <m/>
    <m/>
    <m/>
    <x v="234"/>
    <m/>
  </r>
  <r>
    <n v="50554"/>
    <x v="20"/>
    <s v="WHATS"/>
    <n v="82386"/>
    <n v="24898.799999999999"/>
    <m/>
    <m/>
    <m/>
    <x v="234"/>
    <m/>
  </r>
  <r>
    <n v="690"/>
    <x v="19"/>
    <s v="WHATS"/>
    <s v="82391/100353/82387"/>
    <n v="13199.15"/>
    <m/>
    <m/>
    <m/>
    <x v="234"/>
    <m/>
  </r>
  <r>
    <n v="3475"/>
    <x v="59"/>
    <s v="WHATS"/>
    <s v="81010/82409"/>
    <n v="746.9"/>
    <m/>
    <m/>
    <m/>
    <x v="234"/>
    <m/>
  </r>
  <r>
    <n v="500005"/>
    <x v="102"/>
    <s v="WHATS"/>
    <n v="81993"/>
    <m/>
    <m/>
    <n v="2100"/>
    <m/>
    <x v="235"/>
    <m/>
  </r>
  <r>
    <n v="50576"/>
    <x v="37"/>
    <s v="WHATS"/>
    <n v="82306"/>
    <m/>
    <m/>
    <n v="1520"/>
    <m/>
    <x v="235"/>
    <m/>
  </r>
  <r>
    <n v="1026"/>
    <x v="7"/>
    <s v="WHATS"/>
    <n v="82429"/>
    <n v="416.2"/>
    <m/>
    <m/>
    <m/>
    <x v="235"/>
    <m/>
  </r>
  <r>
    <n v="325"/>
    <x v="97"/>
    <s v="WHATS"/>
    <n v="82457"/>
    <n v="2194.19"/>
    <m/>
    <m/>
    <m/>
    <x v="235"/>
    <m/>
  </r>
  <r>
    <n v="50418"/>
    <x v="35"/>
    <s v="WHATS"/>
    <n v="82424"/>
    <n v="1438.64"/>
    <m/>
    <m/>
    <m/>
    <x v="236"/>
    <m/>
  </r>
  <r>
    <n v="311"/>
    <x v="46"/>
    <s v="WHATS"/>
    <n v="82375"/>
    <n v="2569"/>
    <m/>
    <m/>
    <m/>
    <x v="236"/>
    <m/>
  </r>
  <r>
    <n v="234"/>
    <x v="127"/>
    <s v="WHATS"/>
    <n v="82045"/>
    <n v="448"/>
    <m/>
    <m/>
    <m/>
    <x v="236"/>
    <m/>
  </r>
  <r>
    <n v="3194"/>
    <x v="18"/>
    <s v="WHATS"/>
    <n v="82475"/>
    <n v="4751.5"/>
    <m/>
    <m/>
    <m/>
    <x v="236"/>
    <m/>
  </r>
  <r>
    <n v="50554"/>
    <x v="20"/>
    <s v="WHATS"/>
    <n v="82471"/>
    <n v="5421"/>
    <m/>
    <m/>
    <m/>
    <x v="236"/>
    <m/>
  </r>
  <r>
    <n v="575"/>
    <x v="45"/>
    <s v="WHATS"/>
    <s v="82343/100343"/>
    <n v="930.99"/>
    <m/>
    <m/>
    <m/>
    <x v="236"/>
    <m/>
  </r>
  <r>
    <n v="3077"/>
    <x v="10"/>
    <s v="WHATS"/>
    <n v="82480"/>
    <n v="823.05"/>
    <m/>
    <m/>
    <m/>
    <x v="236"/>
    <m/>
  </r>
  <r>
    <n v="618"/>
    <x v="26"/>
    <s v="WHATS"/>
    <n v="82494"/>
    <n v="289"/>
    <m/>
    <m/>
    <m/>
    <x v="236"/>
    <m/>
  </r>
  <r>
    <n v="906"/>
    <x v="27"/>
    <s v="WHATS"/>
    <s v=" 82492/ 100364"/>
    <n v="2466.69"/>
    <m/>
    <m/>
    <m/>
    <x v="236"/>
    <m/>
  </r>
  <r>
    <n v="432"/>
    <x v="43"/>
    <s v="WHATS"/>
    <n v="82440"/>
    <n v="124.62"/>
    <m/>
    <m/>
    <m/>
    <x v="236"/>
    <m/>
  </r>
  <r>
    <n v="581"/>
    <x v="74"/>
    <s v="WHATS"/>
    <n v="82403"/>
    <n v="934"/>
    <m/>
    <m/>
    <m/>
    <x v="237"/>
    <m/>
  </r>
  <r>
    <n v="1371"/>
    <x v="119"/>
    <s v="WHATS"/>
    <n v="82517"/>
    <n v="1949.2"/>
    <m/>
    <m/>
    <m/>
    <x v="237"/>
    <m/>
  </r>
  <r>
    <n v="1971"/>
    <x v="29"/>
    <s v="WHATS"/>
    <s v="82524/100369"/>
    <n v="820.45"/>
    <m/>
    <m/>
    <m/>
    <x v="237"/>
    <m/>
  </r>
  <r>
    <n v="746"/>
    <x v="3"/>
    <s v="TEL"/>
    <s v="82572/82530"/>
    <n v="5723.64"/>
    <m/>
    <m/>
    <m/>
    <x v="237"/>
    <m/>
  </r>
  <r>
    <n v="480"/>
    <x v="39"/>
    <s v="WHATS"/>
    <s v="82546/100376"/>
    <n v="4033.5"/>
    <m/>
    <m/>
    <m/>
    <x v="237"/>
    <m/>
  </r>
  <r>
    <n v="50576"/>
    <x v="37"/>
    <s v="WHATS"/>
    <s v="81881/82553"/>
    <n v="1171.45"/>
    <m/>
    <m/>
    <m/>
    <x v="237"/>
    <m/>
  </r>
  <r>
    <n v="475"/>
    <x v="23"/>
    <s v="EMAIL"/>
    <s v="/82566/82461"/>
    <n v="8213.98"/>
    <m/>
    <m/>
    <m/>
    <x v="238"/>
    <m/>
  </r>
  <r>
    <n v="784"/>
    <x v="13"/>
    <s v="WHATS"/>
    <n v="82581"/>
    <n v="8968.5"/>
    <m/>
    <m/>
    <m/>
    <x v="238"/>
    <m/>
  </r>
  <r>
    <n v="311"/>
    <x v="46"/>
    <s v="WHATS"/>
    <n v="82586"/>
    <n v="2519.06"/>
    <m/>
    <m/>
    <m/>
    <x v="238"/>
    <m/>
  </r>
  <r>
    <n v="2022"/>
    <x v="28"/>
    <s v="WHATS"/>
    <n v="82243"/>
    <n v="2458.36"/>
    <m/>
    <m/>
    <m/>
    <x v="238"/>
    <m/>
  </r>
  <r>
    <n v="620"/>
    <x v="69"/>
    <s v="WHATS"/>
    <n v="82607"/>
    <n v="1725.78"/>
    <m/>
    <m/>
    <m/>
    <x v="238"/>
    <m/>
  </r>
  <r>
    <n v="1533"/>
    <x v="50"/>
    <s v="WHATS"/>
    <n v="82608"/>
    <n v="1073.5"/>
    <m/>
    <m/>
    <m/>
    <x v="238"/>
    <m/>
  </r>
  <r>
    <n v="1206"/>
    <x v="33"/>
    <s v="TEL"/>
    <n v="82612"/>
    <n v="1002.33"/>
    <m/>
    <m/>
    <m/>
    <x v="239"/>
    <m/>
  </r>
  <r>
    <n v="50576"/>
    <x v="37"/>
    <s v="WHATS"/>
    <n v="82611"/>
    <n v="702"/>
    <m/>
    <m/>
    <m/>
    <x v="239"/>
    <m/>
  </r>
  <r>
    <n v="687"/>
    <x v="16"/>
    <s v="WHATS"/>
    <n v="82466"/>
    <n v="571.54999999999995"/>
    <m/>
    <m/>
    <m/>
    <x v="239"/>
    <m/>
  </r>
  <r>
    <n v="516"/>
    <x v="11"/>
    <s v="WHATS"/>
    <s v="82235/81664"/>
    <n v="7579.3"/>
    <m/>
    <m/>
    <m/>
    <x v="239"/>
    <m/>
  </r>
  <r>
    <n v="1164"/>
    <x v="58"/>
    <s v="WHATS"/>
    <s v="82686/100399"/>
    <n v="977.97"/>
    <m/>
    <m/>
    <m/>
    <x v="240"/>
    <m/>
  </r>
  <r>
    <n v="50219"/>
    <x v="14"/>
    <s v="WHATS"/>
    <n v="82697"/>
    <n v="1225"/>
    <m/>
    <m/>
    <m/>
    <x v="240"/>
    <m/>
  </r>
  <r>
    <n v="516"/>
    <x v="11"/>
    <s v="EMAIL"/>
    <n v="82696"/>
    <n v="7733.08"/>
    <m/>
    <m/>
    <m/>
    <x v="240"/>
    <m/>
  </r>
  <r>
    <n v="50185"/>
    <x v="105"/>
    <s v="WHATS"/>
    <n v="82693"/>
    <n v="238.2"/>
    <m/>
    <m/>
    <m/>
    <x v="240"/>
    <m/>
  </r>
  <r>
    <n v="1726"/>
    <x v="34"/>
    <s v="EMAIL"/>
    <n v="82700"/>
    <n v="390.7"/>
    <m/>
    <m/>
    <m/>
    <x v="240"/>
    <m/>
  </r>
  <r>
    <n v="906"/>
    <x v="27"/>
    <s v="WHATS"/>
    <n v="82709"/>
    <n v="1404"/>
    <m/>
    <m/>
    <m/>
    <x v="240"/>
    <m/>
  </r>
  <r>
    <n v="311"/>
    <x v="46"/>
    <s v="WHATS"/>
    <s v="100349/82724"/>
    <n v="3459.3"/>
    <m/>
    <m/>
    <m/>
    <x v="240"/>
    <m/>
  </r>
  <r>
    <n v="761"/>
    <x v="24"/>
    <s v="WHATS"/>
    <s v="82726/100309"/>
    <n v="304"/>
    <m/>
    <m/>
    <m/>
    <x v="240"/>
    <m/>
  </r>
  <r>
    <n v="2702"/>
    <x v="73"/>
    <s v="WHATS"/>
    <n v="81768"/>
    <n v="2173.38"/>
    <m/>
    <m/>
    <m/>
    <x v="241"/>
    <m/>
  </r>
  <r>
    <n v="705"/>
    <x v="1"/>
    <s v="TEL"/>
    <s v="82638/100393"/>
    <n v="1406.1"/>
    <m/>
    <m/>
    <m/>
    <x v="241"/>
    <m/>
  </r>
  <r>
    <n v="3017"/>
    <x v="62"/>
    <s v="WHATS"/>
    <n v="82758"/>
    <n v="849.38"/>
    <m/>
    <m/>
    <m/>
    <x v="241"/>
    <m/>
  </r>
  <r>
    <n v="1493"/>
    <x v="21"/>
    <s v="TEL"/>
    <n v="82762"/>
    <n v="1966.05"/>
    <m/>
    <m/>
    <m/>
    <x v="241"/>
    <m/>
  </r>
  <r>
    <n v="581"/>
    <x v="74"/>
    <s v="EMAIL"/>
    <s v="100401/82711"/>
    <n v="565.35"/>
    <m/>
    <m/>
    <m/>
    <x v="241"/>
    <m/>
  </r>
  <r>
    <n v="1616"/>
    <x v="83"/>
    <s v="WHATS"/>
    <n v="82775"/>
    <n v="854.2"/>
    <m/>
    <m/>
    <m/>
    <x v="242"/>
    <m/>
  </r>
  <r>
    <n v="1240"/>
    <x v="25"/>
    <s v="WHATS"/>
    <n v="82801"/>
    <n v="2216.35"/>
    <m/>
    <m/>
    <m/>
    <x v="242"/>
    <m/>
  </r>
  <r>
    <n v="708"/>
    <x v="56"/>
    <s v="WHATS"/>
    <s v="100421/82805"/>
    <n v="2168.0300000000002"/>
    <m/>
    <m/>
    <m/>
    <x v="242"/>
    <m/>
  </r>
  <r>
    <n v="762"/>
    <x v="41"/>
    <s v="WHATS"/>
    <n v="82025"/>
    <n v="3904.6"/>
    <m/>
    <m/>
    <m/>
    <x v="242"/>
    <m/>
  </r>
  <r>
    <n v="784"/>
    <x v="13"/>
    <s v="WHATS"/>
    <n v="82820"/>
    <n v="1488"/>
    <m/>
    <m/>
    <m/>
    <x v="242"/>
    <m/>
  </r>
  <r>
    <n v="1122"/>
    <x v="87"/>
    <s v="WHATS"/>
    <n v="82825"/>
    <n v="4724.7"/>
    <m/>
    <s v=" "/>
    <m/>
    <x v="243"/>
    <m/>
  </r>
  <r>
    <n v="980"/>
    <x v="80"/>
    <s v="WHATS"/>
    <s v="82299/82060"/>
    <n v="787.3"/>
    <m/>
    <m/>
    <m/>
    <x v="243"/>
    <m/>
  </r>
  <r>
    <n v="823"/>
    <x v="17"/>
    <s v="WHATS"/>
    <n v="82025"/>
    <n v="7177.7"/>
    <m/>
    <m/>
    <m/>
    <x v="243"/>
    <m/>
  </r>
  <r>
    <n v="2022"/>
    <x v="28"/>
    <s v="WHATS"/>
    <m/>
    <n v="404"/>
    <m/>
    <m/>
    <m/>
    <x v="243"/>
    <m/>
  </r>
  <r>
    <n v="475"/>
    <x v="23"/>
    <s v="EMAIL"/>
    <s v="100391/82852"/>
    <n v="23529.9"/>
    <m/>
    <m/>
    <m/>
    <x v="244"/>
    <m/>
  </r>
  <r>
    <n v="690"/>
    <x v="19"/>
    <s v="WHATS"/>
    <n v="100432"/>
    <n v="34.799999999999997"/>
    <m/>
    <m/>
    <m/>
    <x v="244"/>
    <m/>
  </r>
  <r>
    <n v="1206"/>
    <x v="33"/>
    <s v="WHATS"/>
    <n v="82887"/>
    <n v="929.01"/>
    <m/>
    <m/>
    <m/>
    <x v="244"/>
    <m/>
  </r>
  <r>
    <n v="2163"/>
    <x v="36"/>
    <s v="WHATS"/>
    <n v="82890"/>
    <n v="486.9"/>
    <m/>
    <m/>
    <m/>
    <x v="244"/>
    <m/>
  </r>
  <r>
    <n v="1813"/>
    <x v="48"/>
    <s v="WHATS"/>
    <n v="82893"/>
    <n v="915"/>
    <m/>
    <m/>
    <m/>
    <x v="244"/>
    <m/>
  </r>
  <r>
    <n v="1842"/>
    <x v="47"/>
    <s v="WHATS"/>
    <n v="82900"/>
    <n v="136"/>
    <m/>
    <m/>
    <m/>
    <x v="244"/>
    <m/>
  </r>
  <r>
    <n v="822"/>
    <x v="66"/>
    <s v="WHATS"/>
    <s v="100434/82905/82901"/>
    <n v="4095.15"/>
    <m/>
    <m/>
    <m/>
    <x v="244"/>
    <m/>
  </r>
  <r>
    <n v="463"/>
    <x v="32"/>
    <s v="WHATS"/>
    <n v="82909"/>
    <n v="2177.7800000000002"/>
    <m/>
    <m/>
    <m/>
    <x v="245"/>
    <m/>
  </r>
  <r>
    <n v="50554"/>
    <x v="20"/>
    <s v="WHATS"/>
    <n v="82920"/>
    <m/>
    <m/>
    <n v="1695"/>
    <m/>
    <x v="245"/>
    <m/>
  </r>
  <r>
    <n v="1813"/>
    <x v="48"/>
    <s v="WHATS"/>
    <n v="82912"/>
    <n v="274.39999999999998"/>
    <m/>
    <m/>
    <m/>
    <x v="245"/>
    <m/>
  </r>
  <r>
    <n v="50554"/>
    <x v="20"/>
    <s v="WHATS"/>
    <n v="82946"/>
    <n v="104"/>
    <m/>
    <m/>
    <m/>
    <x v="245"/>
    <m/>
  </r>
  <r>
    <n v="516"/>
    <x v="11"/>
    <s v="WHATS"/>
    <n v="82947"/>
    <n v="1838.5"/>
    <m/>
    <m/>
    <m/>
    <x v="245"/>
    <m/>
  </r>
  <r>
    <n v="1989"/>
    <x v="67"/>
    <s v="WHATS"/>
    <n v="82302"/>
    <n v="606.13"/>
    <m/>
    <m/>
    <m/>
    <x v="245"/>
    <m/>
  </r>
  <r>
    <n v="50554"/>
    <x v="20"/>
    <s v="WHATS"/>
    <n v="82303"/>
    <n v="189"/>
    <m/>
    <m/>
    <m/>
    <x v="245"/>
    <m/>
  </r>
  <r>
    <n v="690"/>
    <x v="19"/>
    <s v="WHATS"/>
    <n v="82294"/>
    <n v="189"/>
    <m/>
    <m/>
    <m/>
    <x v="245"/>
    <m/>
  </r>
  <r>
    <n v="2415"/>
    <x v="63"/>
    <s v="WHATS"/>
    <n v="82959"/>
    <n v="1487.44"/>
    <m/>
    <m/>
    <m/>
    <x v="245"/>
    <m/>
  </r>
  <r>
    <n v="500481"/>
    <x v="128"/>
    <s v="WHATS"/>
    <n v="82969"/>
    <n v="980.7"/>
    <m/>
    <m/>
    <m/>
    <x v="245"/>
    <m/>
  </r>
  <r>
    <n v="1533"/>
    <x v="50"/>
    <s v="WHATS"/>
    <n v="82977"/>
    <n v="1054.25"/>
    <m/>
    <m/>
    <m/>
    <x v="246"/>
    <m/>
  </r>
  <r>
    <n v="3194"/>
    <x v="18"/>
    <s v="WHATS"/>
    <n v="82986"/>
    <n v="360"/>
    <m/>
    <m/>
    <m/>
    <x v="246"/>
    <m/>
  </r>
  <r>
    <n v="475"/>
    <x v="23"/>
    <s v="EMAIL"/>
    <n v="82988"/>
    <n v="9300"/>
    <m/>
    <m/>
    <m/>
    <x v="246"/>
    <m/>
  </r>
  <r>
    <n v="705"/>
    <x v="1"/>
    <s v="TEL"/>
    <n v="82850"/>
    <n v="420.2"/>
    <m/>
    <m/>
    <m/>
    <x v="246"/>
    <m/>
  </r>
  <r>
    <n v="50576"/>
    <x v="37"/>
    <s v="WHATS"/>
    <n v="82982"/>
    <n v="2509.9"/>
    <m/>
    <m/>
    <m/>
    <x v="246"/>
    <m/>
  </r>
  <r>
    <n v="1206"/>
    <x v="33"/>
    <s v="WHATS"/>
    <n v="82999"/>
    <n v="929.01"/>
    <m/>
    <m/>
    <m/>
    <x v="246"/>
    <m/>
  </r>
  <r>
    <n v="480"/>
    <x v="39"/>
    <s v="WHATS"/>
    <n v="83009"/>
    <n v="3420.7"/>
    <m/>
    <m/>
    <m/>
    <x v="246"/>
    <m/>
  </r>
  <r>
    <n v="2702"/>
    <x v="73"/>
    <s v="WHATS"/>
    <n v="82995"/>
    <n v="480"/>
    <m/>
    <m/>
    <m/>
    <x v="246"/>
    <m/>
  </r>
  <r>
    <n v="480"/>
    <x v="39"/>
    <s v="WHATS"/>
    <n v="83009"/>
    <n v="3615.7"/>
    <m/>
    <m/>
    <m/>
    <x v="246"/>
    <m/>
  </r>
  <r>
    <n v="3017"/>
    <x v="62"/>
    <s v="WHATS"/>
    <n v="82990"/>
    <n v="1111.8800000000001"/>
    <m/>
    <m/>
    <m/>
    <x v="246"/>
    <m/>
  </r>
  <r>
    <n v="311"/>
    <x v="46"/>
    <s v="WHATS"/>
    <n v="83017"/>
    <n v="2176.5"/>
    <m/>
    <m/>
    <m/>
    <x v="246"/>
    <m/>
  </r>
  <r>
    <n v="762"/>
    <x v="41"/>
    <s v="EMAIL"/>
    <n v="83019"/>
    <n v="3396.1"/>
    <m/>
    <m/>
    <m/>
    <x v="246"/>
    <m/>
  </r>
  <r>
    <n v="2022"/>
    <x v="28"/>
    <s v="WHATS"/>
    <n v="83034"/>
    <n v="397.82"/>
    <m/>
    <m/>
    <m/>
    <x v="246"/>
    <m/>
  </r>
  <r>
    <n v="1026"/>
    <x v="7"/>
    <s v="WHATS"/>
    <n v="83054"/>
    <n v="750"/>
    <m/>
    <m/>
    <m/>
    <x v="247"/>
    <m/>
  </r>
  <r>
    <n v="1905"/>
    <x v="107"/>
    <s v="WHATS"/>
    <n v="83065"/>
    <n v="674"/>
    <m/>
    <m/>
    <m/>
    <x v="247"/>
    <m/>
  </r>
  <r>
    <n v="1164"/>
    <x v="58"/>
    <s v="WHATS"/>
    <s v="83050/100457"/>
    <n v="508.23"/>
    <m/>
    <m/>
    <m/>
    <x v="247"/>
    <m/>
  </r>
  <r>
    <n v="690"/>
    <x v="19"/>
    <s v="WHATS"/>
    <s v="100460/83060"/>
    <n v="294.39"/>
    <m/>
    <m/>
    <m/>
    <x v="247"/>
    <m/>
  </r>
  <r>
    <n v="572"/>
    <x v="51"/>
    <s v="WHATS"/>
    <n v="83055"/>
    <n v="748.35"/>
    <m/>
    <m/>
    <m/>
    <x v="247"/>
    <m/>
  </r>
  <r>
    <n v="2198"/>
    <x v="92"/>
    <s v="WHATS"/>
    <n v="83052"/>
    <n v="7593.2"/>
    <m/>
    <m/>
    <m/>
    <x v="247"/>
    <m/>
  </r>
  <r>
    <n v="2911"/>
    <x v="15"/>
    <s v="WHATS"/>
    <s v="83070/100465"/>
    <n v="1184.55"/>
    <m/>
    <m/>
    <m/>
    <x v="247"/>
    <m/>
  </r>
  <r>
    <n v="412"/>
    <x v="90"/>
    <s v="WHATS"/>
    <s v="83073/100456"/>
    <n v="736.2"/>
    <m/>
    <m/>
    <m/>
    <x v="247"/>
    <m/>
  </r>
  <r>
    <n v="761"/>
    <x v="24"/>
    <s v="WHATS"/>
    <n v="83099"/>
    <n v="296"/>
    <m/>
    <m/>
    <m/>
    <x v="247"/>
    <m/>
  </r>
  <r>
    <n v="1058"/>
    <x v="5"/>
    <s v="WHATS"/>
    <n v="83072"/>
    <n v="15524.4"/>
    <m/>
    <m/>
    <m/>
    <x v="247"/>
    <m/>
  </r>
  <r>
    <n v="50418"/>
    <x v="35"/>
    <s v="WHATS"/>
    <n v="83096"/>
    <n v="84"/>
    <m/>
    <m/>
    <m/>
    <x v="247"/>
    <m/>
  </r>
  <r>
    <n v="906"/>
    <x v="27"/>
    <s v="WHATS"/>
    <n v="83103"/>
    <n v="4542.1000000000004"/>
    <m/>
    <m/>
    <m/>
    <x v="248"/>
    <m/>
  </r>
  <r>
    <n v="772"/>
    <x v="71"/>
    <s v="WHATS"/>
    <s v="83049/100477"/>
    <n v="3697.7"/>
    <m/>
    <m/>
    <m/>
    <x v="248"/>
    <m/>
  </r>
  <r>
    <n v="663"/>
    <x v="116"/>
    <s v="WHATS"/>
    <n v="83120"/>
    <n v="2069.3200000000002"/>
    <m/>
    <m/>
    <m/>
    <x v="248"/>
    <m/>
  </r>
  <r>
    <n v="311"/>
    <x v="46"/>
    <s v="WHATS"/>
    <n v="83139"/>
    <n v="4908"/>
    <m/>
    <m/>
    <m/>
    <x v="249"/>
    <m/>
  </r>
  <r>
    <n v="572"/>
    <x v="51"/>
    <s v="WHATS"/>
    <s v="83107/83055"/>
    <n v="599.62"/>
    <m/>
    <m/>
    <m/>
    <x v="250"/>
    <m/>
  </r>
  <r>
    <n v="2752"/>
    <x v="120"/>
    <s v="WHATS"/>
    <n v="83169"/>
    <n v="816.5"/>
    <m/>
    <m/>
    <m/>
    <x v="250"/>
    <m/>
  </r>
  <r>
    <n v="311"/>
    <x v="46"/>
    <s v="WHATS"/>
    <n v="83195"/>
    <n v="8100"/>
    <m/>
    <m/>
    <m/>
    <x v="250"/>
    <m/>
  </r>
  <r>
    <n v="2980"/>
    <x v="40"/>
    <s v="WHATS"/>
    <s v="83199/100491"/>
    <n v="1526.05"/>
    <m/>
    <m/>
    <m/>
    <x v="250"/>
    <m/>
  </r>
  <r>
    <n v="3475"/>
    <x v="59"/>
    <s v="WHATS"/>
    <s v="83210/82409 /"/>
    <n v="719.85"/>
    <m/>
    <m/>
    <m/>
    <x v="251"/>
    <m/>
  </r>
  <r>
    <n v="575"/>
    <x v="45"/>
    <s v="WHATS"/>
    <s v="82343/83222"/>
    <n v="230.06"/>
    <m/>
    <m/>
    <m/>
    <x v="251"/>
    <m/>
  </r>
  <r>
    <n v="500481"/>
    <x v="128"/>
    <s v="WHATS"/>
    <n v="82969"/>
    <n v="1331.13"/>
    <m/>
    <m/>
    <m/>
    <x v="251"/>
    <m/>
  </r>
  <r>
    <n v="761"/>
    <x v="24"/>
    <s v="WHATS"/>
    <s v="83231/100469"/>
    <n v="5348.78"/>
    <m/>
    <m/>
    <m/>
    <x v="251"/>
    <m/>
  </r>
  <r>
    <n v="1905"/>
    <x v="107"/>
    <s v="WHATS"/>
    <n v="82744"/>
    <n v="269"/>
    <m/>
    <m/>
    <m/>
    <x v="251"/>
    <m/>
  </r>
  <r>
    <n v="1616"/>
    <x v="83"/>
    <s v="WHATS"/>
    <n v="83226"/>
    <n v="2185.5"/>
    <m/>
    <m/>
    <m/>
    <x v="251"/>
    <m/>
  </r>
  <r>
    <n v="784"/>
    <x v="13"/>
    <s v="EMAIL"/>
    <n v="83249"/>
    <n v="3064.05"/>
    <m/>
    <m/>
    <m/>
    <x v="251"/>
    <m/>
  </r>
  <r>
    <n v="746"/>
    <x v="3"/>
    <s v="TEL"/>
    <s v="83260 /100503"/>
    <n v="3914.67"/>
    <m/>
    <m/>
    <m/>
    <x v="251"/>
    <m/>
  </r>
  <r>
    <n v="311"/>
    <x v="46"/>
    <s v="WHATS"/>
    <s v="83285/83268"/>
    <n v="6825"/>
    <m/>
    <m/>
    <m/>
    <x v="252"/>
    <m/>
  </r>
  <r>
    <n v="980"/>
    <x v="80"/>
    <s v="WHATS"/>
    <s v="83213/82060"/>
    <n v="933.3"/>
    <m/>
    <m/>
    <m/>
    <x v="252"/>
    <m/>
  </r>
  <r>
    <n v="3153"/>
    <x v="12"/>
    <s v="WHATS"/>
    <s v="83292/82400"/>
    <n v="3326.06"/>
    <m/>
    <m/>
    <m/>
    <x v="252"/>
    <m/>
  </r>
  <r>
    <n v="1240"/>
    <x v="25"/>
    <s v="WHATS"/>
    <s v="83295/82230"/>
    <n v="471.12"/>
    <m/>
    <m/>
    <m/>
    <x v="252"/>
    <m/>
  </r>
  <r>
    <n v="516"/>
    <x v="11"/>
    <s v="WHATS"/>
    <s v="81020/82696"/>
    <n v="238.82"/>
    <m/>
    <m/>
    <m/>
    <x v="252"/>
    <m/>
  </r>
  <r>
    <n v="50554"/>
    <x v="20"/>
    <s v="WHATS"/>
    <s v="83408/100527"/>
    <n v="7084.1"/>
    <m/>
    <m/>
    <m/>
    <x v="253"/>
    <m/>
  </r>
  <r>
    <n v="1206"/>
    <x v="33"/>
    <s v="WHATS"/>
    <n v="83426"/>
    <n v="1097.79"/>
    <m/>
    <m/>
    <m/>
    <x v="253"/>
    <m/>
  </r>
  <r>
    <n v="905"/>
    <x v="72"/>
    <s v="TEL"/>
    <s v="100535/83439"/>
    <n v="609.15"/>
    <m/>
    <m/>
    <m/>
    <x v="253"/>
    <m/>
  </r>
  <r>
    <n v="3194"/>
    <x v="18"/>
    <s v="WHATS"/>
    <n v="83441"/>
    <n v="978.8"/>
    <m/>
    <m/>
    <m/>
    <x v="253"/>
    <m/>
  </r>
  <r>
    <n v="690"/>
    <x v="19"/>
    <s v="WHATS"/>
    <s v="83431/100534"/>
    <n v="2173.7399999999998"/>
    <m/>
    <m/>
    <m/>
    <x v="253"/>
    <m/>
  </r>
  <r>
    <n v="704"/>
    <x v="49"/>
    <s v="WHATS"/>
    <s v="83039/82228/100517/100320"/>
    <n v="2012.79"/>
    <m/>
    <m/>
    <m/>
    <x v="253"/>
    <m/>
  </r>
  <r>
    <n v="1240"/>
    <x v="25"/>
    <s v="WHATS"/>
    <n v="83447"/>
    <n v="1056"/>
    <m/>
    <m/>
    <m/>
    <x v="253"/>
    <m/>
  </r>
  <r>
    <n v="50576"/>
    <x v="37"/>
    <s v="WHATS"/>
    <s v="83414/82982/100528"/>
    <n v="1383"/>
    <m/>
    <m/>
    <m/>
    <x v="254"/>
    <m/>
  </r>
  <r>
    <n v="50418"/>
    <x v="35"/>
    <s v="WHATS"/>
    <n v="83468"/>
    <n v="2376.15"/>
    <m/>
    <m/>
    <m/>
    <x v="254"/>
    <m/>
  </r>
  <r>
    <n v="2415"/>
    <x v="63"/>
    <s v="WHATS"/>
    <n v="83477"/>
    <n v="2576"/>
    <m/>
    <m/>
    <m/>
    <x v="254"/>
    <m/>
  </r>
  <r>
    <n v="3194"/>
    <x v="18"/>
    <s v="WHATS"/>
    <n v="83514"/>
    <n v="445.05"/>
    <m/>
    <m/>
    <m/>
    <x v="255"/>
    <m/>
  </r>
  <r>
    <n v="620"/>
    <x v="69"/>
    <s v="WHATS"/>
    <s v="82607/83485/80999/100543"/>
    <n v="641.6"/>
    <m/>
    <m/>
    <m/>
    <x v="255"/>
    <m/>
  </r>
  <r>
    <n v="325"/>
    <x v="97"/>
    <s v="WHATS"/>
    <s v="83571/100558"/>
    <n v="1113.2"/>
    <m/>
    <m/>
    <m/>
    <x v="256"/>
    <m/>
  </r>
  <r>
    <n v="1652"/>
    <x v="61"/>
    <s v="WHATS"/>
    <s v="83549/100558"/>
    <n v="726.55"/>
    <m/>
    <m/>
    <m/>
    <x v="256"/>
    <m/>
  </r>
  <r>
    <n v="3194"/>
    <x v="18"/>
    <s v="WHATS"/>
    <s v="83543/83514"/>
    <n v="4634.05"/>
    <m/>
    <m/>
    <m/>
    <x v="255"/>
    <m/>
  </r>
  <r>
    <n v="620"/>
    <x v="69"/>
    <s v="WHATS"/>
    <s v="83485/100543"/>
    <n v="641.6"/>
    <m/>
    <m/>
    <m/>
    <x v="255"/>
    <m/>
  </r>
  <r>
    <n v="500149"/>
    <x v="94"/>
    <s v="WHATS"/>
    <n v="83489"/>
    <n v="1469.55"/>
    <m/>
    <m/>
    <m/>
    <x v="254"/>
    <m/>
  </r>
  <r>
    <n v="687"/>
    <x v="16"/>
    <s v="WHATS"/>
    <n v="100562"/>
    <n v="257.55"/>
    <m/>
    <m/>
    <m/>
    <x v="256"/>
    <m/>
  </r>
  <r>
    <n v="500149"/>
    <x v="94"/>
    <s v="WHATS"/>
    <n v="83604"/>
    <n v="6604.08"/>
    <m/>
    <m/>
    <m/>
    <x v="256"/>
    <m/>
  </r>
  <r>
    <n v="475"/>
    <x v="23"/>
    <s v="WHATS"/>
    <n v="83551"/>
    <n v="8507.6200000000008"/>
    <m/>
    <m/>
    <m/>
    <x v="256"/>
    <m/>
  </r>
  <r>
    <n v="50219"/>
    <x v="14"/>
    <s v="WHATS"/>
    <n v="83607"/>
    <n v="1950"/>
    <m/>
    <m/>
    <m/>
    <x v="257"/>
    <m/>
  </r>
  <r>
    <n v="500005"/>
    <x v="102"/>
    <s v="WHATS"/>
    <n v="83349"/>
    <n v="876"/>
    <m/>
    <m/>
    <m/>
    <x v="257"/>
    <m/>
  </r>
  <r>
    <n v="432"/>
    <x v="43"/>
    <s v="WHATS"/>
    <s v="83647/82330/100571"/>
    <n v="4429.82"/>
    <m/>
    <m/>
    <m/>
    <x v="257"/>
    <m/>
  </r>
  <r>
    <n v="2022"/>
    <x v="28"/>
    <s v="WHATS"/>
    <n v="83634"/>
    <n v="19012.8"/>
    <m/>
    <m/>
    <m/>
    <x v="257"/>
    <m/>
  </r>
  <r>
    <n v="1164"/>
    <x v="58"/>
    <s v="WHATS"/>
    <s v="83653/100572"/>
    <n v="884.79"/>
    <m/>
    <m/>
    <m/>
    <x v="257"/>
    <m/>
  </r>
  <r>
    <n v="500243"/>
    <x v="110"/>
    <s v="WHATS"/>
    <n v="83650"/>
    <n v="1041.3"/>
    <m/>
    <m/>
    <m/>
    <x v="257"/>
    <m/>
  </r>
  <r>
    <n v="704"/>
    <x v="49"/>
    <s v="WHATS"/>
    <s v="83666/100575"/>
    <n v="462.49"/>
    <m/>
    <m/>
    <m/>
    <x v="258"/>
    <m/>
  </r>
  <r>
    <n v="1652"/>
    <x v="61"/>
    <s v="WHATS"/>
    <s v="83549/100556"/>
    <n v="780.05"/>
    <m/>
    <m/>
    <m/>
    <x v="258"/>
    <m/>
  </r>
  <r>
    <n v="311"/>
    <x v="46"/>
    <s v="WHATS"/>
    <n v="83351"/>
    <n v="5880"/>
    <m/>
    <m/>
    <m/>
    <x v="258"/>
    <m/>
  </r>
  <r>
    <n v="874"/>
    <x v="53"/>
    <s v="WHATS"/>
    <n v="83665"/>
    <n v="1068"/>
    <m/>
    <m/>
    <m/>
    <x v="258"/>
    <m/>
  </r>
  <r>
    <n v="1971"/>
    <x v="29"/>
    <s v="WHATS"/>
    <s v="83637/100567"/>
    <n v="1947.1"/>
    <m/>
    <m/>
    <m/>
    <x v="258"/>
    <m/>
  </r>
  <r>
    <n v="480"/>
    <x v="39"/>
    <s v="WHATS"/>
    <s v="83683/100583"/>
    <n v="1450.75"/>
    <m/>
    <m/>
    <m/>
    <x v="258"/>
    <m/>
  </r>
  <r>
    <n v="572"/>
    <x v="51"/>
    <s v="WHATS"/>
    <n v="83704"/>
    <n v="466.44"/>
    <m/>
    <m/>
    <m/>
    <x v="258"/>
    <m/>
  </r>
  <r>
    <n v="480"/>
    <x v="39"/>
    <s v="WHATS"/>
    <s v="83683/100583/100376"/>
    <n v="1404.25"/>
    <m/>
    <m/>
    <m/>
    <x v="258"/>
    <m/>
  </r>
  <r>
    <n v="1493"/>
    <x v="21"/>
    <s v="WHATS"/>
    <n v="83720"/>
    <n v="1280.44"/>
    <m/>
    <m/>
    <m/>
    <x v="259"/>
    <m/>
  </r>
  <r>
    <n v="822"/>
    <x v="66"/>
    <s v="WHATS"/>
    <s v="83724/83729/82905/100589"/>
    <n v="335.7"/>
    <m/>
    <m/>
    <m/>
    <x v="259"/>
    <m/>
  </r>
  <r>
    <n v="690"/>
    <x v="19"/>
    <s v="WHATS"/>
    <n v="83631"/>
    <n v="125"/>
    <m/>
    <m/>
    <m/>
    <x v="259"/>
    <m/>
  </r>
  <r>
    <n v="50554"/>
    <x v="20"/>
    <s v="WHATS"/>
    <n v="83742"/>
    <n v="490"/>
    <m/>
    <m/>
    <m/>
    <x v="259"/>
    <m/>
  </r>
  <r>
    <n v="1206"/>
    <x v="33"/>
    <s v="WHATS"/>
    <n v="83744"/>
    <n v="1097.79"/>
    <m/>
    <m/>
    <m/>
    <x v="259"/>
    <m/>
  </r>
  <r>
    <n v="618"/>
    <x v="26"/>
    <s v="WHATS"/>
    <n v="83761"/>
    <n v="599.4"/>
    <m/>
    <m/>
    <m/>
    <x v="259"/>
    <m/>
  </r>
  <r>
    <n v="516"/>
    <x v="11"/>
    <s v="EMAIL"/>
    <n v="83769"/>
    <n v="9703.09"/>
    <m/>
    <m/>
    <m/>
    <x v="259"/>
    <m/>
  </r>
  <r>
    <n v="1813"/>
    <x v="48"/>
    <s v="WHATS"/>
    <n v="83728"/>
    <n v="1057.5999999999999"/>
    <m/>
    <m/>
    <m/>
    <x v="259"/>
    <m/>
  </r>
  <r>
    <n v="2718"/>
    <x v="0"/>
    <s v="WHATS"/>
    <n v="83793"/>
    <n v="2005"/>
    <m/>
    <m/>
    <m/>
    <x v="260"/>
    <m/>
  </r>
  <r>
    <n v="708"/>
    <x v="56"/>
    <s v="WHATS"/>
    <n v="83465"/>
    <n v="2030"/>
    <m/>
    <m/>
    <m/>
    <x v="260"/>
    <m/>
  </r>
  <r>
    <n v="2955"/>
    <x v="82"/>
    <s v="WHATS"/>
    <n v="83716"/>
    <n v="3008.28"/>
    <m/>
    <m/>
    <m/>
    <x v="260"/>
    <m/>
  </r>
  <r>
    <n v="751"/>
    <x v="0"/>
    <s v="WHATS"/>
    <n v="100599"/>
    <n v="977.4"/>
    <m/>
    <m/>
    <m/>
    <x v="260"/>
    <m/>
  </r>
  <r>
    <n v="762"/>
    <x v="41"/>
    <s v="EMAIL"/>
    <s v="83802/83804"/>
    <n v="13980.2"/>
    <m/>
    <m/>
    <m/>
    <x v="260"/>
    <m/>
  </r>
  <r>
    <n v="724"/>
    <x v="42"/>
    <s v="WHATS"/>
    <n v="83703"/>
    <n v="250.9"/>
    <m/>
    <m/>
    <m/>
    <x v="260"/>
    <m/>
  </r>
  <r>
    <n v="1788"/>
    <x v="91"/>
    <s v="WHATS"/>
    <n v="83812"/>
    <n v="195"/>
    <m/>
    <m/>
    <m/>
    <x v="260"/>
    <m/>
  </r>
  <r>
    <n v="2022"/>
    <x v="28"/>
    <s v="WHATS"/>
    <n v="83811"/>
    <n v="1271.8800000000001"/>
    <m/>
    <m/>
    <m/>
    <x v="260"/>
    <m/>
  </r>
  <r>
    <n v="1058"/>
    <x v="5"/>
    <s v="WHATS"/>
    <n v="83814"/>
    <n v="529.95000000000005"/>
    <m/>
    <m/>
    <m/>
    <x v="260"/>
    <m/>
  </r>
  <r>
    <n v="2163"/>
    <x v="36"/>
    <s v="TEL"/>
    <n v="83433"/>
    <n v="974.2"/>
    <m/>
    <m/>
    <m/>
    <x v="260"/>
    <m/>
  </r>
  <r>
    <n v="705"/>
    <x v="1"/>
    <s v="WHATS"/>
    <n v="100561"/>
    <n v="582.04999999999995"/>
    <m/>
    <m/>
    <m/>
    <x v="260"/>
    <m/>
  </r>
  <r>
    <n v="762"/>
    <x v="41"/>
    <s v="EMAIL"/>
    <s v="803019/81237"/>
    <n v="920"/>
    <m/>
    <m/>
    <m/>
    <x v="260"/>
    <m/>
  </r>
  <r>
    <n v="1533"/>
    <x v="50"/>
    <s v="WHATS"/>
    <s v="100592/83752"/>
    <n v="458.05"/>
    <m/>
    <m/>
    <m/>
    <x v="260"/>
    <m/>
  </r>
  <r>
    <n v="761"/>
    <x v="24"/>
    <s v="WHATS"/>
    <s v="83678/100520"/>
    <n v="382.89"/>
    <m/>
    <m/>
    <m/>
    <x v="260"/>
    <m/>
  </r>
  <r>
    <n v="1206"/>
    <x v="33"/>
    <s v="WHATS"/>
    <n v="83841"/>
    <n v="395.28"/>
    <m/>
    <m/>
    <m/>
    <x v="261"/>
    <m/>
  </r>
  <r>
    <n v="1842"/>
    <x v="47"/>
    <s v="WHATS"/>
    <s v="83800 / 81999"/>
    <n v="515.16999999999996"/>
    <m/>
    <m/>
    <m/>
    <x v="261"/>
    <m/>
  </r>
  <r>
    <n v="2918"/>
    <x v="0"/>
    <s v="WHATS"/>
    <n v="83871"/>
    <n v="1727.85"/>
    <m/>
    <m/>
    <m/>
    <x v="261"/>
    <m/>
  </r>
  <r>
    <n v="1164"/>
    <x v="58"/>
    <s v="WHATS"/>
    <n v="83884"/>
    <n v="573.48"/>
    <m/>
    <m/>
    <m/>
    <x v="262"/>
    <m/>
  </r>
  <r>
    <n v="171"/>
    <x v="70"/>
    <s v="WHATS"/>
    <n v="83874"/>
    <n v="1297.45"/>
    <m/>
    <m/>
    <m/>
    <x v="244"/>
    <m/>
  </r>
  <r>
    <n v="3077"/>
    <x v="10"/>
    <s v="WHATS"/>
    <s v="83880/100610"/>
    <n v="871.62"/>
    <m/>
    <m/>
    <m/>
    <x v="262"/>
    <m/>
  </r>
  <r>
    <n v="917"/>
    <x v="0"/>
    <s v="WHATS"/>
    <s v="83915/100617"/>
    <n v="327.05"/>
    <m/>
    <m/>
    <m/>
    <x v="262"/>
    <m/>
  </r>
  <r>
    <n v="50576"/>
    <x v="37"/>
    <s v="WHATS"/>
    <s v="83652/100620"/>
    <n v="3156.83"/>
    <m/>
    <m/>
    <m/>
    <x v="263"/>
    <m/>
  </r>
  <r>
    <n v="1371"/>
    <x v="119"/>
    <s v="WHATS"/>
    <n v="83933"/>
    <n v="356.4"/>
    <m/>
    <m/>
    <m/>
    <x v="263"/>
    <m/>
  </r>
  <r>
    <n v="1533"/>
    <x v="50"/>
    <s v="WHATS"/>
    <n v="83938"/>
    <n v="1204.5"/>
    <m/>
    <m/>
    <m/>
    <x v="263"/>
    <m/>
  </r>
  <r>
    <n v="2022"/>
    <x v="28"/>
    <s v="WHATS"/>
    <n v="83917"/>
    <n v="366"/>
    <m/>
    <m/>
    <m/>
    <x v="263"/>
    <m/>
  </r>
  <r>
    <n v="581"/>
    <x v="74"/>
    <s v="WHATS"/>
    <s v="100627/83971"/>
    <n v="2398.89"/>
    <m/>
    <m/>
    <m/>
    <x v="263"/>
    <m/>
  </r>
  <r>
    <n v="1502"/>
    <x v="76"/>
    <s v="EMAIL"/>
    <n v="8397"/>
    <n v="3528"/>
    <m/>
    <m/>
    <m/>
    <x v="263"/>
    <m/>
  </r>
  <r>
    <n v="613"/>
    <x v="0"/>
    <s v="WHATS"/>
    <n v="83950"/>
    <n v="1021.35"/>
    <m/>
    <m/>
    <m/>
    <x v="263"/>
    <m/>
  </r>
  <r>
    <n v="2702"/>
    <x v="73"/>
    <s v="WHATS"/>
    <n v="83940"/>
    <n v="680.8"/>
    <m/>
    <m/>
    <m/>
    <x v="263"/>
    <m/>
  </r>
  <r>
    <n v="784"/>
    <x v="13"/>
    <s v="WHATS"/>
    <n v="83687"/>
    <n v="275.60000000000002"/>
    <m/>
    <m/>
    <m/>
    <x v="263"/>
    <m/>
  </r>
  <r>
    <n v="463"/>
    <x v="32"/>
    <s v="WHATS"/>
    <n v="83954"/>
    <n v="1317.1"/>
    <m/>
    <m/>
    <m/>
    <x v="263"/>
    <m/>
  </r>
  <r>
    <n v="960"/>
    <x v="30"/>
    <s v="WHATS"/>
    <s v="100629/83985"/>
    <n v="996.37"/>
    <m/>
    <m/>
    <m/>
    <x v="264"/>
    <m/>
  </r>
  <r>
    <n v="2181"/>
    <x v="0"/>
    <s v="WHATS"/>
    <n v="83991"/>
    <n v="99.67"/>
    <m/>
    <m/>
    <m/>
    <x v="264"/>
    <m/>
  </r>
  <r>
    <n v="1989"/>
    <x v="67"/>
    <s v="WHATS"/>
    <n v="83239"/>
    <n v="606.13"/>
    <m/>
    <m/>
    <m/>
    <x v="264"/>
    <m/>
  </r>
  <r>
    <n v="50554"/>
    <x v="20"/>
    <s v="WHATS"/>
    <n v="83240"/>
    <n v="189"/>
    <m/>
    <m/>
    <m/>
    <x v="264"/>
    <m/>
  </r>
  <r>
    <n v="690"/>
    <x v="19"/>
    <s v="WHATS"/>
    <s v="83431/83238"/>
    <n v="529"/>
    <m/>
    <m/>
    <m/>
    <x v="265"/>
    <m/>
  </r>
  <r>
    <n v="412"/>
    <x v="90"/>
    <s v="WHATS"/>
    <n v="100630"/>
    <n v="402.2"/>
    <m/>
    <m/>
    <m/>
    <x v="265"/>
    <m/>
  </r>
  <r>
    <n v="725"/>
    <x v="65"/>
    <s v="WHATS"/>
    <n v="83738"/>
    <n v="1199.6500000000001"/>
    <m/>
    <m/>
    <m/>
    <x v="265"/>
    <m/>
  </r>
  <r>
    <n v="823"/>
    <x v="17"/>
    <s v="WHATS"/>
    <s v="100632/84028"/>
    <n v="4552.3500000000004"/>
    <m/>
    <m/>
    <m/>
    <x v="265"/>
    <m/>
  </r>
  <r>
    <n v="2022"/>
    <x v="28"/>
    <s v="WHATS"/>
    <s v="83982/83987/84016"/>
    <n v="15177.23"/>
    <m/>
    <m/>
    <m/>
    <x v="265"/>
    <m/>
  </r>
  <r>
    <n v="3475"/>
    <x v="59"/>
    <s v="WHATS"/>
    <n v="83197"/>
    <n v="46"/>
    <m/>
    <m/>
    <m/>
    <x v="266"/>
    <m/>
  </r>
  <r>
    <n v="784"/>
    <x v="13"/>
    <s v="WHATS"/>
    <n v="84096"/>
    <n v="8219"/>
    <m/>
    <m/>
    <m/>
    <x v="266"/>
    <m/>
  </r>
  <r>
    <n v="571"/>
    <x v="0"/>
    <s v="WHATS"/>
    <n v="84091"/>
    <n v="2466.65"/>
    <m/>
    <m/>
    <m/>
    <x v="266"/>
    <m/>
  </r>
  <r>
    <n v="1026"/>
    <x v="7"/>
    <s v="WHATS"/>
    <n v="84095"/>
    <n v="1092"/>
    <m/>
    <m/>
    <m/>
    <x v="266"/>
    <m/>
  </r>
  <r>
    <n v="2911"/>
    <x v="15"/>
    <s v="WHATS"/>
    <s v="84103/100641"/>
    <n v="3469.61"/>
    <m/>
    <m/>
    <m/>
    <x v="266"/>
    <m/>
  </r>
  <r>
    <n v="50990"/>
    <x v="129"/>
    <s v="WHATS"/>
    <n v="83302"/>
    <n v="287.7"/>
    <m/>
    <m/>
    <m/>
    <x v="266"/>
    <m/>
  </r>
  <r>
    <n v="1016"/>
    <x v="101"/>
    <s v="TEL"/>
    <s v="84108/100643"/>
    <n v="2411.1"/>
    <m/>
    <m/>
    <m/>
    <x v="266"/>
    <m/>
  </r>
  <r>
    <n v="1206"/>
    <x v="33"/>
    <s v="WHATS"/>
    <n v="84157"/>
    <n v="1059.3499999999999"/>
    <m/>
    <m/>
    <m/>
    <x v="15"/>
    <m/>
  </r>
  <r>
    <n v="906"/>
    <x v="27"/>
    <s v="WHATS"/>
    <s v="84129/100653/100364"/>
    <n v="4893.58"/>
    <m/>
    <m/>
    <m/>
    <x v="15"/>
    <m/>
  </r>
  <r>
    <n v="50219"/>
    <x v="14"/>
    <s v="EMAIL"/>
    <n v="84125"/>
    <n v="3830.39"/>
    <m/>
    <m/>
    <m/>
    <x v="266"/>
    <m/>
  </r>
  <r>
    <n v="746"/>
    <x v="3"/>
    <s v="TEL"/>
    <s v="84131/100652"/>
    <n v="8228.83"/>
    <m/>
    <m/>
    <m/>
    <x v="15"/>
    <m/>
  </r>
  <r>
    <n v="663"/>
    <x v="116"/>
    <s v="WHATS"/>
    <s v="84140/100654"/>
    <n v="1271.21"/>
    <m/>
    <m/>
    <m/>
    <x v="15"/>
    <m/>
  </r>
  <r>
    <n v="738"/>
    <x v="0"/>
    <s v="WHATS"/>
    <n v="83864"/>
    <n v="6724"/>
    <m/>
    <m/>
    <m/>
    <x v="15"/>
    <m/>
  </r>
  <r>
    <n v="50185"/>
    <x v="105"/>
    <s v="WHATS"/>
    <n v="84165"/>
    <n v="244"/>
    <m/>
    <m/>
    <m/>
    <x v="15"/>
    <m/>
  </r>
  <r>
    <n v="500481"/>
    <x v="128"/>
    <s v="WHATS"/>
    <n v="84168"/>
    <n v="36.5"/>
    <m/>
    <m/>
    <m/>
    <x v="15"/>
    <m/>
  </r>
  <r>
    <n v="171"/>
    <x v="70"/>
    <s v="WHATS"/>
    <s v="83874/84116"/>
    <n v="1167.6500000000001"/>
    <m/>
    <m/>
    <m/>
    <x v="267"/>
    <m/>
  </r>
  <r>
    <n v="725"/>
    <x v="65"/>
    <s v="WHATS"/>
    <n v="84218"/>
    <n v="267.29000000000002"/>
    <m/>
    <m/>
    <m/>
    <x v="267"/>
    <m/>
  </r>
  <r>
    <n v="3153"/>
    <x v="12"/>
    <s v="WHATS"/>
    <s v="84225/84049/100666"/>
    <n v="1936.95"/>
    <m/>
    <m/>
    <m/>
    <x v="267"/>
    <m/>
  </r>
  <r>
    <n v="1122"/>
    <x v="87"/>
    <s v="WHATS"/>
    <s v="84222/82825"/>
    <n v="3021.13"/>
    <m/>
    <m/>
    <m/>
    <x v="267"/>
    <m/>
  </r>
  <r>
    <n v="1493"/>
    <x v="21"/>
    <s v="TEL"/>
    <n v="84243"/>
    <n v="1690.25"/>
    <m/>
    <m/>
    <m/>
    <x v="267"/>
    <m/>
  </r>
  <r>
    <n v="1623"/>
    <x v="57"/>
    <s v="WHATS"/>
    <n v="84248"/>
    <n v="835.4"/>
    <m/>
    <m/>
    <m/>
    <x v="267"/>
    <m/>
  </r>
  <r>
    <n v="575"/>
    <x v="45"/>
    <s v="WHATS"/>
    <n v="84014"/>
    <n v="252.5"/>
    <m/>
    <m/>
    <m/>
    <x v="268"/>
    <m/>
  </r>
  <r>
    <n v="1842"/>
    <x v="47"/>
    <s v="WHATS"/>
    <n v="84000"/>
    <n v="385.2"/>
    <m/>
    <m/>
    <m/>
    <x v="268"/>
    <m/>
  </r>
  <r>
    <n v="311"/>
    <x v="46"/>
    <s v="WHATS"/>
    <n v="84254"/>
    <n v="1396.2"/>
    <m/>
    <m/>
    <m/>
    <x v="268"/>
    <m/>
  </r>
  <r>
    <n v="124"/>
    <x v="0"/>
    <s v="WHATS"/>
    <n v="84252"/>
    <n v="594.1"/>
    <m/>
    <m/>
    <m/>
    <x v="268"/>
    <m/>
  </r>
  <r>
    <n v="1240"/>
    <x v="25"/>
    <s v="WHATS"/>
    <n v="84302"/>
    <n v="2212.84"/>
    <m/>
    <m/>
    <m/>
    <x v="268"/>
    <m/>
  </r>
  <r>
    <n v="690"/>
    <x v="19"/>
    <s v="WHATS"/>
    <s v="84315/100681"/>
    <n v="2151.88"/>
    <m/>
    <m/>
    <m/>
    <x v="269"/>
    <m/>
  </r>
  <r>
    <n v="68"/>
    <x v="0"/>
    <s v="WHATS"/>
    <n v="84322"/>
    <n v="4199.3500000000004"/>
    <m/>
    <m/>
    <m/>
    <x v="269"/>
    <m/>
  </r>
  <r>
    <n v="500481"/>
    <x v="128"/>
    <s v="WHATS"/>
    <s v="84305/82969"/>
    <n v="1019.78"/>
    <m/>
    <m/>
    <m/>
    <x v="270"/>
    <m/>
  </r>
  <r>
    <n v="620"/>
    <x v="69"/>
    <s v="WHATS"/>
    <s v="84363/84179"/>
    <n v="729.78"/>
    <m/>
    <m/>
    <m/>
    <x v="270"/>
    <m/>
  </r>
  <r>
    <n v="1164"/>
    <x v="58"/>
    <s v="WHATS"/>
    <n v="84215"/>
    <n v="1392.13"/>
    <m/>
    <m/>
    <m/>
    <x v="270"/>
    <m/>
  </r>
  <r>
    <n v="2022"/>
    <x v="28"/>
    <s v="WHATS"/>
    <n v="83987"/>
    <n v="8066.6"/>
    <m/>
    <m/>
    <m/>
    <x v="270"/>
    <m/>
  </r>
  <r>
    <n v="50554"/>
    <x v="20"/>
    <s v="WHATS"/>
    <s v="84379/83612/100698"/>
    <n v="5163.57"/>
    <m/>
    <m/>
    <m/>
    <x v="270"/>
    <m/>
  </r>
  <r>
    <n v="738"/>
    <x v="0"/>
    <s v="WHATS"/>
    <n v="100683"/>
    <n v="739.3"/>
    <m/>
    <m/>
    <m/>
    <x v="270"/>
    <m/>
  </r>
  <r>
    <n v="3017"/>
    <x v="62"/>
    <s v="WHATS"/>
    <n v="84398"/>
    <n v="1332"/>
    <m/>
    <m/>
    <m/>
    <x v="270"/>
    <m/>
  </r>
  <r>
    <n v="2163"/>
    <x v="36"/>
    <s v="TEL"/>
    <n v="84401"/>
    <n v="1840.5"/>
    <m/>
    <m/>
    <m/>
    <x v="270"/>
    <m/>
  </r>
  <r>
    <n v="3194"/>
    <x v="18"/>
    <s v="WHATS"/>
    <n v="84414"/>
    <n v="2587.9"/>
    <m/>
    <m/>
    <m/>
    <x v="271"/>
    <m/>
  </r>
  <r>
    <n v="784"/>
    <x v="13"/>
    <s v="EMAIL"/>
    <n v="84437"/>
    <n v="3981.75"/>
    <m/>
    <m/>
    <m/>
    <x v="271"/>
    <m/>
  </r>
  <r>
    <n v="687"/>
    <x v="16"/>
    <s v="WHATS"/>
    <n v="84436"/>
    <n v="856"/>
    <m/>
    <m/>
    <m/>
    <x v="271"/>
    <m/>
  </r>
  <r>
    <n v="475"/>
    <x v="23"/>
    <s v="EMAIL"/>
    <s v="83640/100708"/>
    <n v="12704.21"/>
    <m/>
    <m/>
    <m/>
    <x v="272"/>
    <m/>
  </r>
  <r>
    <n v="1533"/>
    <x v="50"/>
    <s v="WHATS"/>
    <n v="84369"/>
    <n v="1922.4"/>
    <m/>
    <m/>
    <m/>
    <x v="272"/>
    <m/>
  </r>
  <r>
    <n v="311"/>
    <x v="46"/>
    <s v="WHATS"/>
    <n v="84493"/>
    <n v="2145.52"/>
    <m/>
    <m/>
    <m/>
    <x v="272"/>
    <m/>
  </r>
  <r>
    <n v="500434"/>
    <x v="126"/>
    <s v="WHATS"/>
    <n v="84531"/>
    <n v="30.5"/>
    <m/>
    <m/>
    <m/>
    <x v="272"/>
    <m/>
  </r>
  <r>
    <n v="432"/>
    <x v="43"/>
    <s v="WHATS"/>
    <s v="84420/100706"/>
    <n v="3435.9"/>
    <m/>
    <m/>
    <m/>
    <x v="273"/>
    <m/>
  </r>
  <r>
    <n v="1206"/>
    <x v="33"/>
    <s v="WHATS"/>
    <n v="84555"/>
    <n v="929.01"/>
    <m/>
    <m/>
    <m/>
    <x v="273"/>
    <m/>
  </r>
  <r>
    <n v="725"/>
    <x v="65"/>
    <s v="WHATS"/>
    <s v="84557/83738"/>
    <n v="656.46"/>
    <m/>
    <m/>
    <m/>
    <x v="273"/>
    <m/>
  </r>
  <r>
    <n v="50312"/>
    <x v="86"/>
    <s v="WHATS"/>
    <n v="84564"/>
    <n v="568.14"/>
    <m/>
    <m/>
    <m/>
    <x v="273"/>
    <m/>
  </r>
  <r>
    <n v="50418"/>
    <x v="35"/>
    <s v="WHATS"/>
    <n v="84609"/>
    <n v="1341.95"/>
    <m/>
    <m/>
    <m/>
    <x v="274"/>
    <m/>
  </r>
  <r>
    <n v="2980"/>
    <x v="40"/>
    <s v="WHATS"/>
    <s v="100735/84613"/>
    <n v="1303.9000000000001"/>
    <m/>
    <m/>
    <m/>
    <x v="274"/>
    <m/>
  </r>
  <r>
    <n v="3240"/>
    <x v="75"/>
    <s v="WHATS"/>
    <s v="84540/100722"/>
    <n v="710.89"/>
    <m/>
    <m/>
    <m/>
    <x v="274"/>
    <m/>
  </r>
  <r>
    <n v="50554"/>
    <x v="20"/>
    <s v="WHATS"/>
    <s v="100724/84533"/>
    <n v="373.98"/>
    <m/>
    <m/>
    <m/>
    <x v="275"/>
    <m/>
  </r>
  <r>
    <n v="500149"/>
    <x v="94"/>
    <s v="WHATS"/>
    <n v="84638"/>
    <n v="10550.6"/>
    <m/>
    <m/>
    <m/>
    <x v="275"/>
    <m/>
  </r>
  <r>
    <n v="1164"/>
    <x v="58"/>
    <s v="WHATS"/>
    <s v="100665/84654"/>
    <n v="272.94"/>
    <m/>
    <m/>
    <m/>
    <x v="275"/>
    <m/>
  </r>
  <r>
    <n v="2022"/>
    <x v="28"/>
    <s v="WHATS"/>
    <n v="84659"/>
    <n v="1267.55"/>
    <m/>
    <m/>
    <m/>
    <x v="275"/>
    <m/>
  </r>
  <r>
    <n v="618"/>
    <x v="26"/>
    <s v="WHATS"/>
    <s v="84641/100747"/>
    <n v="3252.74"/>
    <m/>
    <m/>
    <m/>
    <x v="275"/>
    <m/>
  </r>
  <r>
    <n v="705"/>
    <x v="1"/>
    <s v="WHATS"/>
    <s v="84649/100744"/>
    <n v="872.29"/>
    <m/>
    <m/>
    <m/>
    <x v="275"/>
    <m/>
  </r>
  <r>
    <n v="761"/>
    <x v="24"/>
    <s v="WHATS"/>
    <s v="84400/100702"/>
    <n v="2109.39"/>
    <m/>
    <m/>
    <m/>
    <x v="275"/>
    <m/>
  </r>
  <r>
    <n v="746"/>
    <x v="3"/>
    <s v="WHATS"/>
    <n v="100691"/>
    <n v="59.25"/>
    <m/>
    <m/>
    <m/>
    <x v="275"/>
    <m/>
  </r>
  <r>
    <n v="1813"/>
    <x v="48"/>
    <s v="WHATS"/>
    <n v="84669"/>
    <n v="1080"/>
    <m/>
    <m/>
    <m/>
    <x v="275"/>
    <m/>
  </r>
  <r>
    <n v="475"/>
    <x v="23"/>
    <s v="WHATS"/>
    <n v="84715"/>
    <n v="1484.1"/>
    <m/>
    <m/>
    <m/>
    <x v="276"/>
    <m/>
  </r>
  <r>
    <n v="2022"/>
    <x v="28"/>
    <s v="WHATS"/>
    <n v="83987"/>
    <n v="8066.6"/>
    <m/>
    <m/>
    <m/>
    <x v="276"/>
    <m/>
  </r>
  <r>
    <n v="50185"/>
    <x v="105"/>
    <s v="WHATS"/>
    <n v="84779"/>
    <n v="699.85"/>
    <m/>
    <m/>
    <m/>
    <x v="277"/>
    <m/>
  </r>
  <r>
    <n v="2415"/>
    <x v="63"/>
    <s v="WHATS"/>
    <n v="84636"/>
    <n v="767.2"/>
    <m/>
    <m/>
    <m/>
    <x v="277"/>
    <m/>
  </r>
  <r>
    <n v="1026"/>
    <x v="7"/>
    <s v="WHATS"/>
    <n v="84788"/>
    <n v="716.8"/>
    <m/>
    <m/>
    <m/>
    <x v="277"/>
    <m/>
  </r>
  <r>
    <n v="3475"/>
    <x v="59"/>
    <s v="WHATS"/>
    <n v="84795"/>
    <n v="155.6"/>
    <m/>
    <m/>
    <m/>
    <x v="277"/>
    <m/>
  </r>
  <r>
    <n v="1726"/>
    <x v="34"/>
    <s v="EMAIL"/>
    <n v="84802"/>
    <n v="2344"/>
    <m/>
    <m/>
    <m/>
    <x v="277"/>
    <m/>
  </r>
  <r>
    <n v="1164"/>
    <x v="58"/>
    <s v="WHATS"/>
    <n v="84792"/>
    <n v="1248.8"/>
    <m/>
    <m/>
    <m/>
    <x v="277"/>
    <m/>
  </r>
  <r>
    <n v="325"/>
    <x v="97"/>
    <s v="WHATS"/>
    <s v="84814/100770"/>
    <n v="1612.6"/>
    <m/>
    <m/>
    <m/>
    <x v="277"/>
    <m/>
  </r>
  <r>
    <n v="708"/>
    <x v="56"/>
    <s v="WHATS"/>
    <n v="84816"/>
    <n v="2274"/>
    <m/>
    <m/>
    <m/>
    <x v="278"/>
    <m/>
  </r>
  <r>
    <n v="480"/>
    <x v="39"/>
    <s v="WHATS"/>
    <s v="100751/84689"/>
    <n v="4017.42"/>
    <m/>
    <m/>
    <m/>
    <x v="278"/>
    <m/>
  </r>
  <r>
    <n v="2397"/>
    <x v="6"/>
    <s v="TEL"/>
    <n v="84809"/>
    <n v="1968.3"/>
    <m/>
    <m/>
    <m/>
    <x v="279"/>
    <m/>
  </r>
  <r>
    <n v="50554"/>
    <x v="20"/>
    <s v="WHATS"/>
    <n v="84336"/>
    <n v="189"/>
    <m/>
    <m/>
    <m/>
    <x v="278"/>
    <m/>
  </r>
  <r>
    <n v="690"/>
    <x v="19"/>
    <s v="WHATS"/>
    <n v="84334"/>
    <n v="189"/>
    <m/>
    <m/>
    <m/>
    <x v="278"/>
    <m/>
  </r>
  <r>
    <n v="1989"/>
    <x v="67"/>
    <s v="WHATS"/>
    <n v="84341"/>
    <n v="615.13"/>
    <m/>
    <m/>
    <m/>
    <x v="278"/>
    <m/>
  </r>
  <r>
    <n v="500546"/>
    <x v="130"/>
    <s v="WHATS"/>
    <n v="84829"/>
    <n v="5816.1"/>
    <m/>
    <m/>
    <m/>
    <x v="278"/>
    <m/>
  </r>
  <r>
    <n v="1726"/>
    <x v="34"/>
    <s v="EMAIL"/>
    <n v="84858"/>
    <n v="335.5"/>
    <m/>
    <m/>
    <m/>
    <x v="280"/>
    <m/>
  </r>
  <r>
    <n v="500542"/>
    <x v="131"/>
    <s v="WHATS"/>
    <n v="84678"/>
    <n v="157.9"/>
    <m/>
    <m/>
    <m/>
    <x v="280"/>
    <m/>
  </r>
  <r>
    <n v="1041"/>
    <x v="78"/>
    <s v="WHATS"/>
    <n v="84880"/>
    <n v="331.85"/>
    <m/>
    <m/>
    <m/>
    <x v="280"/>
    <m/>
  </r>
  <r>
    <n v="1493"/>
    <x v="21"/>
    <s v="TEL"/>
    <n v="84885"/>
    <n v="1498.62"/>
    <m/>
    <m/>
    <m/>
    <x v="280"/>
    <m/>
  </r>
  <r>
    <n v="516"/>
    <x v="11"/>
    <s v="EMAIL"/>
    <n v="84892"/>
    <n v="10815.13"/>
    <m/>
    <m/>
    <m/>
    <x v="280"/>
    <m/>
  </r>
  <r>
    <n v="1206"/>
    <x v="33"/>
    <s v="WHATS"/>
    <n v="84887"/>
    <n v="929.01"/>
    <m/>
    <m/>
    <m/>
    <x v="279"/>
    <m/>
  </r>
  <r>
    <n v="475"/>
    <x v="23"/>
    <s v="WHATS"/>
    <s v="84898/100792"/>
    <n v="3783.55"/>
    <m/>
    <m/>
    <m/>
    <x v="279"/>
    <m/>
  </r>
  <r>
    <n v="50576"/>
    <x v="37"/>
    <s v="WHATS"/>
    <n v="84916"/>
    <n v="2463.11"/>
    <m/>
    <m/>
    <m/>
    <x v="279"/>
    <m/>
  </r>
  <r>
    <n v="1164"/>
    <x v="58"/>
    <s v="WHATS"/>
    <n v="84951"/>
    <n v="422.9"/>
    <m/>
    <m/>
    <m/>
    <x v="281"/>
    <m/>
  </r>
  <r>
    <n v="3190"/>
    <x v="60"/>
    <s v="WHATS"/>
    <n v="84985"/>
    <n v="3071.88"/>
    <m/>
    <m/>
    <m/>
    <x v="282"/>
    <m/>
  </r>
  <r>
    <n v="906"/>
    <x v="27"/>
    <s v="WHATS"/>
    <s v="100653/100806/84983"/>
    <n v="2416.0500000000002"/>
    <m/>
    <m/>
    <m/>
    <x v="282"/>
    <m/>
  </r>
  <r>
    <n v="704"/>
    <x v="49"/>
    <s v="WHATS"/>
    <s v="100784/84219"/>
    <n v="1282.43"/>
    <m/>
    <m/>
    <m/>
    <x v="282"/>
    <m/>
  </r>
  <r>
    <n v="1971"/>
    <x v="29"/>
    <s v="WHATS"/>
    <n v="84968"/>
    <n v="564"/>
    <m/>
    <m/>
    <m/>
    <x v="282"/>
    <m/>
  </r>
  <r>
    <n v="475"/>
    <x v="23"/>
    <s v="WHATS"/>
    <n v="85035"/>
    <n v="4343.74"/>
    <m/>
    <m/>
    <m/>
    <x v="283"/>
    <m/>
  </r>
  <r>
    <n v="516"/>
    <x v="11"/>
    <s v="WHATS"/>
    <n v="84982"/>
    <n v="32.5"/>
    <m/>
    <m/>
    <m/>
    <x v="283"/>
    <m/>
  </r>
  <r>
    <n v="708"/>
    <x v="56"/>
    <s v="WHATS"/>
    <n v="85040"/>
    <n v="2081.15"/>
    <m/>
    <m/>
    <m/>
    <x v="283"/>
    <m/>
  </r>
  <r>
    <n v="772"/>
    <x v="71"/>
    <s v="WHATS"/>
    <s v="85050/100817"/>
    <n v="1135.45"/>
    <m/>
    <m/>
    <m/>
    <x v="283"/>
    <m/>
  </r>
  <r>
    <n v="620"/>
    <x v="69"/>
    <s v="WHATS"/>
    <s v="85053/100696"/>
    <n v="984.76"/>
    <m/>
    <m/>
    <m/>
    <x v="283"/>
    <m/>
  </r>
  <r>
    <n v="50554"/>
    <x v="20"/>
    <s v="WHATS"/>
    <s v="85062/100821"/>
    <n v="921"/>
    <m/>
    <m/>
    <m/>
    <x v="283"/>
    <m/>
  </r>
  <r>
    <n v="3077"/>
    <x v="10"/>
    <s v="TEL"/>
    <n v="85068"/>
    <n v="694.46"/>
    <m/>
    <m/>
    <m/>
    <x v="283"/>
    <m/>
  </r>
  <r>
    <n v="874"/>
    <x v="53"/>
    <s v="WHATS"/>
    <n v="84891"/>
    <n v="575.45000000000005"/>
    <m/>
    <m/>
    <m/>
    <x v="283"/>
    <m/>
  </r>
  <r>
    <n v="500481"/>
    <x v="128"/>
    <s v="WHATS"/>
    <n v="85069"/>
    <n v="253.05"/>
    <m/>
    <m/>
    <m/>
    <x v="283"/>
    <m/>
  </r>
  <r>
    <n v="690"/>
    <x v="19"/>
    <s v="WHATS"/>
    <n v="84850"/>
    <n v="499.2"/>
    <m/>
    <m/>
    <m/>
    <x v="283"/>
    <m/>
  </r>
  <r>
    <n v="50554"/>
    <x v="20"/>
    <s v="WHATS"/>
    <s v="100821/85062"/>
    <n v="626.5"/>
    <m/>
    <m/>
    <m/>
    <x v="283"/>
    <m/>
  </r>
  <r>
    <n v="761"/>
    <x v="24"/>
    <s v="WHATS"/>
    <n v="84977"/>
    <n v="926.95"/>
    <m/>
    <m/>
    <m/>
    <x v="283"/>
    <m/>
  </r>
  <r>
    <n v="1652"/>
    <x v="61"/>
    <s v="TEL"/>
    <n v="84360"/>
    <n v="696.5"/>
    <m/>
    <m/>
    <m/>
    <x v="283"/>
    <m/>
  </r>
  <r>
    <n v="463"/>
    <x v="32"/>
    <s v="WHATS"/>
    <n v="85084"/>
    <n v="1962.95"/>
    <m/>
    <m/>
    <m/>
    <x v="283"/>
    <m/>
  </r>
  <r>
    <n v="762"/>
    <x v="41"/>
    <s v="WHATS"/>
    <n v="85087"/>
    <n v="2126.6"/>
    <m/>
    <m/>
    <m/>
    <x v="284"/>
    <m/>
  </r>
  <r>
    <n v="2911"/>
    <x v="15"/>
    <s v="WHATS"/>
    <s v="85011/100839"/>
    <n v="1801.11"/>
    <m/>
    <m/>
    <m/>
    <x v="284"/>
    <m/>
  </r>
  <r>
    <n v="762"/>
    <x v="41"/>
    <s v="WHATS"/>
    <n v="82142"/>
    <m/>
    <m/>
    <n v="2259.6"/>
    <m/>
    <x v="284"/>
    <m/>
  </r>
  <r>
    <n v="1206"/>
    <x v="33"/>
    <s v="WHATS"/>
    <n v="85156"/>
    <n v="929.01"/>
    <m/>
    <m/>
    <m/>
    <x v="285"/>
    <m/>
  </r>
  <r>
    <n v="412"/>
    <x v="90"/>
    <s v="WHATS"/>
    <s v="100848/85155"/>
    <n v="1912.9"/>
    <m/>
    <m/>
    <m/>
    <x v="285"/>
    <m/>
  </r>
  <r>
    <n v="3475"/>
    <x v="59"/>
    <s v="WHATS"/>
    <n v="84795"/>
    <n v="1177.8"/>
    <m/>
    <m/>
    <m/>
    <x v="285"/>
    <m/>
  </r>
  <r>
    <n v="311"/>
    <x v="46"/>
    <s v="WHATS"/>
    <n v="84980"/>
    <n v="1069.75"/>
    <m/>
    <m/>
    <m/>
    <x v="285"/>
    <m/>
  </r>
  <r>
    <n v="741"/>
    <x v="85"/>
    <s v="WHATS"/>
    <n v="85161"/>
    <n v="947.9"/>
    <m/>
    <m/>
    <m/>
    <x v="285"/>
    <m/>
  </r>
  <r>
    <n v="905"/>
    <x v="72"/>
    <s v="TEL"/>
    <s v="100877/85275"/>
    <n v="1107.77"/>
    <m/>
    <m/>
    <m/>
    <x v="286"/>
    <m/>
  </r>
  <r>
    <n v="3153"/>
    <x v="12"/>
    <s v="WHATS"/>
    <n v="85281"/>
    <n v="1271.3699999999999"/>
    <m/>
    <m/>
    <m/>
    <x v="287"/>
    <m/>
  </r>
  <r>
    <n v="762"/>
    <x v="41"/>
    <s v="EMAIL"/>
    <n v="85087"/>
    <n v="834"/>
    <m/>
    <m/>
    <m/>
    <x v="287"/>
    <m/>
  </r>
  <r>
    <n v="50219"/>
    <x v="14"/>
    <s v="WHATS"/>
    <s v="85182/100856"/>
    <n v="3477.91"/>
    <m/>
    <m/>
    <m/>
    <x v="287"/>
    <m/>
  </r>
  <r>
    <n v="1623"/>
    <x v="57"/>
    <s v="WHATS"/>
    <n v="85163"/>
    <n v="937.86"/>
    <m/>
    <m/>
    <m/>
    <x v="287"/>
    <m/>
  </r>
  <r>
    <n v="823"/>
    <x v="17"/>
    <s v="WHATS"/>
    <s v="85261/84995"/>
    <n v="2896"/>
    <m/>
    <m/>
    <m/>
    <x v="287"/>
    <m/>
  </r>
  <r>
    <n v="516"/>
    <x v="11"/>
    <s v="WHATS"/>
    <n v="82693"/>
    <n v="4440"/>
    <m/>
    <m/>
    <m/>
    <x v="287"/>
    <m/>
  </r>
  <r>
    <n v="784"/>
    <x v="13"/>
    <s v="WHATS"/>
    <n v="82715"/>
    <n v="4191.79"/>
    <m/>
    <m/>
    <m/>
    <x v="287"/>
    <m/>
  </r>
  <r>
    <n v="432"/>
    <x v="43"/>
    <s v="WHATS"/>
    <n v="85288"/>
    <n v="3926.25"/>
    <m/>
    <m/>
    <m/>
    <x v="287"/>
    <m/>
  </r>
  <r>
    <n v="822"/>
    <x v="66"/>
    <s v="WHATS"/>
    <s v="85230/85198/100861"/>
    <n v="4131.95"/>
    <m/>
    <m/>
    <m/>
    <x v="287"/>
    <m/>
  </r>
  <r>
    <n v="704"/>
    <x v="49"/>
    <s v="WHATS"/>
    <n v="85297"/>
    <n v="976.95"/>
    <m/>
    <m/>
    <m/>
    <x v="287"/>
    <m/>
  </r>
  <r>
    <n v="2022"/>
    <x v="28"/>
    <s v="WHATS"/>
    <n v="85317"/>
    <n v="1684.38"/>
    <m/>
    <m/>
    <m/>
    <x v="286"/>
    <m/>
  </r>
  <r>
    <n v="50554"/>
    <x v="20"/>
    <s v="WHATS"/>
    <s v="85305/100887"/>
    <n v="3211.9"/>
    <m/>
    <m/>
    <m/>
    <x v="286"/>
    <m/>
  </r>
  <r>
    <n v="1652"/>
    <x v="61"/>
    <s v="WHATS"/>
    <s v="85331/100827"/>
    <n v="578.95000000000005"/>
    <m/>
    <m/>
    <m/>
    <x v="286"/>
    <m/>
  </r>
  <r>
    <n v="1788"/>
    <x v="91"/>
    <s v="WHATS"/>
    <n v="85291"/>
    <n v="298.3"/>
    <m/>
    <m/>
    <m/>
    <x v="286"/>
    <m/>
  </r>
  <r>
    <n v="575"/>
    <x v="45"/>
    <s v="WHATS"/>
    <s v="85274/100876"/>
    <n v="741.18"/>
    <m/>
    <m/>
    <m/>
    <x v="286"/>
    <m/>
  </r>
  <r>
    <n v="3194"/>
    <x v="18"/>
    <s v="WHATS"/>
    <n v="85263"/>
    <n v="2677.4"/>
    <m/>
    <m/>
    <m/>
    <x v="286"/>
    <m/>
  </r>
  <r>
    <n v="690"/>
    <x v="19"/>
    <s v="WHATS"/>
    <s v="85375/100896"/>
    <n v="1678.75"/>
    <m/>
    <m/>
    <m/>
    <x v="288"/>
    <m/>
  </r>
  <r>
    <n v="784"/>
    <x v="13"/>
    <s v="WHATS"/>
    <n v="85398"/>
    <n v="1791"/>
    <m/>
    <m/>
    <m/>
    <x v="288"/>
    <m/>
  </r>
  <r>
    <n v="784"/>
    <x v="13"/>
    <s v="WHATS"/>
    <n v="85439"/>
    <n v="147.4"/>
    <m/>
    <m/>
    <m/>
    <x v="288"/>
    <m/>
  </r>
  <r>
    <n v="762"/>
    <x v="41"/>
    <s v="WHATS"/>
    <s v="85469/85470"/>
    <n v="2560.7800000000002"/>
    <m/>
    <m/>
    <m/>
    <x v="289"/>
    <m/>
  </r>
  <r>
    <n v="475"/>
    <x v="23"/>
    <s v="EMAIL"/>
    <s v="85429/84898/85035/100906"/>
    <n v="5967.72"/>
    <m/>
    <m/>
    <m/>
    <x v="289"/>
    <m/>
  </r>
  <r>
    <n v="762"/>
    <x v="41"/>
    <s v="WHATS"/>
    <s v="85469/85470"/>
    <n v="2560.7800000000002"/>
    <m/>
    <m/>
    <m/>
    <x v="289"/>
    <m/>
  </r>
  <r>
    <n v="432"/>
    <x v="43"/>
    <s v="WHATS"/>
    <s v="100907/85292"/>
    <n v="4053.71"/>
    <m/>
    <m/>
    <m/>
    <x v="289"/>
    <m/>
  </r>
  <r>
    <n v="51175"/>
    <x v="79"/>
    <s v="WHATS"/>
    <s v="100918/85518"/>
    <n v="1715.9"/>
    <m/>
    <m/>
    <m/>
    <x v="289"/>
    <m/>
  </r>
  <r>
    <n v="2022"/>
    <x v="28"/>
    <s v="WHATS"/>
    <n v="84743"/>
    <n v="6760"/>
    <m/>
    <m/>
    <m/>
    <x v="290"/>
    <m/>
  </r>
  <r>
    <n v="784"/>
    <x v="13"/>
    <s v="WHATS"/>
    <n v="85439"/>
    <n v="222"/>
    <m/>
    <m/>
    <m/>
    <x v="291"/>
    <m/>
  </r>
  <r>
    <n v="50418"/>
    <x v="35"/>
    <s v="WHATS"/>
    <n v="85453"/>
    <n v="1070.1500000000001"/>
    <m/>
    <m/>
    <m/>
    <x v="291"/>
    <m/>
  </r>
  <r>
    <n v="500005"/>
    <x v="102"/>
    <s v="WHATS"/>
    <n v="84852"/>
    <n v="1781.4"/>
    <m/>
    <m/>
    <m/>
    <x v="292"/>
    <m/>
  </r>
  <r>
    <n v="1164"/>
    <x v="58"/>
    <s v="WHATS"/>
    <s v="85544/100926"/>
    <n v="2595.08"/>
    <m/>
    <m/>
    <m/>
    <x v="292"/>
    <m/>
  </r>
  <r>
    <n v="2415"/>
    <x v="63"/>
    <s v="WHATS"/>
    <n v="84755"/>
    <n v="1584"/>
    <m/>
    <m/>
    <m/>
    <x v="292"/>
    <m/>
  </r>
  <r>
    <n v="1533"/>
    <x v="50"/>
    <s v="WHATS"/>
    <n v="85551"/>
    <n v="1254.95"/>
    <m/>
    <m/>
    <m/>
    <x v="292"/>
    <m/>
  </r>
  <r>
    <n v="2415"/>
    <x v="63"/>
    <s v="WHATS"/>
    <n v="84755"/>
    <n v="1584"/>
    <m/>
    <m/>
    <m/>
    <x v="292"/>
    <m/>
  </r>
  <r>
    <n v="3190"/>
    <x v="60"/>
    <s v="WHATS"/>
    <n v="85582"/>
    <n v="766.2"/>
    <m/>
    <m/>
    <m/>
    <x v="292"/>
    <m/>
  </r>
  <r>
    <n v="618"/>
    <x v="26"/>
    <s v="WHATS"/>
    <s v="85260/100930"/>
    <n v="3000.2"/>
    <m/>
    <m/>
    <m/>
    <x v="290"/>
    <m/>
  </r>
  <r>
    <n v="1971"/>
    <x v="29"/>
    <s v="WHATS"/>
    <s v="100940/100567"/>
    <n v="152.85"/>
    <m/>
    <m/>
    <m/>
    <x v="290"/>
    <m/>
  </r>
  <r>
    <n v="1788"/>
    <x v="91"/>
    <s v="WHATS"/>
    <n v="85291"/>
    <n v="888"/>
    <m/>
    <m/>
    <m/>
    <x v="290"/>
    <m/>
  </r>
  <r>
    <n v="311"/>
    <x v="46"/>
    <s v="WHATS"/>
    <n v="85642"/>
    <n v="1497.5"/>
    <m/>
    <m/>
    <m/>
    <x v="290"/>
    <m/>
  </r>
  <r>
    <n v="746"/>
    <x v="3"/>
    <s v="WHATS"/>
    <n v="85341"/>
    <n v="939.97"/>
    <m/>
    <m/>
    <m/>
    <x v="290"/>
    <m/>
  </r>
  <r>
    <n v="724"/>
    <x v="42"/>
    <s v="WHATS"/>
    <s v="100943/85636"/>
    <n v="302.14999999999998"/>
    <m/>
    <m/>
    <m/>
    <x v="290"/>
    <m/>
  </r>
  <r>
    <n v="2415"/>
    <x v="63"/>
    <s v="WHATS"/>
    <s v="100946/85645"/>
    <n v="1382.38"/>
    <m/>
    <m/>
    <m/>
    <x v="290"/>
    <m/>
  </r>
  <r>
    <n v="325"/>
    <x v="97"/>
    <s v="WHATS"/>
    <n v="85709"/>
    <n v="1134.9000000000001"/>
    <m/>
    <m/>
    <m/>
    <x v="293"/>
    <m/>
  </r>
  <r>
    <n v="1016"/>
    <x v="101"/>
    <s v="WHATS"/>
    <n v="85711"/>
    <n v="3334.3"/>
    <m/>
    <m/>
    <m/>
    <x v="293"/>
    <m/>
  </r>
  <r>
    <n v="500005"/>
    <x v="102"/>
    <s v="EMAIL"/>
    <n v="84852"/>
    <n v="796.6"/>
    <m/>
    <m/>
    <m/>
    <x v="293"/>
    <m/>
  </r>
  <r>
    <n v="3475"/>
    <x v="59"/>
    <s v="WHATS"/>
    <s v="84795/85232"/>
    <n v="158.9"/>
    <m/>
    <m/>
    <m/>
    <x v="293"/>
    <m/>
  </r>
  <r>
    <n v="3017"/>
    <x v="62"/>
    <s v="WHATS"/>
    <n v="85741"/>
    <n v="1040.9000000000001"/>
    <m/>
    <m/>
    <m/>
    <x v="294"/>
    <m/>
  </r>
  <r>
    <n v="663"/>
    <x v="116"/>
    <s v="WHATS"/>
    <s v="85742/100974"/>
    <n v="727.95"/>
    <m/>
    <m/>
    <m/>
    <x v="294"/>
    <m/>
  </r>
  <r>
    <n v="50418"/>
    <x v="35"/>
    <s v="WHATS"/>
    <n v="85749"/>
    <n v="3614.65"/>
    <m/>
    <m/>
    <m/>
    <x v="294"/>
    <m/>
  </r>
  <r>
    <n v="3018"/>
    <x v="64"/>
    <s v="WHATS"/>
    <s v="85778/100981"/>
    <n v="852.86"/>
    <m/>
    <m/>
    <m/>
    <x v="295"/>
    <m/>
  </r>
  <r>
    <n v="1206"/>
    <x v="33"/>
    <s v="WHATS"/>
    <n v="85780"/>
    <n v="3346.2"/>
    <m/>
    <m/>
    <m/>
    <x v="295"/>
    <m/>
  </r>
  <r>
    <n v="2572"/>
    <x v="115"/>
    <s v="WHATS"/>
    <n v="85790"/>
    <n v="2130"/>
    <m/>
    <m/>
    <m/>
    <x v="295"/>
    <m/>
  </r>
  <r>
    <n v="3077"/>
    <x v="10"/>
    <s v="WHATS"/>
    <n v="85801"/>
    <n v="929.26"/>
    <m/>
    <m/>
    <m/>
    <x v="295"/>
    <m/>
  </r>
  <r>
    <n v="746"/>
    <x v="3"/>
    <s v="WHATS"/>
    <n v="85024"/>
    <n v="4177.5600000000004"/>
    <m/>
    <m/>
    <m/>
    <x v="295"/>
    <m/>
  </r>
  <r>
    <n v="1493"/>
    <x v="21"/>
    <s v="TEL"/>
    <n v="85809"/>
    <n v="2191.27"/>
    <m/>
    <m/>
    <m/>
    <x v="295"/>
    <m/>
  </r>
  <r>
    <n v="761"/>
    <x v="24"/>
    <s v="WHATS"/>
    <s v="100810/85379"/>
    <n v="2104.1999999999998"/>
    <m/>
    <m/>
    <m/>
    <x v="296"/>
    <m/>
  </r>
  <r>
    <n v="325"/>
    <x v="97"/>
    <s v="WHATS"/>
    <n v="100961"/>
    <n v="255.35"/>
    <m/>
    <m/>
    <m/>
    <x v="296"/>
    <m/>
  </r>
  <r>
    <n v="761"/>
    <x v="24"/>
    <s v="WHATS"/>
    <n v="85840"/>
    <n v="296"/>
    <m/>
    <m/>
    <m/>
    <x v="296"/>
    <m/>
  </r>
  <r>
    <n v="2980"/>
    <x v="40"/>
    <s v="WHATS"/>
    <s v="85495/84936/100921"/>
    <n v="828.62"/>
    <m/>
    <m/>
    <m/>
    <x v="296"/>
    <m/>
  </r>
  <r>
    <n v="311"/>
    <x v="46"/>
    <s v="WHATS"/>
    <s v="85834/85831/100985"/>
    <n v="1308.8"/>
    <m/>
    <m/>
    <m/>
    <x v="296"/>
    <m/>
  </r>
  <r>
    <n v="516"/>
    <x v="11"/>
    <s v="EMAIL"/>
    <n v="85463"/>
    <n v="8301.7900000000009"/>
    <m/>
    <m/>
    <m/>
    <x v="296"/>
    <m/>
  </r>
  <r>
    <n v="575"/>
    <x v="45"/>
    <s v="EMAIL"/>
    <s v="85390/100965/100343"/>
    <n v="681.28"/>
    <m/>
    <m/>
    <m/>
    <x v="296"/>
    <m/>
  </r>
  <r>
    <n v="50576"/>
    <x v="37"/>
    <s v="WHATS"/>
    <s v="85681 /100952"/>
    <n v="1172.5"/>
    <m/>
    <m/>
    <m/>
    <x v="296"/>
    <m/>
  </r>
  <r>
    <n v="1842"/>
    <x v="47"/>
    <s v="WHATS"/>
    <s v="85513/100987"/>
    <n v="725.58"/>
    <m/>
    <m/>
    <m/>
    <x v="296"/>
    <m/>
  </r>
  <r>
    <n v="572"/>
    <x v="51"/>
    <s v="WHATS"/>
    <n v="85864"/>
    <n v="1558.15"/>
    <m/>
    <m/>
    <m/>
    <x v="296"/>
    <m/>
  </r>
  <r>
    <n v="1813"/>
    <x v="48"/>
    <s v="WHATS"/>
    <n v="85818"/>
    <n v="1583.2"/>
    <m/>
    <m/>
    <m/>
    <x v="296"/>
    <m/>
  </r>
  <r>
    <n v="960"/>
    <x v="30"/>
    <s v="WHATS"/>
    <s v="85865/100989"/>
    <n v="1087.28"/>
    <m/>
    <m/>
    <m/>
    <x v="296"/>
    <m/>
  </r>
  <r>
    <n v="1240"/>
    <x v="25"/>
    <s v="WHATS"/>
    <n v="85732"/>
    <n v="1440.45"/>
    <m/>
    <m/>
    <m/>
    <x v="297"/>
    <m/>
  </r>
  <r>
    <n v="687"/>
    <x v="16"/>
    <s v="WHATS"/>
    <n v="85894"/>
    <n v="4669.8"/>
    <m/>
    <m/>
    <m/>
    <x v="297"/>
    <m/>
  </r>
  <r>
    <n v="1164"/>
    <x v="58"/>
    <s v="WHATS"/>
    <s v="100991/85565"/>
    <n v="231.04"/>
    <m/>
    <m/>
    <m/>
    <x v="297"/>
    <m/>
  </r>
  <r>
    <n v="2022"/>
    <x v="28"/>
    <s v="WHATS"/>
    <s v="85896/85869"/>
    <n v="2182.5700000000002"/>
    <m/>
    <m/>
    <m/>
    <x v="297"/>
    <m/>
  </r>
  <r>
    <n v="1502"/>
    <x v="76"/>
    <s v="EMAIL"/>
    <n v="85867"/>
    <n v="3202.7"/>
    <m/>
    <m/>
    <m/>
    <x v="297"/>
    <m/>
  </r>
  <r>
    <n v="50961"/>
    <x v="109"/>
    <s v="WHATS"/>
    <n v="85887"/>
    <n v="377.8"/>
    <m/>
    <m/>
    <m/>
    <x v="297"/>
    <m/>
  </r>
  <r>
    <n v="687"/>
    <x v="16"/>
    <s v="WHATS"/>
    <n v="85894"/>
    <n v="6382.2"/>
    <m/>
    <m/>
    <m/>
    <x v="297"/>
    <m/>
  </r>
  <r>
    <n v="1122"/>
    <x v="87"/>
    <s v="EMAIL"/>
    <s v="85911/100994"/>
    <n v="1510"/>
    <m/>
    <m/>
    <m/>
    <x v="297"/>
    <m/>
  </r>
  <r>
    <n v="905"/>
    <x v="72"/>
    <s v="TEL"/>
    <s v="85362/101001"/>
    <n v="750.5"/>
    <m/>
    <m/>
    <m/>
    <x v="298"/>
    <m/>
  </r>
  <r>
    <n v="772"/>
    <x v="71"/>
    <s v="WHATS"/>
    <s v="85940/101004"/>
    <n v="1796.75"/>
    <m/>
    <m/>
    <m/>
    <x v="298"/>
    <m/>
  </r>
  <r>
    <n v="480"/>
    <x v="39"/>
    <s v="WHATS"/>
    <s v="85934/100998"/>
    <n v="1739.9"/>
    <m/>
    <m/>
    <m/>
    <x v="298"/>
    <m/>
  </r>
  <r>
    <n v="474"/>
    <x v="98"/>
    <s v="WHATS"/>
    <s v="85740/100972"/>
    <n v="937.1"/>
    <m/>
    <m/>
    <m/>
    <x v="298"/>
    <m/>
  </r>
  <r>
    <n v="475"/>
    <x v="23"/>
    <s v="WHATS"/>
    <n v="85712"/>
    <n v="9340"/>
    <m/>
    <m/>
    <m/>
    <x v="298"/>
    <m/>
  </r>
  <r>
    <n v="620"/>
    <x v="69"/>
    <s v="WHATS"/>
    <s v="85954/101005"/>
    <n v="587.29999999999995"/>
    <m/>
    <m/>
    <m/>
    <x v="298"/>
    <m/>
  </r>
  <r>
    <n v="905"/>
    <x v="72"/>
    <s v="WHATS"/>
    <n v="85899"/>
    <n v="778"/>
    <m/>
    <m/>
    <m/>
    <x v="297"/>
    <m/>
  </r>
  <r>
    <n v="1989"/>
    <x v="67"/>
    <s v="TEL"/>
    <s v="85109/85913"/>
    <n v="826.73"/>
    <m/>
    <m/>
    <m/>
    <x v="298"/>
    <m/>
  </r>
  <r>
    <n v="690"/>
    <x v="19"/>
    <s v="WHATS"/>
    <n v="85107"/>
    <n v="189"/>
    <m/>
    <m/>
    <m/>
    <x v="298"/>
    <m/>
  </r>
  <r>
    <n v="50554"/>
    <x v="20"/>
    <s v="WHATS"/>
    <n v="85108"/>
    <n v="189"/>
    <m/>
    <m/>
    <m/>
    <x v="298"/>
    <m/>
  </r>
  <r>
    <n v="1026"/>
    <x v="7"/>
    <s v="WHATS"/>
    <n v="85771"/>
    <n v="1094"/>
    <m/>
    <m/>
    <m/>
    <x v="298"/>
    <m/>
  </r>
  <r>
    <n v="2198"/>
    <x v="92"/>
    <s v="WHATS"/>
    <n v="85967"/>
    <n v="3649"/>
    <m/>
    <m/>
    <m/>
    <x v="298"/>
    <m/>
  </r>
  <r>
    <n v="1616"/>
    <x v="83"/>
    <s v="WHATS"/>
    <s v="86171/85634"/>
    <n v="1940"/>
    <m/>
    <m/>
    <m/>
    <x v="298"/>
    <m/>
  </r>
  <r>
    <n v="2022"/>
    <x v="28"/>
    <s v="WHATS"/>
    <n v="85984"/>
    <n v="7996.05"/>
    <m/>
    <m/>
    <m/>
    <x v="298"/>
    <m/>
  </r>
  <r>
    <n v="784"/>
    <x v="13"/>
    <s v="WHATS"/>
    <n v="85997"/>
    <n v="291.7"/>
    <m/>
    <m/>
    <m/>
    <x v="299"/>
    <m/>
  </r>
  <r>
    <n v="1971"/>
    <x v="29"/>
    <s v="WHATS"/>
    <n v="86001"/>
    <n v="507"/>
    <m/>
    <m/>
    <m/>
    <x v="299"/>
    <m/>
  </r>
  <r>
    <n v="2415"/>
    <x v="63"/>
    <s v="WHATS"/>
    <n v="85931"/>
    <n v="499.6"/>
    <m/>
    <m/>
    <m/>
    <x v="299"/>
    <m/>
  </r>
  <r>
    <n v="50576"/>
    <x v="37"/>
    <s v="WHATS"/>
    <n v="86013"/>
    <n v="1030"/>
    <m/>
    <m/>
    <m/>
    <x v="300"/>
    <m/>
  </r>
  <r>
    <n v="3017"/>
    <x v="62"/>
    <s v="WHATS"/>
    <n v="76060"/>
    <n v="180.4"/>
    <m/>
    <m/>
    <m/>
    <x v="300"/>
    <m/>
  </r>
  <r>
    <n v="50219"/>
    <x v="14"/>
    <s v="WHATS"/>
    <n v="86065"/>
    <n v="1725"/>
    <m/>
    <m/>
    <m/>
    <x v="300"/>
    <m/>
  </r>
  <r>
    <n v="500243"/>
    <x v="110"/>
    <s v="WHATS"/>
    <n v="85964"/>
    <n v="1508.56"/>
    <m/>
    <m/>
    <m/>
    <x v="300"/>
    <m/>
  </r>
  <r>
    <n v="475"/>
    <x v="23"/>
    <s v="EMAIL"/>
    <s v="83640/84898/101023/85712"/>
    <n v="16483.580000000002"/>
    <m/>
    <m/>
    <m/>
    <x v="300"/>
    <m/>
  </r>
  <r>
    <n v="1813"/>
    <x v="48"/>
    <s v="WHATS"/>
    <n v="86022"/>
    <n v="886.75"/>
    <m/>
    <m/>
    <m/>
    <x v="300"/>
    <m/>
  </r>
  <r>
    <n v="572"/>
    <x v="51"/>
    <s v="WHATS"/>
    <s v="84753/85864"/>
    <n v="1876.85"/>
    <m/>
    <m/>
    <m/>
    <x v="300"/>
    <m/>
  </r>
  <r>
    <n v="618"/>
    <x v="26"/>
    <s v="EMAIL"/>
    <n v="86113"/>
    <n v="1216"/>
    <m/>
    <m/>
    <m/>
    <x v="301"/>
    <m/>
  </r>
  <r>
    <n v="1905"/>
    <x v="107"/>
    <s v="WHATS"/>
    <n v="85899"/>
    <n v="774"/>
    <m/>
    <m/>
    <m/>
    <x v="301"/>
    <m/>
  </r>
  <r>
    <n v="581"/>
    <x v="74"/>
    <s v="WHATS"/>
    <n v="86134"/>
    <n v="778"/>
    <m/>
    <m/>
    <m/>
    <x v="301"/>
    <m/>
  </r>
  <r>
    <n v="1533"/>
    <x v="50"/>
    <s v="WHATS"/>
    <n v="86147"/>
    <n v="970"/>
    <m/>
    <m/>
    <m/>
    <x v="301"/>
    <m/>
  </r>
  <r>
    <n v="761"/>
    <x v="24"/>
    <s v="WHATS"/>
    <s v="101033/86184"/>
    <n v="1373.15"/>
    <m/>
    <m/>
    <m/>
    <x v="301"/>
    <m/>
  </r>
  <r>
    <n v="2955"/>
    <x v="82"/>
    <s v="WHATS"/>
    <s v="    "/>
    <n v="1602.6"/>
    <m/>
    <m/>
    <m/>
    <x v="301"/>
    <m/>
  </r>
  <r>
    <n v="1164"/>
    <x v="58"/>
    <s v="WHATS"/>
    <n v="86114"/>
    <n v="778"/>
    <m/>
    <m/>
    <m/>
    <x v="301"/>
    <m/>
  </r>
  <r>
    <n v="1493"/>
    <x v="21"/>
    <s v="WHATS"/>
    <n v="86161"/>
    <n v="718.6"/>
    <m/>
    <m/>
    <m/>
    <x v="301"/>
    <m/>
  </r>
  <r>
    <n v="906"/>
    <x v="27"/>
    <s v="WHATS"/>
    <s v="101032/86167"/>
    <n v="4857.01"/>
    <m/>
    <m/>
    <m/>
    <x v="301"/>
    <m/>
  </r>
  <r>
    <n v="874"/>
    <x v="53"/>
    <s v="WHATS"/>
    <s v="86204/84891"/>
    <n v="624.66"/>
    <m/>
    <m/>
    <m/>
    <x v="302"/>
    <m/>
  </r>
  <r>
    <n v="2198"/>
    <x v="92"/>
    <s v="WHATS"/>
    <n v="85967"/>
    <n v="4247.76"/>
    <m/>
    <m/>
    <m/>
    <x v="302"/>
    <m/>
  </r>
  <r>
    <n v="3017"/>
    <x v="62"/>
    <s v="WHATS"/>
    <n v="86224"/>
    <n v="1003.66"/>
    <m/>
    <m/>
    <m/>
    <x v="302"/>
    <m/>
  </r>
  <r>
    <n v="2198"/>
    <x v="92"/>
    <s v="WHATS"/>
    <n v="85967"/>
    <n v="3713.76"/>
    <m/>
    <m/>
    <m/>
    <x v="302"/>
    <m/>
  </r>
  <r>
    <n v="2702"/>
    <x v="73"/>
    <s v="WHATS"/>
    <n v="86261"/>
    <n v="1287"/>
    <m/>
    <m/>
    <m/>
    <x v="303"/>
    <m/>
  </r>
  <r>
    <n v="50426"/>
    <x v="96"/>
    <s v="WHATS"/>
    <n v="86265"/>
    <n v="3250"/>
    <m/>
    <m/>
    <m/>
    <x v="303"/>
    <m/>
  </r>
  <r>
    <n v="2022"/>
    <x v="28"/>
    <s v="WHATS"/>
    <n v="86280"/>
    <n v="2028.3"/>
    <m/>
    <m/>
    <m/>
    <x v="303"/>
    <m/>
  </r>
  <r>
    <n v="516"/>
    <x v="11"/>
    <s v="WHATS"/>
    <n v="85643"/>
    <n v="182.5"/>
    <m/>
    <m/>
    <m/>
    <x v="303"/>
    <m/>
  </r>
  <r>
    <n v="3017"/>
    <x v="62"/>
    <s v="WHATS"/>
    <n v="86320"/>
    <n v="250"/>
    <m/>
    <m/>
    <m/>
    <x v="304"/>
    <m/>
  </r>
  <r>
    <n v="1533"/>
    <x v="50"/>
    <s v="WHATS"/>
    <n v="86312"/>
    <n v="1167"/>
    <m/>
    <m/>
    <m/>
    <x v="304"/>
    <m/>
  </r>
  <r>
    <n v="3194"/>
    <x v="18"/>
    <s v="WHATS"/>
    <n v="86381"/>
    <n v="4169.55"/>
    <m/>
    <m/>
    <m/>
    <x v="305"/>
    <m/>
  </r>
  <r>
    <n v="2911"/>
    <x v="15"/>
    <s v="WHATS"/>
    <s v="86385/85011/101077"/>
    <n v="2153.7800000000002"/>
    <m/>
    <m/>
    <m/>
    <x v="305"/>
    <m/>
  </r>
  <r>
    <n v="1989"/>
    <x v="67"/>
    <s v="WHATS"/>
    <n v="86376"/>
    <n v="1556"/>
    <m/>
    <m/>
    <m/>
    <x v="305"/>
    <m/>
  </r>
  <r>
    <n v="1026"/>
    <x v="7"/>
    <s v="WHATS"/>
    <n v="86376"/>
    <n v="1036.8800000000001"/>
    <m/>
    <m/>
    <m/>
    <x v="305"/>
    <m/>
  </r>
  <r>
    <n v="3153"/>
    <x v="12"/>
    <s v="WHATS"/>
    <n v="86418"/>
    <n v="2266.6799999999998"/>
    <m/>
    <m/>
    <m/>
    <x v="306"/>
    <m/>
  </r>
  <r>
    <n v="663"/>
    <x v="116"/>
    <s v="WHATS"/>
    <s v="86267/101053"/>
    <n v="776.18"/>
    <m/>
    <m/>
    <m/>
    <x v="306"/>
    <m/>
  </r>
  <r>
    <n v="475"/>
    <x v="23"/>
    <s v="EMAIL"/>
    <n v="85712"/>
    <n v="1578.8"/>
    <m/>
    <m/>
    <m/>
    <x v="306"/>
    <m/>
  </r>
  <r>
    <n v="746"/>
    <x v="3"/>
    <s v="TEL"/>
    <s v="86437/101096"/>
    <n v="4374.37"/>
    <m/>
    <m/>
    <m/>
    <x v="306"/>
    <m/>
  </r>
  <r>
    <n v="731"/>
    <x v="4"/>
    <s v="WHATS"/>
    <n v="86436"/>
    <n v="778"/>
    <m/>
    <m/>
    <m/>
    <x v="306"/>
    <m/>
  </r>
  <r>
    <n v="784"/>
    <x v="13"/>
    <s v="EMAIL"/>
    <s v="84955/86446"/>
    <n v="4181"/>
    <m/>
    <m/>
    <m/>
    <x v="306"/>
    <m/>
  </r>
  <r>
    <n v="2163"/>
    <x v="36"/>
    <s v="TEL"/>
    <n v="86455"/>
    <n v="3013.98"/>
    <m/>
    <m/>
    <m/>
    <x v="306"/>
    <m/>
  </r>
  <r>
    <n v="50465"/>
    <x v="96"/>
    <s v="WHATS"/>
    <n v="86457"/>
    <n v="498"/>
    <m/>
    <m/>
    <m/>
    <x v="306"/>
    <m/>
  </r>
  <r>
    <n v="432"/>
    <x v="43"/>
    <s v="WHATS"/>
    <n v="86428"/>
    <n v="1627.04"/>
    <m/>
    <m/>
    <m/>
    <x v="306"/>
    <m/>
  </r>
  <r>
    <n v="2022"/>
    <x v="28"/>
    <s v="WHATS"/>
    <s v="86280/85984"/>
    <n v="8072.05"/>
    <m/>
    <m/>
    <m/>
    <x v="306"/>
    <m/>
  </r>
  <r>
    <n v="171"/>
    <x v="70"/>
    <s v="WHATS"/>
    <n v="85302"/>
    <n v="1576.96"/>
    <m/>
    <m/>
    <m/>
    <x v="306"/>
    <m/>
  </r>
  <r>
    <n v="311"/>
    <x v="46"/>
    <s v="WHATS"/>
    <s v="85642/86404"/>
    <n v="1133.5"/>
    <m/>
    <m/>
    <m/>
    <x v="306"/>
    <m/>
  </r>
  <r>
    <n v="784"/>
    <x v="13"/>
    <s v="WHATS"/>
    <s v="84995/86446"/>
    <n v="3003.86"/>
    <m/>
    <m/>
    <m/>
    <x v="306"/>
    <m/>
  </r>
  <r>
    <n v="50465"/>
    <x v="96"/>
    <s v="WHATS"/>
    <n v="86457"/>
    <n v="498"/>
    <m/>
    <m/>
    <m/>
    <x v="306"/>
    <m/>
  </r>
  <r>
    <n v="2702"/>
    <x v="73"/>
    <s v="WHATS"/>
    <n v="85230"/>
    <n v="1622.4"/>
    <m/>
    <m/>
    <m/>
    <x v="306"/>
    <m/>
  </r>
  <r>
    <n v="1989"/>
    <x v="67"/>
    <s v="WHATS"/>
    <n v="86203"/>
    <n v="616.03"/>
    <m/>
    <m/>
    <m/>
    <x v="306"/>
    <s v="soro programação"/>
  </r>
  <r>
    <n v="50554"/>
    <x v="20"/>
    <s v="WHATS"/>
    <n v="86213"/>
    <n v="189"/>
    <m/>
    <m/>
    <m/>
    <x v="306"/>
    <s v="soro programação"/>
  </r>
  <r>
    <n v="690"/>
    <x v="19"/>
    <s v="WHATS"/>
    <s v="86838/86202"/>
    <n v="295.3"/>
    <m/>
    <m/>
    <m/>
    <x v="306"/>
    <s v="soro programação"/>
  </r>
  <r>
    <n v="50418"/>
    <x v="35"/>
    <s v="WHATS"/>
    <n v="86475"/>
    <n v="2977.05"/>
    <m/>
    <m/>
    <m/>
    <x v="307"/>
    <m/>
  </r>
  <r>
    <n v="50554"/>
    <x v="20"/>
    <s v="WHATS"/>
    <s v="86213/86483/101104"/>
    <n v="5019.37"/>
    <m/>
    <m/>
    <m/>
    <x v="307"/>
    <m/>
  </r>
  <r>
    <n v="475"/>
    <x v="23"/>
    <s v="WHATS"/>
    <n v="86480"/>
    <n v="4102.3500000000004"/>
    <m/>
    <m/>
    <m/>
    <x v="307"/>
    <m/>
  </r>
  <r>
    <n v="1533"/>
    <x v="50"/>
    <s v="WHATS"/>
    <n v="86492"/>
    <n v="278.7"/>
    <m/>
    <m/>
    <m/>
    <x v="307"/>
    <m/>
  </r>
  <r>
    <n v="197"/>
    <x v="99"/>
    <s v="WHATS"/>
    <n v="86493"/>
    <n v="808.2"/>
    <m/>
    <m/>
    <m/>
    <x v="307"/>
    <m/>
  </r>
  <r>
    <n v="761"/>
    <x v="24"/>
    <s v="WHATS"/>
    <s v="86311/101048"/>
    <n v="1563.83"/>
    <m/>
    <m/>
    <m/>
    <x v="307"/>
    <m/>
  </r>
  <r>
    <n v="2022"/>
    <x v="28"/>
    <s v="WHATS"/>
    <n v="86280"/>
    <n v="332.72"/>
    <m/>
    <m/>
    <m/>
    <x v="307"/>
    <m/>
  </r>
  <r>
    <n v="50219"/>
    <x v="14"/>
    <s v="WHATS"/>
    <n v="86530"/>
    <n v="1548.5"/>
    <m/>
    <m/>
    <m/>
    <x v="307"/>
    <m/>
  </r>
  <r>
    <n v="500434"/>
    <x v="126"/>
    <s v="WHATS"/>
    <n v="86538"/>
    <n v="347.88"/>
    <m/>
    <m/>
    <m/>
    <x v="308"/>
    <m/>
  </r>
  <r>
    <n v="761"/>
    <x v="24"/>
    <s v="WHATS"/>
    <n v="85379"/>
    <n v="1563.83"/>
    <m/>
    <m/>
    <m/>
    <x v="308"/>
    <m/>
  </r>
  <r>
    <n v="432"/>
    <x v="43"/>
    <s v="WHATS"/>
    <s v="86428/101090"/>
    <n v="649.79999999999995"/>
    <m/>
    <m/>
    <m/>
    <x v="308"/>
    <m/>
  </r>
  <r>
    <n v="1726"/>
    <x v="34"/>
    <s v="EMAIL"/>
    <n v="86568"/>
    <n v="213"/>
    <m/>
    <m/>
    <m/>
    <x v="308"/>
    <m/>
  </r>
  <r>
    <n v="761"/>
    <x v="24"/>
    <s v="WHATS"/>
    <n v="85379"/>
    <n v="771.8"/>
    <m/>
    <m/>
    <m/>
    <x v="308"/>
    <m/>
  </r>
  <r>
    <n v="762"/>
    <x v="41"/>
    <s v="EMAIL"/>
    <s v="86546/86548"/>
    <n v="2202.4"/>
    <m/>
    <m/>
    <m/>
    <x v="309"/>
    <m/>
  </r>
  <r>
    <n v="2702"/>
    <x v="73"/>
    <s v="WHATS"/>
    <n v="86261"/>
    <n v="1622.4"/>
    <m/>
    <m/>
    <m/>
    <x v="309"/>
    <m/>
  </r>
  <r>
    <n v="50219"/>
    <x v="14"/>
    <s v="WHATS"/>
    <n v="86591"/>
    <n v="283.79000000000002"/>
    <m/>
    <m/>
    <m/>
    <x v="309"/>
    <m/>
  </r>
  <r>
    <n v="516"/>
    <x v="11"/>
    <s v="WHATS"/>
    <n v="766505"/>
    <n v="246.15"/>
    <m/>
    <m/>
    <m/>
    <x v="309"/>
    <m/>
  </r>
  <r>
    <n v="1026"/>
    <x v="7"/>
    <s v="WHATS"/>
    <n v="86621"/>
    <n v="1167"/>
    <m/>
    <m/>
    <m/>
    <x v="309"/>
    <m/>
  </r>
  <r>
    <n v="50558"/>
    <x v="2"/>
    <s v="EMAIL"/>
    <n v="76620"/>
    <n v="3674.4"/>
    <m/>
    <m/>
    <m/>
    <x v="310"/>
    <m/>
  </r>
  <r>
    <n v="690"/>
    <x v="19"/>
    <s v="WHATS"/>
    <s v="86241/101071"/>
    <n v="1462.65"/>
    <m/>
    <m/>
    <m/>
    <x v="310"/>
    <m/>
  </r>
  <r>
    <n v="618"/>
    <x v="26"/>
    <s v="WHATS"/>
    <n v="86658"/>
    <n v="4229.1499999999996"/>
    <m/>
    <m/>
    <m/>
    <x v="310"/>
    <m/>
  </r>
  <r>
    <n v="2415"/>
    <x v="63"/>
    <s v="WHATS"/>
    <n v="86619"/>
    <n v="3325.78"/>
    <m/>
    <m/>
    <m/>
    <x v="310"/>
    <m/>
  </r>
  <r>
    <n v="3475"/>
    <x v="59"/>
    <s v="WHATS"/>
    <n v="86445"/>
    <n v="213.7"/>
    <m/>
    <m/>
    <m/>
    <x v="310"/>
    <m/>
  </r>
  <r>
    <n v="761"/>
    <x v="24"/>
    <s v="WHATS"/>
    <s v="86672/10132"/>
    <n v="415.2"/>
    <m/>
    <m/>
    <m/>
    <x v="311"/>
    <m/>
  </r>
  <r>
    <n v="746"/>
    <x v="3"/>
    <s v="WHATS"/>
    <n v="86706"/>
    <n v="39.799999999999997"/>
    <m/>
    <m/>
    <m/>
    <x v="311"/>
    <m/>
  </r>
  <r>
    <n v="874"/>
    <x v="53"/>
    <s v="WHATS"/>
    <s v="86204/86703"/>
    <n v="3596.4"/>
    <m/>
    <m/>
    <m/>
    <x v="311"/>
    <m/>
  </r>
  <r>
    <n v="1122"/>
    <x v="87"/>
    <s v="EMAIL"/>
    <n v="86717"/>
    <n v="2180"/>
    <m/>
    <m/>
    <m/>
    <x v="311"/>
    <m/>
  </r>
  <r>
    <n v="475"/>
    <x v="23"/>
    <s v="WHATS"/>
    <s v="10102/86480"/>
    <n v="11035.82"/>
    <m/>
    <m/>
    <m/>
    <x v="311"/>
    <m/>
  </r>
  <r>
    <n v="50554"/>
    <x v="20"/>
    <s v="WHATS"/>
    <n v="86730"/>
    <n v="78.7"/>
    <m/>
    <m/>
    <m/>
    <x v="311"/>
    <m/>
  </r>
  <r>
    <n v="1788"/>
    <x v="91"/>
    <s v="WHATS"/>
    <n v="86738"/>
    <n v="162.5"/>
    <m/>
    <m/>
    <m/>
    <x v="311"/>
    <m/>
  </r>
  <r>
    <n v="762"/>
    <x v="41"/>
    <s v="WHATS"/>
    <n v="86744"/>
    <n v="5832.6"/>
    <m/>
    <m/>
    <m/>
    <x v="311"/>
    <m/>
  </r>
  <r>
    <n v="197"/>
    <x v="99"/>
    <s v="WHATS"/>
    <n v="86493"/>
    <n v="1635.4"/>
    <m/>
    <m/>
    <m/>
    <x v="312"/>
    <m/>
  </r>
  <r>
    <n v="3475"/>
    <x v="59"/>
    <s v="WHATS"/>
    <s v="86445/86763"/>
    <n v="538.20000000000005"/>
    <m/>
    <m/>
    <m/>
    <x v="312"/>
    <m/>
  </r>
  <r>
    <n v="50310"/>
    <x v="108"/>
    <s v="WHATS"/>
    <n v="101148"/>
    <n v="356.2"/>
    <m/>
    <m/>
    <m/>
    <x v="312"/>
    <m/>
  </r>
  <r>
    <n v="463"/>
    <x v="32"/>
    <s v="WHATS"/>
    <n v="86451"/>
    <n v="1256"/>
    <m/>
    <m/>
    <m/>
    <x v="312"/>
    <m/>
  </r>
  <r>
    <n v="1493"/>
    <x v="21"/>
    <s v="WHATS"/>
    <n v="86773"/>
    <n v="1763.72"/>
    <m/>
    <m/>
    <m/>
    <x v="312"/>
    <m/>
  </r>
  <r>
    <n v="761"/>
    <x v="24"/>
    <s v="WHATS"/>
    <n v="86774"/>
    <n v="444"/>
    <m/>
    <m/>
    <m/>
    <x v="312"/>
    <m/>
  </r>
  <r>
    <n v="50219"/>
    <x v="14"/>
    <s v="WHATS"/>
    <n v="86776"/>
    <n v="488.4"/>
    <m/>
    <m/>
    <m/>
    <x v="312"/>
    <m/>
  </r>
  <r>
    <n v="823"/>
    <x v="17"/>
    <s v="WHATS"/>
    <s v="86793/101154"/>
    <n v="9010.9"/>
    <m/>
    <m/>
    <m/>
    <x v="313"/>
    <m/>
  </r>
  <r>
    <n v="500149"/>
    <x v="94"/>
    <s v="WHATS"/>
    <s v="86786/101046"/>
    <n v="2993.6"/>
    <m/>
    <m/>
    <m/>
    <x v="313"/>
    <m/>
  </r>
  <r>
    <n v="412"/>
    <x v="90"/>
    <s v="WHATS"/>
    <s v="86718/101157"/>
    <n v="1065.5999999999999"/>
    <m/>
    <m/>
    <m/>
    <x v="313"/>
    <m/>
  </r>
  <r>
    <n v="171"/>
    <x v="70"/>
    <s v="WHATS"/>
    <n v="86780"/>
    <n v="1444.2"/>
    <m/>
    <m/>
    <m/>
    <x v="313"/>
    <m/>
  </r>
  <r>
    <n v="50418"/>
    <x v="35"/>
    <s v="WHATS"/>
    <n v="86834"/>
    <n v="5772.6"/>
    <m/>
    <m/>
    <m/>
    <x v="313"/>
    <m/>
  </r>
  <r>
    <n v="822"/>
    <x v="66"/>
    <s v="WHATS"/>
    <n v="86837"/>
    <n v="1467.8"/>
    <m/>
    <m/>
    <m/>
    <x v="313"/>
    <m/>
  </r>
  <r>
    <n v="1905"/>
    <x v="107"/>
    <s v="WHATS"/>
    <n v="86675"/>
    <n v="585.54"/>
    <m/>
    <m/>
    <m/>
    <x v="314"/>
    <m/>
  </r>
  <r>
    <n v="731"/>
    <x v="4"/>
    <s v="WHATS"/>
    <n v="86859"/>
    <n v="778"/>
    <m/>
    <m/>
    <m/>
    <x v="314"/>
    <m/>
  </r>
  <r>
    <n v="687"/>
    <x v="16"/>
    <s v="WHATS"/>
    <s v="101160/86716"/>
    <n v="777.75"/>
    <m/>
    <m/>
    <m/>
    <x v="314"/>
    <m/>
  </r>
  <r>
    <n v="704"/>
    <x v="49"/>
    <s v="TEL"/>
    <s v="10130/86670"/>
    <n v="987.23"/>
    <m/>
    <m/>
    <m/>
    <x v="315"/>
    <m/>
  </r>
  <r>
    <n v="1164"/>
    <x v="58"/>
    <s v="WHATS"/>
    <s v="84792/86641"/>
    <n v="1130.73"/>
    <m/>
    <m/>
    <m/>
    <x v="315"/>
    <m/>
  </r>
  <r>
    <n v="705"/>
    <x v="1"/>
    <s v="WHATS"/>
    <s v="101169/86853"/>
    <n v="1100.72"/>
    <m/>
    <m/>
    <m/>
    <x v="315"/>
    <m/>
  </r>
  <r>
    <n v="1652"/>
    <x v="61"/>
    <s v="TEL"/>
    <s v="86736/101145"/>
    <n v="1061.69"/>
    <m/>
    <m/>
    <m/>
    <x v="316"/>
    <m/>
  </r>
  <r>
    <n v="480"/>
    <x v="39"/>
    <s v="WHATS"/>
    <n v="86923"/>
    <n v="3685.15"/>
    <m/>
    <m/>
    <m/>
    <x v="316"/>
    <m/>
  </r>
  <r>
    <n v="761"/>
    <x v="24"/>
    <s v="WHATS"/>
    <n v="86926"/>
    <n v="1971.27"/>
    <m/>
    <m/>
    <m/>
    <x v="316"/>
    <m/>
  </r>
  <r>
    <n v="2980"/>
    <x v="40"/>
    <s v="WHATS"/>
    <s v="86705/101138"/>
    <n v="961.23"/>
    <m/>
    <m/>
    <m/>
    <x v="317"/>
    <m/>
  </r>
  <r>
    <n v="1533"/>
    <x v="50"/>
    <s v="WHATS"/>
    <s v="86957/101190"/>
    <n v="1379.55"/>
    <m/>
    <m/>
    <m/>
    <x v="317"/>
    <m/>
  </r>
  <r>
    <n v="325"/>
    <x v="97"/>
    <s v="WHATS"/>
    <s v="86964/101192"/>
    <n v="4182.1499999999996"/>
    <m/>
    <m/>
    <m/>
    <x v="317"/>
    <m/>
  </r>
  <r>
    <n v="906"/>
    <x v="27"/>
    <s v="WHATS"/>
    <n v="86976"/>
    <n v="1254"/>
    <m/>
    <m/>
    <m/>
    <x v="317"/>
    <m/>
  </r>
  <r>
    <n v="516"/>
    <x v="11"/>
    <s v="EMAIL"/>
    <s v="86299/86709"/>
    <n v="10883.92"/>
    <m/>
    <m/>
    <m/>
    <x v="317"/>
    <m/>
  </r>
  <r>
    <n v="50936"/>
    <x v="93"/>
    <s v="WHATS"/>
    <n v="86991"/>
    <n v="877.2"/>
    <m/>
    <m/>
    <m/>
    <x v="317"/>
    <m/>
  </r>
  <r>
    <n v="705"/>
    <x v="1"/>
    <s v="WHATS"/>
    <n v="86996"/>
    <n v="119.8"/>
    <m/>
    <m/>
    <m/>
    <x v="318"/>
    <m/>
  </r>
  <r>
    <n v="311"/>
    <x v="46"/>
    <s v="WHATS"/>
    <n v="87006"/>
    <n v="1090"/>
    <m/>
    <m/>
    <m/>
    <x v="318"/>
    <m/>
  </r>
  <r>
    <n v="475"/>
    <x v="23"/>
    <s v="EMAIL"/>
    <s v="86782/86388/101167/101102"/>
    <n v="7398.24"/>
    <m/>
    <m/>
    <m/>
    <x v="319"/>
    <m/>
  </r>
  <r>
    <n v="572"/>
    <x v="51"/>
    <s v="WHATS"/>
    <n v="86935"/>
    <n v="684.99"/>
    <m/>
    <m/>
    <m/>
    <x v="319"/>
    <m/>
  </r>
  <r>
    <n v="50310"/>
    <x v="108"/>
    <s v="WHATS"/>
    <n v="101148"/>
    <n v="356.2"/>
    <m/>
    <m/>
    <m/>
    <x v="319"/>
    <m/>
  </r>
  <r>
    <n v="708"/>
    <x v="56"/>
    <s v="WHATS"/>
    <n v="86588"/>
    <n v="2274"/>
    <m/>
    <m/>
    <m/>
    <x v="319"/>
    <m/>
  </r>
  <r>
    <n v="1164"/>
    <x v="58"/>
    <s v="WHATS"/>
    <s v="87043/101198"/>
    <n v="621.04"/>
    <m/>
    <m/>
    <m/>
    <x v="319"/>
    <m/>
  </r>
  <r>
    <n v="50185"/>
    <x v="105"/>
    <s v="WHATS"/>
    <n v="87046"/>
    <n v="671"/>
    <m/>
    <m/>
    <m/>
    <x v="319"/>
    <m/>
  </r>
  <r>
    <n v="1493"/>
    <x v="21"/>
    <s v="WHATS"/>
    <n v="86888"/>
    <n v="268"/>
    <m/>
    <m/>
    <m/>
    <x v="319"/>
    <m/>
  </r>
  <r>
    <n v="500243"/>
    <x v="110"/>
    <s v="WHATS"/>
    <n v="87050"/>
    <n v="1203.5999999999999"/>
    <m/>
    <m/>
    <m/>
    <x v="319"/>
    <m/>
  </r>
  <r>
    <n v="762"/>
    <x v="41"/>
    <s v="EMAIL"/>
    <n v="87054"/>
    <n v="2076.1999999999998"/>
    <m/>
    <m/>
    <m/>
    <x v="319"/>
    <m/>
  </r>
  <r>
    <n v="1533"/>
    <x v="50"/>
    <s v="WHATS"/>
    <n v="87051"/>
    <n v="930"/>
    <m/>
    <m/>
    <m/>
    <x v="319"/>
    <m/>
  </r>
  <r>
    <n v="960"/>
    <x v="30"/>
    <s v="WHATS"/>
    <s v="87064/101202"/>
    <n v="1854.73"/>
    <m/>
    <m/>
    <m/>
    <x v="320"/>
    <m/>
  </r>
  <r>
    <n v="50312"/>
    <x v="86"/>
    <s v="WHATS"/>
    <n v="101148"/>
    <n v="356.2"/>
    <m/>
    <m/>
    <m/>
    <x v="319"/>
    <m/>
  </r>
  <r>
    <n v="51042"/>
    <x v="106"/>
    <s v="WHATS"/>
    <s v="101203/87078"/>
    <n v="428.1"/>
    <m/>
    <m/>
    <m/>
    <x v="319"/>
    <m/>
  </r>
  <r>
    <n v="1813"/>
    <x v="48"/>
    <s v="WHATS"/>
    <n v="87088"/>
    <n v="1201.7"/>
    <m/>
    <m/>
    <m/>
    <x v="319"/>
    <m/>
  </r>
  <r>
    <n v="2415"/>
    <x v="63"/>
    <s v="WHATS"/>
    <s v="101143/86965"/>
    <n v="537.5"/>
    <m/>
    <m/>
    <m/>
    <x v="319"/>
    <m/>
  </r>
  <r>
    <n v="463"/>
    <x v="32"/>
    <s v="WHATS"/>
    <n v="87090"/>
    <n v="714.33"/>
    <m/>
    <m/>
    <m/>
    <x v="319"/>
    <m/>
  </r>
  <r>
    <n v="50576"/>
    <x v="37"/>
    <s v="WHATS"/>
    <s v="87098/101210"/>
    <n v="1850.54"/>
    <m/>
    <m/>
    <m/>
    <x v="320"/>
    <m/>
  </r>
  <r>
    <n v="761"/>
    <x v="24"/>
    <s v="WHATS"/>
    <s v="87109/101212"/>
    <n v="1352.3"/>
    <m/>
    <m/>
    <m/>
    <x v="320"/>
    <m/>
  </r>
  <r>
    <n v="822"/>
    <x v="66"/>
    <s v="WHATS"/>
    <n v="86837"/>
    <n v="1205"/>
    <m/>
    <m/>
    <m/>
    <x v="320"/>
    <m/>
  </r>
  <r>
    <n v="2752"/>
    <x v="120"/>
    <s v="WHATS"/>
    <n v="87107"/>
    <n v="872.54"/>
    <m/>
    <m/>
    <m/>
    <x v="320"/>
    <m/>
  </r>
  <r>
    <n v="1788"/>
    <x v="91"/>
    <s v="WHATS"/>
    <n v="871119"/>
    <n v="330.2"/>
    <m/>
    <m/>
    <m/>
    <x v="320"/>
    <m/>
  </r>
  <r>
    <n v="906"/>
    <x v="27"/>
    <s v="WHATS"/>
    <s v="87100/101218"/>
    <n v="1894.73"/>
    <m/>
    <m/>
    <m/>
    <x v="320"/>
    <m/>
  </r>
  <r>
    <n v="1623"/>
    <x v="57"/>
    <s v="WHATS"/>
    <n v="87426"/>
    <n v="1403.65"/>
    <m/>
    <m/>
    <m/>
    <x v="321"/>
    <m/>
  </r>
  <r>
    <n v="823"/>
    <x v="17"/>
    <s v="WHATS"/>
    <n v="87388"/>
    <n v="364"/>
    <m/>
    <m/>
    <m/>
    <x v="321"/>
    <m/>
  </r>
  <r>
    <n v="2980"/>
    <x v="40"/>
    <s v="WHATS"/>
    <s v="87399/86705/101270"/>
    <n v="1234.48"/>
    <m/>
    <m/>
    <m/>
    <x v="321"/>
    <m/>
  </r>
  <r>
    <n v="1041"/>
    <x v="78"/>
    <s v="WHATS"/>
    <n v="87414"/>
    <n v="876.3"/>
    <m/>
    <m/>
    <m/>
    <x v="321"/>
    <m/>
  </r>
  <r>
    <n v="784"/>
    <x v="13"/>
    <s v="WHATS"/>
    <n v="87375"/>
    <n v="1278.5999999999999"/>
    <m/>
    <m/>
    <m/>
    <x v="321"/>
    <m/>
  </r>
  <r>
    <n v="3194"/>
    <x v="18"/>
    <s v="WHATS"/>
    <n v="87419"/>
    <n v="1470.1"/>
    <m/>
    <m/>
    <m/>
    <x v="321"/>
    <m/>
  </r>
  <r>
    <n v="1206"/>
    <x v="33"/>
    <s v="WHATS"/>
    <n v="87450"/>
    <n v="867.86"/>
    <m/>
    <m/>
    <m/>
    <x v="321"/>
    <m/>
  </r>
  <r>
    <n v="50554"/>
    <x v="20"/>
    <s v="WHATS"/>
    <s v="87167/101279"/>
    <n v="3082.18"/>
    <m/>
    <m/>
    <m/>
    <x v="322"/>
    <m/>
  </r>
  <r>
    <n v="1623"/>
    <x v="57"/>
    <s v="WHATS"/>
    <n v="87426"/>
    <n v="708.05"/>
    <m/>
    <m/>
    <m/>
    <x v="322"/>
    <m/>
  </r>
  <r>
    <n v="663"/>
    <x v="116"/>
    <s v="WHATS"/>
    <s v="87448/101278"/>
    <n v="1165.95"/>
    <m/>
    <m/>
    <m/>
    <x v="322"/>
    <m/>
  </r>
  <r>
    <n v="1122"/>
    <x v="87"/>
    <s v="WHATS"/>
    <n v="86990"/>
    <n v="889"/>
    <m/>
    <m/>
    <m/>
    <x v="323"/>
    <m/>
  </r>
  <r>
    <n v="2980"/>
    <x v="40"/>
    <s v="WHATS"/>
    <s v="87399/86705/101270"/>
    <n v="1099.5899999999999"/>
    <m/>
    <m/>
    <m/>
    <x v="323"/>
    <m/>
  </r>
  <r>
    <n v="746"/>
    <x v="3"/>
    <s v="WHATS"/>
    <s v="87433/101277"/>
    <n v="2506.89"/>
    <m/>
    <m/>
    <m/>
    <x v="323"/>
    <m/>
  </r>
  <r>
    <n v="1164"/>
    <x v="58"/>
    <s v="WHATS"/>
    <n v="87501"/>
    <n v="2173.7800000000002"/>
    <m/>
    <m/>
    <m/>
    <x v="323"/>
    <m/>
  </r>
  <r>
    <n v="1652"/>
    <x v="61"/>
    <s v="WHATS"/>
    <s v="87508/101292"/>
    <n v="622.5"/>
    <m/>
    <m/>
    <m/>
    <x v="323"/>
    <m/>
  </r>
  <r>
    <n v="475"/>
    <x v="23"/>
    <s v="EMAIL"/>
    <s v="85712/87409/86480/101298"/>
    <n v="10414.31"/>
    <m/>
    <m/>
    <m/>
    <x v="323"/>
    <m/>
  </r>
  <r>
    <n v="690"/>
    <x v="19"/>
    <s v="WHATS"/>
    <s v="101163/87166"/>
    <n v="1649.05"/>
    <m/>
    <m/>
    <m/>
    <x v="323"/>
    <m/>
  </r>
  <r>
    <n v="50558"/>
    <x v="2"/>
    <s v="EMAIL"/>
    <s v="86831/86620"/>
    <n v="3290.9"/>
    <m/>
    <m/>
    <m/>
    <x v="323"/>
    <m/>
  </r>
  <r>
    <n v="581"/>
    <x v="74"/>
    <s v="WHATS"/>
    <n v="101274"/>
    <n v="2019.49"/>
    <m/>
    <m/>
    <m/>
    <x v="324"/>
    <m/>
  </r>
  <r>
    <n v="784"/>
    <x v="13"/>
    <s v="WHATS"/>
    <s v="87375/87564"/>
    <n v="1554.6"/>
    <m/>
    <m/>
    <m/>
    <x v="324"/>
    <m/>
  </r>
  <r>
    <n v="761"/>
    <x v="24"/>
    <s v="WHATS"/>
    <s v="87113/101305"/>
    <n v="1151.7"/>
    <m/>
    <m/>
    <m/>
    <x v="324"/>
    <m/>
  </r>
  <r>
    <n v="50418"/>
    <x v="35"/>
    <s v="WHATS"/>
    <n v="87602"/>
    <n v="4953.2"/>
    <m/>
    <m/>
    <m/>
    <x v="325"/>
    <m/>
  </r>
  <r>
    <n v="1534"/>
    <x v="104"/>
    <s v="WHATS"/>
    <n v="87429"/>
    <n v="1610.44"/>
    <m/>
    <m/>
    <m/>
    <x v="325"/>
    <m/>
  </r>
  <r>
    <n v="500149"/>
    <x v="94"/>
    <s v="WHATS"/>
    <n v="87630"/>
    <n v="1378.4"/>
    <m/>
    <m/>
    <m/>
    <x v="325"/>
    <m/>
  </r>
  <r>
    <n v="1122"/>
    <x v="87"/>
    <s v="WHATS"/>
    <n v="87691"/>
    <n v="3563.8"/>
    <m/>
    <m/>
    <m/>
    <x v="326"/>
    <m/>
  </r>
  <r>
    <n v="906"/>
    <x v="27"/>
    <s v="WHATS"/>
    <n v="87670"/>
    <n v="615.88"/>
    <m/>
    <m/>
    <m/>
    <x v="326"/>
    <m/>
  </r>
  <r>
    <n v="3492"/>
    <x v="132"/>
    <s v="WHATS"/>
    <n v="87774"/>
    <n v="299.7"/>
    <m/>
    <m/>
    <m/>
    <x v="327"/>
    <m/>
  </r>
  <r>
    <n v="2702"/>
    <x v="73"/>
    <s v="WHATS"/>
    <s v="87755/87762"/>
    <n v="2244.58"/>
    <m/>
    <m/>
    <m/>
    <x v="327"/>
    <m/>
  </r>
  <r>
    <n v="3018"/>
    <x v="64"/>
    <s v="EMAIL"/>
    <n v="101244"/>
    <n v="189.95"/>
    <m/>
    <m/>
    <m/>
    <x v="328"/>
    <m/>
  </r>
  <r>
    <n v="1971"/>
    <x v="29"/>
    <s v="WHATS"/>
    <s v="101338/87725"/>
    <n v="230.14"/>
    <m/>
    <m/>
    <m/>
    <x v="328"/>
    <m/>
  </r>
  <r>
    <n v="50861"/>
    <x v="133"/>
    <s v="WHATS"/>
    <n v="87721"/>
    <n v="1282.3"/>
    <m/>
    <m/>
    <m/>
    <x v="328"/>
    <m/>
  </r>
  <r>
    <n v="1493"/>
    <x v="21"/>
    <s v="TEL"/>
    <n v="87726"/>
    <n v="1856.92"/>
    <m/>
    <m/>
    <m/>
    <x v="328"/>
    <m/>
  </r>
  <r>
    <n v="834"/>
    <x v="0"/>
    <s v="WHATS"/>
    <n v="87732"/>
    <n v="2076.86"/>
    <m/>
    <m/>
    <m/>
    <x v="328"/>
    <m/>
  </r>
  <r>
    <n v="432"/>
    <x v="43"/>
    <s v="WHATS"/>
    <s v="101337/87724"/>
    <n v="3814.57"/>
    <m/>
    <m/>
    <m/>
    <x v="328"/>
    <m/>
  </r>
  <r>
    <n v="1927"/>
    <x v="0"/>
    <s v="WHATS"/>
    <n v="87743"/>
    <n v="2128.4"/>
    <m/>
    <m/>
    <m/>
    <x v="328"/>
    <m/>
  </r>
  <r>
    <n v="500243"/>
    <x v="110"/>
    <s v="WHATS"/>
    <n v="87759"/>
    <n v="1211.21"/>
    <m/>
    <m/>
    <m/>
    <x v="328"/>
    <m/>
  </r>
  <r>
    <n v="475"/>
    <x v="23"/>
    <s v="WHATS"/>
    <s v="87700/85062"/>
    <n v="958.92"/>
    <m/>
    <m/>
    <m/>
    <x v="328"/>
    <m/>
  </r>
  <r>
    <n v="572"/>
    <x v="51"/>
    <s v="WHATS"/>
    <n v="87760"/>
    <n v="723.78"/>
    <m/>
    <m/>
    <m/>
    <x v="327"/>
    <m/>
  </r>
  <r>
    <n v="463"/>
    <x v="32"/>
    <s v="WHATS"/>
    <s v="87785/87090"/>
    <n v="2387.15"/>
    <m/>
    <m/>
    <m/>
    <x v="327"/>
    <m/>
  </r>
  <r>
    <n v="1164"/>
    <x v="58"/>
    <s v="WHATS"/>
    <s v="101346/87525"/>
    <n v="720.1"/>
    <m/>
    <m/>
    <m/>
    <x v="327"/>
    <m/>
  </r>
  <r>
    <n v="772"/>
    <x v="71"/>
    <s v="WHATS"/>
    <s v="87801/101350"/>
    <n v="910.01"/>
    <m/>
    <m/>
    <m/>
    <x v="327"/>
    <m/>
  </r>
  <r>
    <n v="3077"/>
    <x v="10"/>
    <s v="WHATS"/>
    <s v="87699/101330"/>
    <n v="1285.04"/>
    <m/>
    <m/>
    <m/>
    <x v="327"/>
    <m/>
  </r>
  <r>
    <n v="2022"/>
    <x v="28"/>
    <s v="WHATS"/>
    <n v="87804"/>
    <n v="468"/>
    <m/>
    <m/>
    <m/>
    <x v="327"/>
    <m/>
  </r>
  <r>
    <n v="3019"/>
    <x v="132"/>
    <s v="WHATS"/>
    <n v="87807"/>
    <n v="854.5"/>
    <m/>
    <m/>
    <m/>
    <x v="327"/>
    <m/>
  </r>
  <r>
    <n v="2596"/>
    <x v="0"/>
    <s v="WHATS"/>
    <n v="87816"/>
    <n v="375.05"/>
    <m/>
    <m/>
    <m/>
    <x v="329"/>
    <m/>
  </r>
  <r>
    <n v="1989"/>
    <x v="67"/>
    <s v="WHATS"/>
    <n v="87168"/>
    <n v="735.73"/>
    <m/>
    <m/>
    <m/>
    <x v="329"/>
    <m/>
  </r>
  <r>
    <n v="690"/>
    <x v="19"/>
    <s v="WHATS"/>
    <s v="87606/87166"/>
    <n v="653.5"/>
    <m/>
    <m/>
    <m/>
    <x v="329"/>
    <m/>
  </r>
  <r>
    <n v="50554"/>
    <x v="20"/>
    <s v="WHATS"/>
    <n v="87797"/>
    <n v="170"/>
    <m/>
    <m/>
    <m/>
    <x v="329"/>
    <m/>
  </r>
  <r>
    <n v="784"/>
    <x v="13"/>
    <s v="WHATS"/>
    <n v="87823"/>
    <n v="1791"/>
    <m/>
    <m/>
    <m/>
    <x v="329"/>
    <m/>
  </r>
  <r>
    <n v="960"/>
    <x v="30"/>
    <s v="WHATS"/>
    <n v="87826"/>
    <n v="375.15"/>
    <m/>
    <m/>
    <m/>
    <x v="329"/>
    <m/>
  </r>
  <r>
    <n v="832"/>
    <x v="55"/>
    <s v="WHATS"/>
    <n v="87827"/>
    <n v="10022.82"/>
    <m/>
    <m/>
    <m/>
    <x v="329"/>
    <m/>
  </r>
  <r>
    <n v="50465"/>
    <x v="96"/>
    <s v="WHATS"/>
    <n v="87830"/>
    <n v="856.58"/>
    <m/>
    <m/>
    <m/>
    <x v="329"/>
    <m/>
  </r>
  <r>
    <n v="432"/>
    <x v="43"/>
    <s v="WHATS"/>
    <n v="87842"/>
    <n v="310"/>
    <m/>
    <m/>
    <m/>
    <x v="329"/>
    <m/>
  </r>
  <r>
    <n v="822"/>
    <x v="66"/>
    <s v="WHATS"/>
    <s v="87832/101360"/>
    <n v="2422.9"/>
    <m/>
    <m/>
    <m/>
    <x v="329"/>
    <m/>
  </r>
  <r>
    <n v="50576"/>
    <x v="37"/>
    <s v="WHATS"/>
    <n v="87864"/>
    <n v="518.20000000000005"/>
    <m/>
    <m/>
    <m/>
    <x v="330"/>
    <m/>
  </r>
  <r>
    <n v="2415"/>
    <x v="63"/>
    <s v="WHATS"/>
    <n v="87761"/>
    <n v="898.8"/>
    <m/>
    <m/>
    <m/>
    <x v="330"/>
    <m/>
  </r>
  <r>
    <n v="50986"/>
    <x v="0"/>
    <s v="WHATS"/>
    <n v="87884"/>
    <n v="5000"/>
    <m/>
    <m/>
    <m/>
    <x v="330"/>
    <m/>
  </r>
  <r>
    <n v="412"/>
    <x v="90"/>
    <s v="WHATS"/>
    <n v="87881"/>
    <n v="1384.45"/>
    <m/>
    <m/>
    <m/>
    <x v="331"/>
    <m/>
  </r>
  <r>
    <n v="725"/>
    <x v="65"/>
    <s v="WHATS"/>
    <n v="87867"/>
    <n v="1592.19"/>
    <m/>
    <m/>
    <m/>
    <x v="331"/>
    <m/>
  </r>
  <r>
    <n v="762"/>
    <x v="41"/>
    <s v="WHATS"/>
    <n v="88237"/>
    <n v="987.55"/>
    <m/>
    <m/>
    <m/>
    <x v="331"/>
    <m/>
  </r>
  <r>
    <n v="1056"/>
    <x v="0"/>
    <s v="WHATS"/>
    <n v="87896"/>
    <n v="1518"/>
    <m/>
    <m/>
    <m/>
    <x v="331"/>
    <m/>
  </r>
  <r>
    <n v="2596"/>
    <x v="0"/>
    <s v="WHATS"/>
    <n v="87895"/>
    <n v="226.7"/>
    <m/>
    <m/>
    <m/>
    <x v="332"/>
    <m/>
  </r>
  <r>
    <n v="1750"/>
    <x v="0"/>
    <s v="WHATS"/>
    <n v="87928"/>
    <n v="1790.8"/>
    <m/>
    <m/>
    <m/>
    <x v="332"/>
    <m/>
  </r>
  <r>
    <n v="516"/>
    <x v="11"/>
    <s v="WHATS"/>
    <s v="87930/86709"/>
    <n v="10684.4"/>
    <m/>
    <m/>
    <m/>
    <x v="332"/>
    <m/>
  </r>
  <r>
    <n v="480"/>
    <x v="39"/>
    <s v="WHATS"/>
    <s v="87855/101364"/>
    <n v="1671.45"/>
    <m/>
    <m/>
    <m/>
    <x v="332"/>
    <m/>
  </r>
  <r>
    <n v="2199"/>
    <x v="132"/>
    <s v="EMAIL"/>
    <s v="101356/101362/ 87834"/>
    <n v="2040.75"/>
    <m/>
    <m/>
    <m/>
    <x v="332"/>
    <m/>
  </r>
  <r>
    <n v="618"/>
    <x v="26"/>
    <s v="WHATS"/>
    <n v="87963"/>
    <n v="1044"/>
    <m/>
    <m/>
    <m/>
    <x v="332"/>
    <m/>
  </r>
  <r>
    <n v="311"/>
    <x v="46"/>
    <s v="WHATS"/>
    <n v="87965"/>
    <n v="996"/>
    <m/>
    <m/>
    <m/>
    <x v="332"/>
    <m/>
  </r>
  <r>
    <n v="1813"/>
    <x v="48"/>
    <s v="WHATS"/>
    <n v="87950"/>
    <n v="1058.3"/>
    <m/>
    <m/>
    <m/>
    <x v="333"/>
    <m/>
  </r>
  <r>
    <n v="960"/>
    <x v="30"/>
    <s v="WHATS"/>
    <s v="101357/87882"/>
    <n v="184.48"/>
    <m/>
    <m/>
    <m/>
    <x v="332"/>
    <m/>
  </r>
  <r>
    <n v="761"/>
    <x v="24"/>
    <s v="WHATS"/>
    <s v="87772/86926/87113/101318"/>
    <n v="562.16"/>
    <m/>
    <m/>
    <m/>
    <x v="333"/>
    <m/>
  </r>
  <r>
    <n v="1147"/>
    <x v="68"/>
    <s v="WHATS"/>
    <s v="87922/101382"/>
    <n v="836.22"/>
    <m/>
    <m/>
    <m/>
    <x v="333"/>
    <m/>
  </r>
  <r>
    <n v="874"/>
    <x v="53"/>
    <s v="WHATS"/>
    <s v="87991/87454"/>
    <n v="3828.88"/>
    <m/>
    <m/>
    <m/>
    <x v="333"/>
    <m/>
  </r>
  <r>
    <n v="2955"/>
    <x v="82"/>
    <s v="WHATS"/>
    <n v="88005"/>
    <n v="1356.75"/>
    <m/>
    <m/>
    <m/>
    <x v="333"/>
    <m/>
  </r>
  <r>
    <n v="2596"/>
    <x v="0"/>
    <s v="WHATS"/>
    <n v="88009"/>
    <n v="145.6"/>
    <m/>
    <m/>
    <m/>
    <x v="333"/>
    <m/>
  </r>
  <r>
    <n v="412"/>
    <x v="90"/>
    <s v="WHATS"/>
    <n v="88016"/>
    <n v="235.88"/>
    <m/>
    <m/>
    <m/>
    <x v="333"/>
    <m/>
  </r>
  <r>
    <n v="325"/>
    <x v="97"/>
    <s v="WHATS"/>
    <s v="88021/101394"/>
    <n v="1281.3"/>
    <m/>
    <m/>
    <m/>
    <x v="333"/>
    <m/>
  </r>
  <r>
    <n v="1533"/>
    <x v="50"/>
    <s v="WHATS"/>
    <s v="87932/101374"/>
    <n v="283.14999999999998"/>
    <m/>
    <m/>
    <m/>
    <x v="334"/>
    <m/>
  </r>
  <r>
    <n v="822"/>
    <x v="66"/>
    <s v="WHATS"/>
    <n v="88037"/>
    <n v="257.38"/>
    <m/>
    <m/>
    <m/>
    <x v="334"/>
    <m/>
  </r>
  <r>
    <n v="1026"/>
    <x v="7"/>
    <s v="WHATS"/>
    <n v="88039"/>
    <n v="2707.07"/>
    <m/>
    <m/>
    <m/>
    <x v="334"/>
    <m/>
  </r>
  <r>
    <n v="1927"/>
    <x v="0"/>
    <s v="WHATS"/>
    <n v="88040"/>
    <n v="138.5"/>
    <m/>
    <m/>
    <m/>
    <x v="334"/>
    <m/>
  </r>
  <r>
    <n v="463"/>
    <x v="32"/>
    <s v="WHATS"/>
    <n v="88047"/>
    <n v="627.48"/>
    <m/>
    <m/>
    <m/>
    <x v="335"/>
    <m/>
  </r>
  <r>
    <n v="834"/>
    <x v="0"/>
    <s v="WHATS"/>
    <s v="88077/88078"/>
    <n v="4102.6899999999996"/>
    <m/>
    <m/>
    <m/>
    <x v="335"/>
    <m/>
  </r>
  <r>
    <n v="2911"/>
    <x v="15"/>
    <s v="WHATS"/>
    <s v="88072/101402"/>
    <n v="1457.65"/>
    <m/>
    <m/>
    <m/>
    <x v="335"/>
    <m/>
  </r>
  <r>
    <n v="50558"/>
    <x v="2"/>
    <s v="WHATS"/>
    <n v="88084"/>
    <n v="920"/>
    <m/>
    <m/>
    <m/>
    <x v="335"/>
    <m/>
  </r>
  <r>
    <n v="1623"/>
    <x v="57"/>
    <s v="WHATS"/>
    <n v="88123"/>
    <n v="1748.8"/>
    <m/>
    <m/>
    <m/>
    <x v="336"/>
    <m/>
  </r>
  <r>
    <n v="50219"/>
    <x v="14"/>
    <s v="WHATS"/>
    <n v="88116"/>
    <n v="218"/>
    <m/>
    <m/>
    <m/>
    <x v="336"/>
    <m/>
  </r>
  <r>
    <n v="1788"/>
    <x v="91"/>
    <s v="WHATS"/>
    <n v="88126"/>
    <n v="1199.3"/>
    <m/>
    <m/>
    <m/>
    <x v="336"/>
    <m/>
  </r>
  <r>
    <n v="1842"/>
    <x v="47"/>
    <s v="WHATS"/>
    <n v="88136"/>
    <n v="414"/>
    <m/>
    <m/>
    <m/>
    <x v="336"/>
    <m/>
  </r>
  <r>
    <n v="434"/>
    <x v="134"/>
    <s v="WHATS"/>
    <n v="88140"/>
    <n v="1526.89"/>
    <m/>
    <m/>
    <m/>
    <x v="336"/>
    <m/>
  </r>
  <r>
    <n v="1240"/>
    <x v="25"/>
    <s v="WHATS"/>
    <n v="88135"/>
    <n v="2450.21"/>
    <m/>
    <m/>
    <m/>
    <x v="336"/>
    <m/>
  </r>
  <r>
    <n v="1090"/>
    <x v="0"/>
    <s v="WHATS"/>
    <n v="88150"/>
    <n v="557.79999999999995"/>
    <m/>
    <m/>
    <m/>
    <x v="337"/>
    <m/>
  </r>
  <r>
    <n v="500243"/>
    <x v="110"/>
    <s v="WHATS"/>
    <n v="87993"/>
    <n v="1029.04"/>
    <m/>
    <m/>
    <m/>
    <x v="337"/>
    <m/>
  </r>
  <r>
    <n v="823"/>
    <x v="17"/>
    <s v="EMAIL"/>
    <n v="87934"/>
    <n v="2279.4499999999998"/>
    <m/>
    <m/>
    <m/>
    <x v="337"/>
    <m/>
  </r>
  <r>
    <n v="1502"/>
    <x v="76"/>
    <s v="WHATS"/>
    <n v="88157"/>
    <n v="3457.88"/>
    <m/>
    <m/>
    <m/>
    <x v="337"/>
    <m/>
  </r>
  <r>
    <n v="1854"/>
    <x v="0"/>
    <s v="WHATS"/>
    <n v="88159"/>
    <n v="417.71"/>
    <m/>
    <m/>
    <m/>
    <x v="337"/>
    <m/>
  </r>
  <r>
    <n v="2980"/>
    <x v="40"/>
    <s v="EMAIL"/>
    <s v="88111/101409"/>
    <n v="757.31"/>
    <m/>
    <m/>
    <m/>
    <x v="337"/>
    <m/>
  </r>
  <r>
    <n v="980"/>
    <x v="80"/>
    <s v="WHATS"/>
    <n v="87612"/>
    <n v="939.2"/>
    <m/>
    <m/>
    <m/>
    <x v="337"/>
    <m/>
  </r>
  <r>
    <n v="50554"/>
    <x v="20"/>
    <s v="WHATS"/>
    <s v="87167/881/85/101419"/>
    <n v="845"/>
    <m/>
    <m/>
    <m/>
    <x v="338"/>
    <m/>
  </r>
  <r>
    <n v="1147"/>
    <x v="68"/>
    <s v="WHATS"/>
    <n v="88205"/>
    <n v="568.6"/>
    <m/>
    <m/>
    <m/>
    <x v="338"/>
    <m/>
  </r>
  <r>
    <n v="475"/>
    <x v="23"/>
    <s v="WHATS"/>
    <s v="88186/101343"/>
    <n v="11863.36"/>
    <m/>
    <m/>
    <m/>
    <x v="338"/>
    <m/>
  </r>
  <r>
    <n v="1164"/>
    <x v="58"/>
    <s v="WHATS"/>
    <s v="101421/88196"/>
    <n v="321.77999999999997"/>
    <m/>
    <m/>
    <m/>
    <x v="338"/>
    <m/>
  </r>
  <r>
    <n v="311"/>
    <x v="46"/>
    <s v="WHATS"/>
    <s v="88203/88204/101377"/>
    <n v="2324.0100000000002"/>
    <m/>
    <m/>
    <m/>
    <x v="338"/>
    <m/>
  </r>
  <r>
    <n v="834"/>
    <x v="0"/>
    <s v="WHATS"/>
    <n v="88219"/>
    <n v="98"/>
    <m/>
    <m/>
    <m/>
    <x v="338"/>
    <m/>
  </r>
  <r>
    <n v="1493"/>
    <x v="21"/>
    <s v="WHATS"/>
    <n v="88226"/>
    <n v="1833.18"/>
    <m/>
    <m/>
    <m/>
    <x v="338"/>
    <m/>
  </r>
  <r>
    <n v="761"/>
    <x v="24"/>
    <s v="WHATS"/>
    <n v="88210"/>
    <n v="1578"/>
    <m/>
    <m/>
    <m/>
    <x v="338"/>
    <m/>
  </r>
  <r>
    <n v="50185"/>
    <x v="105"/>
    <s v="WHATS"/>
    <n v="88233"/>
    <n v="255.8"/>
    <m/>
    <m/>
    <m/>
    <x v="338"/>
    <m/>
  </r>
  <r>
    <n v="50291"/>
    <x v="0"/>
    <s v="WHATS"/>
    <n v="88246"/>
    <n v="471.61"/>
    <m/>
    <m/>
    <m/>
    <x v="338"/>
    <m/>
  </r>
  <r>
    <n v="1652"/>
    <x v="61"/>
    <s v="WHATS"/>
    <s v="87750/101434"/>
    <n v="1322.95"/>
    <m/>
    <m/>
    <m/>
    <x v="339"/>
    <m/>
  </r>
  <r>
    <n v="2022"/>
    <x v="28"/>
    <s v="WHATS"/>
    <n v="88117"/>
    <n v="1373.52"/>
    <m/>
    <m/>
    <m/>
    <x v="340"/>
    <m/>
  </r>
  <r>
    <n v="618"/>
    <x v="26"/>
    <s v="WHATS"/>
    <n v="88292"/>
    <n v="4015.6"/>
    <m/>
    <m/>
    <m/>
    <x v="340"/>
    <m/>
  </r>
  <r>
    <n v="2199"/>
    <x v="132"/>
    <s v="WHATS"/>
    <s v="88261/87834/88193"/>
    <n v="657.8"/>
    <m/>
    <m/>
    <m/>
    <x v="340"/>
    <m/>
  </r>
  <r>
    <n v="50418"/>
    <x v="35"/>
    <s v="WHATS"/>
    <n v="88305"/>
    <n v="3294.1"/>
    <m/>
    <m/>
    <m/>
    <x v="340"/>
    <m/>
  </r>
  <r>
    <n v="3017"/>
    <x v="62"/>
    <s v="WHATS"/>
    <n v="88311"/>
    <n v="1811.63"/>
    <m/>
    <m/>
    <m/>
    <x v="340"/>
    <m/>
  </r>
  <r>
    <n v="687"/>
    <x v="16"/>
    <s v="WHATS"/>
    <n v="88293"/>
    <n v="730"/>
    <m/>
    <m/>
    <m/>
    <x v="340"/>
    <m/>
  </r>
  <r>
    <n v="2702"/>
    <x v="73"/>
    <s v="WHATS"/>
    <n v="88315"/>
    <n v="1036"/>
    <m/>
    <m/>
    <m/>
    <x v="340"/>
    <m/>
  </r>
  <r>
    <n v="1493"/>
    <x v="21"/>
    <s v="WHATS"/>
    <n v="88329"/>
    <m/>
    <m/>
    <n v="7200"/>
    <m/>
    <x v="19"/>
    <m/>
  </r>
  <r>
    <n v="500005"/>
    <x v="102"/>
    <s v="WHATS"/>
    <n v="87916"/>
    <m/>
    <m/>
    <n v="9747.81"/>
    <m/>
    <x v="19"/>
    <m/>
  </r>
  <r>
    <n v="834"/>
    <x v="0"/>
    <s v="WHATS"/>
    <n v="88250"/>
    <n v="170"/>
    <m/>
    <m/>
    <m/>
    <x v="19"/>
    <m/>
  </r>
  <r>
    <n v="474"/>
    <x v="98"/>
    <s v="EMAIL"/>
    <s v="88346/101455"/>
    <n v="1368.84"/>
    <m/>
    <m/>
    <m/>
    <x v="19"/>
    <m/>
  </r>
  <r>
    <n v="832"/>
    <x v="55"/>
    <s v="WHATS"/>
    <n v="87827"/>
    <n v="2526"/>
    <m/>
    <m/>
    <m/>
    <x v="19"/>
    <m/>
  </r>
  <r>
    <n v="412"/>
    <x v="90"/>
    <s v="WHATS"/>
    <s v="101459/88355"/>
    <n v="470"/>
    <m/>
    <m/>
    <m/>
    <x v="19"/>
    <m/>
  </r>
  <r>
    <n v="2163"/>
    <x v="36"/>
    <s v="TEL"/>
    <n v="88230"/>
    <n v="2215"/>
    <m/>
    <m/>
    <m/>
    <x v="19"/>
    <m/>
  </r>
  <r>
    <n v="746"/>
    <x v="3"/>
    <s v="TEL"/>
    <s v="88384/87433/101462"/>
    <n v="5283.94"/>
    <m/>
    <m/>
    <m/>
    <x v="19"/>
    <m/>
  </r>
  <r>
    <n v="704"/>
    <x v="49"/>
    <s v="TEL"/>
    <s v="101464/88393"/>
    <n v="1218.31"/>
    <m/>
    <m/>
    <m/>
    <x v="341"/>
    <m/>
  </r>
  <r>
    <n v="3153"/>
    <x v="12"/>
    <s v="WHATS"/>
    <n v="88402"/>
    <n v="1318.3"/>
    <m/>
    <m/>
    <m/>
    <x v="341"/>
    <m/>
  </r>
  <r>
    <n v="50576"/>
    <x v="37"/>
    <s v="WHATS"/>
    <s v="88406/87864"/>
    <n v="777.95"/>
    <m/>
    <m/>
    <m/>
    <x v="341"/>
    <m/>
  </r>
  <r>
    <n v="784"/>
    <x v="13"/>
    <s v="WHATS"/>
    <n v="88493"/>
    <n v="3894"/>
    <m/>
    <m/>
    <m/>
    <x v="342"/>
    <m/>
  </r>
  <r>
    <n v="311"/>
    <x v="46"/>
    <s v="WHATS"/>
    <n v="88489"/>
    <n v="1288.8499999999999"/>
    <m/>
    <m/>
    <m/>
    <x v="342"/>
    <m/>
  </r>
  <r>
    <n v="52"/>
    <x v="135"/>
    <s v="EMAIL"/>
    <n v="88287"/>
    <n v="928.85"/>
    <m/>
    <m/>
    <m/>
    <x v="342"/>
    <m/>
  </r>
  <r>
    <n v="50554"/>
    <x v="20"/>
    <s v="WHATS"/>
    <s v="88495/101220"/>
    <n v="5369.19"/>
    <m/>
    <m/>
    <m/>
    <x v="342"/>
    <m/>
  </r>
  <r>
    <n v="1164"/>
    <x v="58"/>
    <s v="WHATS"/>
    <s v="88481/101486"/>
    <n v="869.61"/>
    <m/>
    <m/>
    <m/>
    <x v="342"/>
    <m/>
  </r>
  <r>
    <n v="762"/>
    <x v="41"/>
    <s v="EMAIL"/>
    <n v="88504"/>
    <n v="1477.15"/>
    <m/>
    <m/>
    <m/>
    <x v="342"/>
    <m/>
  </r>
  <r>
    <n v="905"/>
    <x v="72"/>
    <s v="EMAIL"/>
    <s v="88436/101472"/>
    <n v="827.09"/>
    <m/>
    <m/>
    <m/>
    <x v="343"/>
    <m/>
  </r>
  <r>
    <n v="3153"/>
    <x v="12"/>
    <s v="WHATS"/>
    <n v="88402"/>
    <n v="1204.9000000000001"/>
    <m/>
    <m/>
    <m/>
    <x v="343"/>
    <m/>
  </r>
  <r>
    <n v="500243"/>
    <x v="110"/>
    <s v="WHATS"/>
    <n v="101473"/>
    <n v="229.2"/>
    <m/>
    <m/>
    <m/>
    <x v="343"/>
    <m/>
  </r>
  <r>
    <n v="784"/>
    <x v="13"/>
    <s v="WHATS"/>
    <n v="88440"/>
    <n v="2853.56"/>
    <m/>
    <m/>
    <m/>
    <x v="343"/>
    <m/>
  </r>
  <r>
    <n v="906"/>
    <x v="27"/>
    <s v="WHATS"/>
    <s v="88446/101476"/>
    <n v="1886.26"/>
    <m/>
    <m/>
    <m/>
    <x v="343"/>
    <m/>
  </r>
  <r>
    <n v="2415"/>
    <x v="63"/>
    <s v="WHATS"/>
    <n v="101458"/>
    <n v="622"/>
    <m/>
    <m/>
    <m/>
    <x v="343"/>
    <m/>
  </r>
  <r>
    <n v="618"/>
    <x v="26"/>
    <s v="WHATS"/>
    <s v="101491/85785"/>
    <n v="1902.05"/>
    <m/>
    <m/>
    <m/>
    <x v="343"/>
    <m/>
  </r>
  <r>
    <n v="2199"/>
    <x v="132"/>
    <s v="WHATS"/>
    <n v="101356"/>
    <n v="207.9"/>
    <m/>
    <m/>
    <m/>
    <x v="342"/>
    <m/>
  </r>
  <r>
    <n v="1026"/>
    <x v="7"/>
    <s v="WHATS"/>
    <n v="88526"/>
    <n v="2389"/>
    <m/>
    <m/>
    <m/>
    <x v="342"/>
    <m/>
  </r>
  <r>
    <n v="475"/>
    <x v="23"/>
    <s v="WHATS"/>
    <s v="101343/88186"/>
    <n v="505.8"/>
    <m/>
    <m/>
    <m/>
    <x v="344"/>
    <m/>
  </r>
  <r>
    <n v="9063"/>
    <x v="22"/>
    <s v="WHATS"/>
    <n v="88530"/>
    <n v="404.4"/>
    <m/>
    <m/>
    <m/>
    <x v="344"/>
    <m/>
  </r>
  <r>
    <n v="575"/>
    <x v="45"/>
    <s v="WHATS"/>
    <n v="88544"/>
    <n v="714.94"/>
    <m/>
    <m/>
    <m/>
    <x v="344"/>
    <m/>
  </r>
  <r>
    <n v="2702"/>
    <x v="73"/>
    <s v="WHATS"/>
    <s v="88563/88564"/>
    <n v="472"/>
    <m/>
    <m/>
    <m/>
    <x v="344"/>
    <m/>
  </r>
  <r>
    <n v="761"/>
    <x v="24"/>
    <s v="WHATS"/>
    <s v="88367/87113/101424"/>
    <n v="487.74"/>
    <m/>
    <m/>
    <m/>
    <x v="344"/>
    <m/>
  </r>
  <r>
    <n v="1206"/>
    <x v="33"/>
    <s v="TEL"/>
    <n v="88587"/>
    <n v="1425.94"/>
    <m/>
    <m/>
    <m/>
    <x v="344"/>
    <m/>
  </r>
  <r>
    <n v="724"/>
    <x v="42"/>
    <s v="WHATS"/>
    <s v="88593/101509"/>
    <n v="596.27"/>
    <m/>
    <m/>
    <m/>
    <x v="344"/>
    <m/>
  </r>
  <r>
    <n v="690"/>
    <x v="19"/>
    <s v="WHATS"/>
    <s v="88589/10133"/>
    <n v="2529.44"/>
    <m/>
    <m/>
    <m/>
    <x v="345"/>
    <m/>
  </r>
  <r>
    <n v="1122"/>
    <x v="87"/>
    <s v="EMAIL"/>
    <n v="88484"/>
    <n v="2547.9"/>
    <m/>
    <m/>
    <m/>
    <x v="345"/>
    <m/>
  </r>
  <r>
    <n v="3475"/>
    <x v="59"/>
    <s v="WHATS"/>
    <n v="88360"/>
    <n v="544.79999999999995"/>
    <m/>
    <m/>
    <m/>
    <x v="345"/>
    <m/>
  </r>
  <r>
    <n v="572"/>
    <x v="51"/>
    <s v="WHATS"/>
    <n v="88570"/>
    <n v="220.25"/>
    <m/>
    <m/>
    <m/>
    <x v="345"/>
    <m/>
  </r>
  <r>
    <n v="3194"/>
    <x v="18"/>
    <s v="WHATS"/>
    <n v="88624"/>
    <n v="882"/>
    <m/>
    <m/>
    <m/>
    <x v="346"/>
    <m/>
  </r>
  <r>
    <n v="906"/>
    <x v="27"/>
    <s v="WHATS"/>
    <n v="88446"/>
    <n v="45"/>
    <m/>
    <m/>
    <m/>
    <x v="346"/>
    <m/>
  </r>
  <r>
    <n v="197"/>
    <x v="99"/>
    <s v="WHATS"/>
    <n v="88299"/>
    <n v="1780"/>
    <m/>
    <m/>
    <m/>
    <x v="346"/>
    <m/>
  </r>
  <r>
    <n v="1026"/>
    <x v="7"/>
    <s v="WHATS"/>
    <n v="88636"/>
    <n v="3010.68"/>
    <m/>
    <m/>
    <m/>
    <x v="346"/>
    <m/>
  </r>
  <r>
    <n v="746"/>
    <x v="3"/>
    <s v="WHATS"/>
    <n v="88649"/>
    <n v="164.5"/>
    <m/>
    <m/>
    <m/>
    <x v="346"/>
    <m/>
  </r>
  <r>
    <n v="1813"/>
    <x v="48"/>
    <s v="WHATS"/>
    <n v="88621"/>
    <n v="1165.8499999999999"/>
    <m/>
    <m/>
    <m/>
    <x v="346"/>
    <m/>
  </r>
  <r>
    <n v="1616"/>
    <x v="83"/>
    <s v="WHATS"/>
    <n v="88642"/>
    <n v="778.65"/>
    <m/>
    <m/>
    <m/>
    <x v="346"/>
    <m/>
  </r>
  <r>
    <n v="50219"/>
    <x v="14"/>
    <s v="WHATS"/>
    <s v="88334/101452"/>
    <n v="989.47"/>
    <m/>
    <m/>
    <m/>
    <x v="347"/>
    <m/>
  </r>
  <r>
    <n v="50554"/>
    <x v="20"/>
    <s v="WHATS"/>
    <n v="88192"/>
    <n v="189"/>
    <m/>
    <m/>
    <m/>
    <x v="347"/>
    <m/>
  </r>
  <r>
    <n v="1989"/>
    <x v="67"/>
    <s v="WHATS"/>
    <s v="88191/88687"/>
    <n v="965.2"/>
    <m/>
    <m/>
    <m/>
    <x v="347"/>
    <m/>
  </r>
  <r>
    <n v="761"/>
    <x v="24"/>
    <s v="WHATS"/>
    <n v="88693"/>
    <n v="1769.75"/>
    <m/>
    <m/>
    <m/>
    <x v="347"/>
    <m/>
  </r>
  <r>
    <n v="500005"/>
    <x v="102"/>
    <s v="WHATS"/>
    <n v="88699"/>
    <m/>
    <m/>
    <n v="6100"/>
    <m/>
    <x v="348"/>
    <m/>
  </r>
  <r>
    <n v="412"/>
    <x v="90"/>
    <s v="WHATS"/>
    <n v="88721"/>
    <n v="72.5"/>
    <m/>
    <m/>
    <m/>
    <x v="348"/>
    <m/>
  </r>
  <r>
    <n v="1652"/>
    <x v="61"/>
    <s v="WHATS"/>
    <s v="88729/101434"/>
    <n v="360.48"/>
    <m/>
    <m/>
    <m/>
    <x v="348"/>
    <m/>
  </r>
  <r>
    <n v="762"/>
    <x v="41"/>
    <s v="WHATS"/>
    <n v="88667"/>
    <n v="5256.1"/>
    <m/>
    <m/>
    <m/>
    <x v="348"/>
    <m/>
  </r>
  <r>
    <n v="960"/>
    <x v="30"/>
    <s v="WHATS"/>
    <s v="101546/88776"/>
    <n v="882.02"/>
    <m/>
    <m/>
    <m/>
    <x v="348"/>
    <m/>
  </r>
  <r>
    <n v="500149"/>
    <x v="94"/>
    <s v="WHATS"/>
    <s v="101332/101162/88789"/>
    <n v="1044.4000000000001"/>
    <m/>
    <m/>
    <m/>
    <x v="349"/>
    <m/>
  </r>
  <r>
    <n v="834"/>
    <x v="0"/>
    <s v="WHATS"/>
    <n v="88077"/>
    <n v="600.03"/>
    <m/>
    <m/>
    <m/>
    <x v="349"/>
    <m/>
  </r>
  <r>
    <n v="708"/>
    <x v="56"/>
    <s v="WHATS"/>
    <n v="88800"/>
    <n v="2030"/>
    <m/>
    <m/>
    <m/>
    <x v="350"/>
    <m/>
  </r>
  <r>
    <n v="50558"/>
    <x v="2"/>
    <s v="WHATS"/>
    <n v="88084"/>
    <n v="702.9"/>
    <m/>
    <m/>
    <m/>
    <x v="351"/>
    <m/>
  </r>
  <r>
    <n v="1164"/>
    <x v="58"/>
    <s v="WHATS"/>
    <n v="88825"/>
    <n v="2127.65"/>
    <m/>
    <m/>
    <m/>
    <x v="351"/>
    <m/>
  </r>
  <r>
    <n v="50219"/>
    <x v="14"/>
    <s v="WHATS"/>
    <s v="101531/88827"/>
    <n v="551.04999999999995"/>
    <m/>
    <m/>
    <m/>
    <x v="351"/>
    <m/>
  </r>
  <r>
    <n v="50576"/>
    <x v="37"/>
    <s v="WHATS"/>
    <n v="88840"/>
    <n v="1026.3"/>
    <m/>
    <m/>
    <m/>
    <x v="351"/>
    <m/>
  </r>
  <r>
    <n v="50558"/>
    <x v="2"/>
    <s v="WHATS"/>
    <n v="88822"/>
    <n v="2300"/>
    <m/>
    <m/>
    <m/>
    <x v="352"/>
    <m/>
  </r>
  <r>
    <n v="311"/>
    <x v="46"/>
    <s v="WHATS"/>
    <n v="88851"/>
    <n v="1487.62"/>
    <m/>
    <m/>
    <m/>
    <x v="351"/>
    <m/>
  </r>
  <r>
    <n v="311"/>
    <x v="46"/>
    <s v="WHATS"/>
    <n v="88203"/>
    <n v="175"/>
    <m/>
    <m/>
    <m/>
    <x v="351"/>
    <m/>
  </r>
  <r>
    <n v="761"/>
    <x v="24"/>
    <s v="WHATS"/>
    <s v="88832/101528"/>
    <n v="781.54"/>
    <m/>
    <m/>
    <m/>
    <x v="351"/>
    <m/>
  </r>
  <r>
    <n v="1026"/>
    <x v="7"/>
    <s v="WHATS"/>
    <n v="88861"/>
    <n v="170"/>
    <m/>
    <m/>
    <m/>
    <x v="351"/>
    <m/>
  </r>
  <r>
    <n v="705"/>
    <x v="1"/>
    <s v="WHATS"/>
    <n v="101564"/>
    <n v="1161.0999999999999"/>
    <m/>
    <m/>
    <m/>
    <x v="353"/>
    <m/>
  </r>
  <r>
    <n v="823"/>
    <x v="17"/>
    <s v="WHATS"/>
    <s v="8884/101567"/>
    <n v="3126.65"/>
    <m/>
    <m/>
    <m/>
    <x v="353"/>
    <m/>
  </r>
  <r>
    <n v="50465"/>
    <x v="96"/>
    <s v="WHATS"/>
    <n v="88895"/>
    <n v="476"/>
    <m/>
    <m/>
    <m/>
    <x v="353"/>
    <m/>
  </r>
  <r>
    <n v="705"/>
    <x v="1"/>
    <s v="WHATS"/>
    <s v="101564/88896"/>
    <n v="2369.25"/>
    <m/>
    <m/>
    <m/>
    <x v="353"/>
    <m/>
  </r>
  <r>
    <n v="516"/>
    <x v="11"/>
    <s v="EMAIL"/>
    <n v="88103"/>
    <n v="13031.94"/>
    <m/>
    <m/>
    <m/>
    <x v="353"/>
    <m/>
  </r>
  <r>
    <n v="475"/>
    <x v="23"/>
    <s v="EMAIL"/>
    <s v="88852 /88186/101570"/>
    <n v="9374.08"/>
    <m/>
    <m/>
    <m/>
    <x v="353"/>
    <m/>
  </r>
  <r>
    <n v="784"/>
    <x v="13"/>
    <s v="WHATS"/>
    <n v="88674"/>
    <n v="98.7"/>
    <m/>
    <m/>
    <m/>
    <x v="353"/>
    <m/>
  </r>
  <r>
    <n v="50418"/>
    <x v="35"/>
    <s v="WHATS"/>
    <n v="88915"/>
    <n v="115.6"/>
    <m/>
    <m/>
    <m/>
    <x v="353"/>
    <m/>
  </r>
  <r>
    <n v="325"/>
    <x v="97"/>
    <s v="WHATS"/>
    <s v="88916/101572"/>
    <n v="736.3"/>
    <m/>
    <m/>
    <m/>
    <x v="353"/>
    <m/>
  </r>
  <r>
    <n v="50418"/>
    <x v="35"/>
    <s v="WHATS"/>
    <s v="88915/88305"/>
    <n v="966"/>
    <m/>
    <m/>
    <m/>
    <x v="353"/>
    <m/>
  </r>
  <r>
    <n v="690"/>
    <x v="19"/>
    <s v="WHATS"/>
    <n v="101580"/>
    <m/>
    <m/>
    <n v="4100"/>
    <m/>
    <x v="353"/>
    <m/>
  </r>
  <r>
    <n v="2022"/>
    <x v="28"/>
    <s v="WHATS"/>
    <n v="88920"/>
    <n v="573"/>
    <m/>
    <m/>
    <m/>
    <x v="354"/>
    <m/>
  </r>
  <r>
    <n v="50185"/>
    <x v="105"/>
    <s v="WHATS"/>
    <n v="88942"/>
    <n v="399"/>
    <m/>
    <m/>
    <m/>
    <x v="354"/>
    <m/>
  </r>
  <r>
    <n v="620"/>
    <x v="69"/>
    <s v="WHATS"/>
    <n v="88923"/>
    <n v="1624.84"/>
    <m/>
    <m/>
    <m/>
    <x v="354"/>
    <m/>
  </r>
  <r>
    <n v="432"/>
    <x v="43"/>
    <s v="WHATS"/>
    <s v="88869/101563"/>
    <n v="1693.96"/>
    <m/>
    <m/>
    <m/>
    <x v="355"/>
    <m/>
  </r>
  <r>
    <n v="2911"/>
    <x v="15"/>
    <s v="WHATS"/>
    <s v="101597/88986"/>
    <n v="3084.95"/>
    <m/>
    <m/>
    <m/>
    <x v="352"/>
    <m/>
  </r>
  <r>
    <n v="746"/>
    <x v="3"/>
    <s v="WHATS"/>
    <n v="88984"/>
    <n v="106.09"/>
    <m/>
    <m/>
    <m/>
    <x v="356"/>
    <m/>
  </r>
  <r>
    <n v="620"/>
    <x v="69"/>
    <s v="WHATS"/>
    <s v="101579/88999"/>
    <n v="327.8"/>
    <m/>
    <m/>
    <m/>
    <x v="355"/>
    <m/>
  </r>
  <r>
    <n v="2572"/>
    <x v="115"/>
    <s v="WHATS"/>
    <n v="89046"/>
    <n v="549.79999999999995"/>
    <m/>
    <m/>
    <m/>
    <x v="355"/>
    <m/>
  </r>
  <r>
    <n v="475"/>
    <x v="23"/>
    <s v="WHATS"/>
    <s v="88951/88852/101570"/>
    <n v="6233.06"/>
    <m/>
    <m/>
    <m/>
    <x v="352"/>
    <m/>
  </r>
  <r>
    <n v="432"/>
    <x v="43"/>
    <s v="WHATS"/>
    <n v="89069"/>
    <n v="157.5"/>
    <m/>
    <m/>
    <m/>
    <x v="352"/>
    <m/>
  </r>
  <r>
    <n v="761"/>
    <x v="24"/>
    <s v="WHATS"/>
    <s v="89090/101603"/>
    <n v="934"/>
    <m/>
    <m/>
    <m/>
    <x v="352"/>
    <m/>
  </r>
  <r>
    <n v="311"/>
    <x v="46"/>
    <s v="WHATS"/>
    <s v="88203/89049"/>
    <n v="675.5"/>
    <m/>
    <m/>
    <m/>
    <x v="352"/>
    <m/>
  </r>
  <r>
    <n v="500243"/>
    <x v="110"/>
    <s v="WHATS"/>
    <n v="89158"/>
    <n v="621.52"/>
    <m/>
    <m/>
    <m/>
    <x v="357"/>
    <m/>
  </r>
  <r>
    <n v="905"/>
    <x v="72"/>
    <s v="WHATS"/>
    <n v="82790"/>
    <n v="3307.2"/>
    <m/>
    <m/>
    <m/>
    <x v="358"/>
    <m/>
  </r>
  <r>
    <n v="822"/>
    <x v="66"/>
    <s v="EMAIL"/>
    <s v="101610/88680/89116"/>
    <n v="1327.4"/>
    <m/>
    <m/>
    <m/>
    <x v="358"/>
    <m/>
  </r>
  <r>
    <n v="50554"/>
    <x v="20"/>
    <s v="WHATS"/>
    <s v="89201/89174"/>
    <n v="1073"/>
    <m/>
    <m/>
    <m/>
    <x v="359"/>
    <m/>
  </r>
  <r>
    <n v="663"/>
    <x v="116"/>
    <s v="WHATS"/>
    <s v="101322/101631/89230"/>
    <n v="3398.9"/>
    <m/>
    <m/>
    <m/>
    <x v="359"/>
    <m/>
  </r>
  <r>
    <n v="463"/>
    <x v="32"/>
    <s v="WHATS"/>
    <n v="89246"/>
    <n v="1375"/>
    <m/>
    <m/>
    <m/>
    <x v="359"/>
    <m/>
  </r>
  <r>
    <n v="2980"/>
    <x v="40"/>
    <s v="WHATS"/>
    <s v="89241/88111/101633"/>
    <n v="1183.67"/>
    <m/>
    <m/>
    <m/>
    <x v="359"/>
    <m/>
  </r>
  <r>
    <n v="3017"/>
    <x v="62"/>
    <s v="WHATS"/>
    <s v="89253/88311"/>
    <n v="1458.24"/>
    <m/>
    <m/>
    <m/>
    <x v="359"/>
    <m/>
  </r>
  <r>
    <n v="2415"/>
    <x v="63"/>
    <s v="WHATS"/>
    <s v="89248/101634"/>
    <n v="766.86"/>
    <m/>
    <m/>
    <m/>
    <x v="359"/>
    <m/>
  </r>
  <r>
    <n v="325"/>
    <x v="97"/>
    <s v="WHATS"/>
    <n v="89094"/>
    <n v="366.7"/>
    <m/>
    <m/>
    <m/>
    <x v="360"/>
    <m/>
  </r>
  <r>
    <n v="618"/>
    <x v="26"/>
    <s v="WHATS"/>
    <s v="88513/101519"/>
    <n v="299.48"/>
    <m/>
    <m/>
    <m/>
    <x v="360"/>
    <m/>
  </r>
  <r>
    <n v="2955"/>
    <x v="82"/>
    <s v="WHATS"/>
    <n v="89292"/>
    <n v="3960.03"/>
    <m/>
    <m/>
    <m/>
    <x v="360"/>
    <m/>
  </r>
  <r>
    <n v="784"/>
    <x v="13"/>
    <s v="WHATS"/>
    <n v="89298"/>
    <n v="10334.25"/>
    <m/>
    <m/>
    <m/>
    <x v="360"/>
    <m/>
  </r>
  <r>
    <n v="874"/>
    <x v="53"/>
    <s v="WHATS"/>
    <n v="89340"/>
    <n v="459.21"/>
    <m/>
    <m/>
    <m/>
    <x v="20"/>
    <m/>
  </r>
  <r>
    <n v="772"/>
    <x v="71"/>
    <s v="WHATS"/>
    <n v="89376"/>
    <n v="1823.14"/>
    <m/>
    <m/>
    <m/>
    <x v="20"/>
    <m/>
  </r>
  <r>
    <n v="480"/>
    <x v="39"/>
    <s v="WHATS"/>
    <n v="89372"/>
    <n v="1492.2"/>
    <m/>
    <m/>
    <m/>
    <x v="20"/>
    <m/>
  </r>
  <r>
    <n v="3153"/>
    <x v="12"/>
    <s v="WHATS"/>
    <n v="89319"/>
    <n v="3625.08"/>
    <m/>
    <m/>
    <m/>
    <x v="20"/>
    <m/>
  </r>
  <r>
    <n v="2022"/>
    <x v="28"/>
    <s v="WHATS"/>
    <n v="89318"/>
    <n v="969.24"/>
    <m/>
    <m/>
    <m/>
    <x v="20"/>
    <m/>
  </r>
  <r>
    <n v="1533"/>
    <x v="50"/>
    <s v="WHATS"/>
    <s v="89392/101657"/>
    <n v="1176.1099999999999"/>
    <m/>
    <m/>
    <m/>
    <x v="361"/>
    <m/>
  </r>
  <r>
    <n v="784"/>
    <x v="13"/>
    <s v="WHATS"/>
    <n v="89408"/>
    <n v="3760.26"/>
    <m/>
    <m/>
    <m/>
    <x v="361"/>
    <m/>
  </r>
  <r>
    <n v="50219"/>
    <x v="14"/>
    <s v="WHATS"/>
    <s v="89422/101655"/>
    <n v="1628.45"/>
    <m/>
    <m/>
    <m/>
    <x v="361"/>
    <m/>
  </r>
  <r>
    <n v="572"/>
    <x v="51"/>
    <s v="WHATS"/>
    <n v="89431"/>
    <n v="511.91"/>
    <m/>
    <m/>
    <m/>
    <x v="361"/>
    <m/>
  </r>
  <r>
    <n v="50418"/>
    <x v="35"/>
    <s v="WHATS"/>
    <n v="89445"/>
    <n v="2985.8"/>
    <m/>
    <m/>
    <m/>
    <x v="361"/>
    <m/>
  </r>
  <r>
    <n v="1971"/>
    <x v="29"/>
    <s v="WHATS"/>
    <s v="89458/101670"/>
    <n v="689.95"/>
    <m/>
    <m/>
    <m/>
    <x v="362"/>
    <m/>
  </r>
  <r>
    <n v="500005"/>
    <x v="102"/>
    <s v="WHATS"/>
    <s v="89414/101662/101661"/>
    <n v="3620.55"/>
    <m/>
    <m/>
    <m/>
    <x v="362"/>
    <m/>
  </r>
  <r>
    <n v="3077"/>
    <x v="10"/>
    <s v="WHATS"/>
    <n v="89477"/>
    <n v="1352.74"/>
    <m/>
    <m/>
    <m/>
    <x v="362"/>
    <m/>
  </r>
  <r>
    <n v="171"/>
    <x v="70"/>
    <s v="WHATS"/>
    <n v="89289"/>
    <n v="2469"/>
    <m/>
    <m/>
    <m/>
    <x v="362"/>
    <m/>
  </r>
  <r>
    <s v=" 51074"/>
    <x v="136"/>
    <s v="WHATS"/>
    <n v="89485"/>
    <n v="4650"/>
    <m/>
    <m/>
    <m/>
    <x v="362"/>
    <m/>
  </r>
  <r>
    <n v="1164"/>
    <x v="58"/>
    <s v="WHATS"/>
    <s v="88825/89497/101677"/>
    <n v="841.6"/>
    <m/>
    <m/>
    <m/>
    <x v="363"/>
    <m/>
  </r>
  <r>
    <n v="906"/>
    <x v="27"/>
    <s v="WHATS"/>
    <s v="89519/101682"/>
    <n v="1616.44"/>
    <m/>
    <m/>
    <m/>
    <x v="363"/>
    <m/>
  </r>
  <r>
    <n v="690"/>
    <x v="19"/>
    <s v="WHATS"/>
    <s v="89528/101532"/>
    <n v="2029.6"/>
    <m/>
    <m/>
    <m/>
    <x v="363"/>
    <m/>
  </r>
  <r>
    <n v="500726"/>
    <x v="137"/>
    <s v="WHATS"/>
    <n v="89523"/>
    <n v="630"/>
    <m/>
    <m/>
    <m/>
    <x v="363"/>
    <m/>
  </r>
  <r>
    <n v="50554"/>
    <x v="20"/>
    <s v="WHATS"/>
    <s v="89531/101530"/>
    <n v="8814.5300000000007"/>
    <m/>
    <m/>
    <m/>
    <x v="364"/>
    <m/>
  </r>
  <r>
    <n v="3245"/>
    <x v="95"/>
    <s v="WHATS"/>
    <n v="89548"/>
    <n v="4049.85"/>
    <m/>
    <m/>
    <m/>
    <x v="364"/>
    <m/>
  </r>
  <r>
    <n v="761"/>
    <x v="24"/>
    <s v="WHATS"/>
    <n v="89144"/>
    <n v="27663.45"/>
    <m/>
    <m/>
    <m/>
    <x v="364"/>
    <m/>
  </r>
  <r>
    <n v="432"/>
    <x v="43"/>
    <s v="WHATS"/>
    <n v="101693"/>
    <n v="472.08"/>
    <m/>
    <m/>
    <m/>
    <x v="364"/>
    <m/>
  </r>
  <r>
    <n v="3194"/>
    <x v="18"/>
    <s v="WHATS"/>
    <n v="89559"/>
    <n v="925.4"/>
    <m/>
    <m/>
    <m/>
    <x v="365"/>
    <m/>
  </r>
  <r>
    <n v="1016"/>
    <x v="101"/>
    <s v="WHATS"/>
    <n v="1016"/>
    <n v="4960.8"/>
    <m/>
    <m/>
    <m/>
    <x v="365"/>
    <m/>
  </r>
  <r>
    <n v="1206"/>
    <x v="33"/>
    <s v="WHATS"/>
    <n v="89584"/>
    <n v="693.36"/>
    <m/>
    <m/>
    <m/>
    <x v="365"/>
    <m/>
  </r>
  <r>
    <n v="1493"/>
    <x v="21"/>
    <s v="WHATS"/>
    <n v="89591"/>
    <n v="2167.25"/>
    <m/>
    <m/>
    <m/>
    <x v="365"/>
    <m/>
  </r>
  <r>
    <n v="50558"/>
    <x v="2"/>
    <s v="WHATS"/>
    <n v="89187"/>
    <n v="1868"/>
    <m/>
    <m/>
    <m/>
    <x v="365"/>
    <m/>
  </r>
  <r>
    <n v="2415"/>
    <x v="63"/>
    <s v="WHATS"/>
    <n v="89248"/>
    <n v="1334.6"/>
    <m/>
    <m/>
    <m/>
    <x v="365"/>
    <m/>
  </r>
  <r>
    <n v="1813"/>
    <x v="48"/>
    <s v="WHATS"/>
    <n v="89602"/>
    <n v="1401.4"/>
    <m/>
    <m/>
    <m/>
    <x v="365"/>
    <m/>
  </r>
  <r>
    <n v="746"/>
    <x v="3"/>
    <s v="WHATS"/>
    <s v="89240/101616"/>
    <n v="4635.58"/>
    <m/>
    <m/>
    <m/>
    <x v="365"/>
    <m/>
  </r>
  <r>
    <n v="2022"/>
    <x v="28"/>
    <s v="WHATS"/>
    <n v="89430"/>
    <n v="879.2"/>
    <m/>
    <m/>
    <m/>
    <x v="365"/>
    <m/>
  </r>
  <r>
    <n v="725"/>
    <x v="65"/>
    <s v="WHATS"/>
    <n v="89629"/>
    <n v="1081.78"/>
    <m/>
    <m/>
    <m/>
    <x v="366"/>
    <m/>
  </r>
  <r>
    <n v="50576"/>
    <x v="37"/>
    <s v="WHATS"/>
    <s v="89320/101673"/>
    <n v="2571.3000000000002"/>
    <m/>
    <m/>
    <m/>
    <x v="367"/>
    <m/>
  </r>
  <r>
    <n v="2415"/>
    <x v="63"/>
    <s v="WHATS"/>
    <n v="89682"/>
    <n v="1089"/>
    <m/>
    <m/>
    <m/>
    <x v="367"/>
    <m/>
  </r>
  <r>
    <n v="50554"/>
    <x v="20"/>
    <s v="WHATS"/>
    <n v="88974"/>
    <n v="189"/>
    <m/>
    <m/>
    <m/>
    <x v="367"/>
    <m/>
  </r>
  <r>
    <n v="1989"/>
    <x v="67"/>
    <s v="WHATS"/>
    <n v="88857"/>
    <n v="616.03"/>
    <m/>
    <m/>
    <m/>
    <x v="367"/>
    <m/>
  </r>
  <r>
    <n v="784"/>
    <x v="13"/>
    <s v="WHATS"/>
    <n v="89690"/>
    <n v="89.25"/>
    <m/>
    <m/>
    <m/>
    <x v="367"/>
    <m/>
  </r>
  <r>
    <n v="3017"/>
    <x v="62"/>
    <s v="WHATS"/>
    <n v="89694"/>
    <n v="2134.7199999999998"/>
    <m/>
    <m/>
    <m/>
    <x v="367"/>
    <m/>
  </r>
  <r>
    <n v="1240"/>
    <x v="25"/>
    <s v="WHATS"/>
    <n v="89601"/>
    <n v="2622.12"/>
    <m/>
    <m/>
    <m/>
    <x v="367"/>
    <m/>
  </r>
  <r>
    <n v="1058"/>
    <x v="5"/>
    <s v="WHATS"/>
    <n v="89688"/>
    <n v="1890"/>
    <m/>
    <m/>
    <m/>
    <x v="367"/>
    <m/>
  </r>
  <r>
    <n v="1533"/>
    <x v="50"/>
    <s v="WHATS"/>
    <n v="89628"/>
    <n v="1033"/>
    <m/>
    <m/>
    <m/>
    <x v="367"/>
    <m/>
  </r>
  <r>
    <n v="3405"/>
    <x v="111"/>
    <s v="WHATS"/>
    <n v="88992"/>
    <n v="429.3"/>
    <m/>
    <m/>
    <m/>
    <x v="367"/>
    <m/>
  </r>
  <r>
    <n v="50465"/>
    <x v="96"/>
    <s v="WHATS"/>
    <n v="89710"/>
    <n v="1199"/>
    <m/>
    <m/>
    <m/>
    <x v="367"/>
    <m/>
  </r>
  <r>
    <n v="171"/>
    <x v="70"/>
    <s v="WHATS"/>
    <n v="89727"/>
    <n v="1609.4"/>
    <m/>
    <m/>
    <m/>
    <x v="368"/>
    <m/>
  </r>
  <r>
    <n v="311"/>
    <x v="46"/>
    <s v="WHATS"/>
    <n v="101732"/>
    <n v="238.96"/>
    <m/>
    <m/>
    <m/>
    <x v="369"/>
    <m/>
  </r>
  <r>
    <n v="1623"/>
    <x v="57"/>
    <s v="WHATS"/>
    <n v="89759"/>
    <n v="1012.52"/>
    <m/>
    <m/>
    <m/>
    <x v="369"/>
    <m/>
  </r>
  <r>
    <n v="690"/>
    <x v="19"/>
    <s v="WHATS"/>
    <n v="89616"/>
    <n v="630.4"/>
    <m/>
    <m/>
    <m/>
    <x v="370"/>
    <m/>
  </r>
  <r>
    <n v="1533"/>
    <x v="50"/>
    <s v="WHATS"/>
    <n v="89789"/>
    <n v="1024.5999999999999"/>
    <m/>
    <m/>
    <m/>
    <x v="370"/>
    <m/>
  </r>
  <r>
    <n v="50185"/>
    <x v="105"/>
    <s v="WHATS"/>
    <n v="89800"/>
    <n v="719.75"/>
    <m/>
    <m/>
    <m/>
    <x v="370"/>
    <m/>
  </r>
  <r>
    <n v="500752"/>
    <x v="35"/>
    <s v="WHATS"/>
    <n v="89785"/>
    <n v="455.08"/>
    <m/>
    <m/>
    <m/>
    <x v="370"/>
    <m/>
  </r>
  <r>
    <n v="575"/>
    <x v="45"/>
    <s v="WHATS"/>
    <s v="89804/101495"/>
    <n v="241.62"/>
    <m/>
    <m/>
    <m/>
    <x v="370"/>
    <m/>
  </r>
  <r>
    <n v="784"/>
    <x v="13"/>
    <s v="WHATS"/>
    <n v="89844"/>
    <n v="58.13"/>
    <m/>
    <m/>
    <m/>
    <x v="371"/>
    <m/>
  </r>
  <r>
    <n v="762"/>
    <x v="41"/>
    <s v="WHATS"/>
    <n v="89820"/>
    <n v="4244.05"/>
    <m/>
    <m/>
    <m/>
    <x v="371"/>
    <m/>
  </r>
  <r>
    <n v="762"/>
    <x v="41"/>
    <s v="WHATS"/>
    <n v="89835"/>
    <n v="5641.7"/>
    <m/>
    <m/>
    <m/>
    <x v="371"/>
    <m/>
  </r>
  <r>
    <n v="724"/>
    <x v="42"/>
    <s v="WHATS"/>
    <n v="89831"/>
    <n v="418.82"/>
    <m/>
    <m/>
    <m/>
    <x v="371"/>
    <m/>
  </r>
  <r>
    <n v="2022"/>
    <x v="28"/>
    <s v="WHATS"/>
    <n v="89874"/>
    <n v="217.3"/>
    <m/>
    <m/>
    <m/>
    <x v="371"/>
    <m/>
  </r>
  <r>
    <n v="823"/>
    <x v="17"/>
    <s v="WHATS"/>
    <s v="88967/101749"/>
    <n v="1946.98"/>
    <m/>
    <m/>
    <m/>
    <x v="371"/>
    <m/>
  </r>
  <r>
    <n v="50465"/>
    <x v="96"/>
    <s v="WHATS"/>
    <n v="89885"/>
    <n v="76.5"/>
    <m/>
    <m/>
    <m/>
    <x v="372"/>
    <m/>
  </r>
  <r>
    <n v="50465"/>
    <x v="96"/>
    <s v="WHATS"/>
    <n v="101737"/>
    <n v="250"/>
    <m/>
    <m/>
    <m/>
    <x v="372"/>
    <m/>
  </r>
  <r>
    <n v="2022"/>
    <x v="28"/>
    <s v="WHATS"/>
    <n v="89890"/>
    <n v="8113.8"/>
    <m/>
    <m/>
    <m/>
    <x v="372"/>
    <m/>
  </r>
  <r>
    <n v="705"/>
    <x v="1"/>
    <s v="WHATS"/>
    <n v="89884"/>
    <n v="1523.36"/>
    <m/>
    <m/>
    <m/>
    <x v="372"/>
    <m/>
  </r>
  <r>
    <n v="708"/>
    <x v="56"/>
    <s v="WHATS"/>
    <n v="89892"/>
    <n v="2030"/>
    <m/>
    <m/>
    <m/>
    <x v="372"/>
    <m/>
  </r>
  <r>
    <n v="475"/>
    <x v="23"/>
    <s v="WHATS"/>
    <s v="89901/101757"/>
    <n v="3430.68"/>
    <m/>
    <m/>
    <m/>
    <x v="372"/>
    <m/>
  </r>
  <r>
    <n v="475"/>
    <x v="23"/>
    <s v="EMAIL"/>
    <n v="89209101723"/>
    <n v="13177.51"/>
    <m/>
    <m/>
    <m/>
    <x v="372"/>
    <m/>
  </r>
  <r>
    <n v="480"/>
    <x v="39"/>
    <s v="WHATS"/>
    <s v="89911/101762"/>
    <n v="2871.68"/>
    <m/>
    <m/>
    <m/>
    <x v="372"/>
    <m/>
  </r>
  <r>
    <n v="516"/>
    <x v="11"/>
    <s v="WHATS"/>
    <n v="89914"/>
    <n v="12421.05"/>
    <m/>
    <m/>
    <m/>
    <x v="373"/>
    <m/>
  </r>
  <r>
    <n v="761"/>
    <x v="24"/>
    <s v="WHATS"/>
    <s v="89828/89922/101745"/>
    <n v="1542.05"/>
    <m/>
    <m/>
    <m/>
    <x v="373"/>
    <m/>
  </r>
  <r>
    <n v="874"/>
    <x v="53"/>
    <s v="WHATS"/>
    <n v="89937"/>
    <n v="6949.1"/>
    <m/>
    <m/>
    <m/>
    <x v="373"/>
    <m/>
  </r>
  <r>
    <n v="1164"/>
    <x v="58"/>
    <s v="WHATS"/>
    <n v="89805"/>
    <n v="1340.91"/>
    <m/>
    <m/>
    <m/>
    <x v="373"/>
    <m/>
  </r>
  <r>
    <n v="500243"/>
    <x v="110"/>
    <s v="WHATS"/>
    <n v="89957"/>
    <n v="2431.16"/>
    <m/>
    <m/>
    <m/>
    <x v="373"/>
    <m/>
  </r>
  <r>
    <n v="2763"/>
    <x v="68"/>
    <s v="PLATAFORMA"/>
    <s v="101774/89973"/>
    <n v="484.1"/>
    <m/>
    <m/>
    <m/>
    <x v="374"/>
    <m/>
  </r>
  <r>
    <n v="1371"/>
    <x v="119"/>
    <s v="WHATS"/>
    <n v="89981"/>
    <n v="1074"/>
    <m/>
    <m/>
    <m/>
    <x v="374"/>
    <m/>
  </r>
  <r>
    <n v="761"/>
    <x v="24"/>
    <s v="WHATS"/>
    <n v="90005"/>
    <n v="14169.64"/>
    <m/>
    <m/>
    <m/>
    <x v="375"/>
    <m/>
  </r>
  <r>
    <n v="50418"/>
    <x v="35"/>
    <s v="WHATS"/>
    <n v="89998"/>
    <n v="699"/>
    <m/>
    <m/>
    <m/>
    <x v="375"/>
    <m/>
  </r>
  <r>
    <n v="746"/>
    <x v="3"/>
    <s v="WHATS"/>
    <n v="101731"/>
    <n v="82.95"/>
    <m/>
    <m/>
    <m/>
    <x v="375"/>
    <m/>
  </r>
  <r>
    <n v="475"/>
    <x v="23"/>
    <s v="WHATS"/>
    <n v="101773"/>
    <n v="206.47"/>
    <m/>
    <m/>
    <m/>
    <x v="375"/>
    <m/>
  </r>
  <r>
    <n v="2415"/>
    <x v="63"/>
    <s v="WHATS"/>
    <s v="89948/101768"/>
    <n v="455.6"/>
    <m/>
    <m/>
    <m/>
    <x v="376"/>
    <m/>
  </r>
  <r>
    <n v="2022"/>
    <x v="28"/>
    <s v="WHATS"/>
    <n v="90049"/>
    <n v="686.58"/>
    <m/>
    <m/>
    <m/>
    <x v="376"/>
    <m/>
  </r>
  <r>
    <n v="687"/>
    <x v="16"/>
    <s v="WHATS"/>
    <n v="90055"/>
    <n v="591.5"/>
    <m/>
    <m/>
    <m/>
    <x v="376"/>
    <m/>
  </r>
  <r>
    <n v="50558"/>
    <x v="2"/>
    <s v="WHATS"/>
    <n v="89713"/>
    <n v="3125.24"/>
    <m/>
    <m/>
    <m/>
    <x v="376"/>
    <m/>
  </r>
  <r>
    <n v="50961"/>
    <x v="109"/>
    <s v="WHATS"/>
    <n v="89950"/>
    <n v="444.1"/>
    <m/>
    <m/>
    <m/>
    <x v="376"/>
    <m/>
  </r>
  <r>
    <n v="325"/>
    <x v="97"/>
    <s v="WHATS"/>
    <s v="90053/101792"/>
    <n v="1851.75"/>
    <m/>
    <m/>
    <m/>
    <x v="376"/>
    <m/>
  </r>
  <r>
    <n v="1026"/>
    <x v="7"/>
    <s v="TEL"/>
    <n v="90078"/>
    <n v="2632.11"/>
    <m/>
    <m/>
    <m/>
    <x v="376"/>
    <m/>
  </r>
  <r>
    <n v="51061"/>
    <x v="138"/>
    <s v="PLATAFORMA"/>
    <n v="90089"/>
    <n v="860"/>
    <m/>
    <m/>
    <m/>
    <x v="377"/>
    <m/>
  </r>
  <r>
    <n v="1493"/>
    <x v="21"/>
    <s v="TEL"/>
    <n v="90100"/>
    <n v="1297.82"/>
    <m/>
    <m/>
    <m/>
    <x v="377"/>
    <m/>
  </r>
  <r>
    <n v="620"/>
    <x v="69"/>
    <s v="WHATS"/>
    <s v="90103/101800"/>
    <n v="889.75"/>
    <m/>
    <m/>
    <m/>
    <x v="377"/>
    <m/>
  </r>
  <r>
    <n v="1533"/>
    <x v="50"/>
    <s v="WHATS"/>
    <n v="90095"/>
    <n v="204.8"/>
    <m/>
    <m/>
    <m/>
    <x v="377"/>
    <m/>
  </r>
  <r>
    <n v="690"/>
    <x v="19"/>
    <s v="WHATS"/>
    <n v="89838"/>
    <n v="257"/>
    <m/>
    <m/>
    <m/>
    <x v="377"/>
    <m/>
  </r>
  <r>
    <n v="50465"/>
    <x v="96"/>
    <s v="WHATS"/>
    <n v="90117"/>
    <n v="789.8"/>
    <m/>
    <m/>
    <m/>
    <x v="377"/>
    <m/>
  </r>
  <r>
    <n v="3557"/>
    <x v="139"/>
    <s v="PLATAFORMA"/>
    <n v="90120"/>
    <n v="4800"/>
    <m/>
    <m/>
    <m/>
    <x v="377"/>
    <m/>
  </r>
  <r>
    <n v="432"/>
    <x v="43"/>
    <s v="WHATS"/>
    <n v="90142"/>
    <n v="3307.2"/>
    <m/>
    <m/>
    <m/>
    <x v="378"/>
    <m/>
  </r>
  <r>
    <n v="2181"/>
    <x v="0"/>
    <s v="WHATS"/>
    <n v="90144"/>
    <n v="40"/>
    <m/>
    <m/>
    <m/>
    <x v="378"/>
    <m/>
  </r>
  <r>
    <n v="2199"/>
    <x v="132"/>
    <s v="WHATS"/>
    <s v="89839/89875/90090"/>
    <n v="1001"/>
    <m/>
    <m/>
    <m/>
    <x v="378"/>
    <m/>
  </r>
  <r>
    <n v="434"/>
    <x v="134"/>
    <s v="WHATS"/>
    <n v="90163"/>
    <n v="1192.4000000000001"/>
    <m/>
    <m/>
    <m/>
    <x v="378"/>
    <m/>
  </r>
  <r>
    <n v="1493"/>
    <x v="21"/>
    <s v="WHATS"/>
    <n v="90184"/>
    <n v="578"/>
    <m/>
    <m/>
    <m/>
    <x v="378"/>
    <m/>
  </r>
  <r>
    <n v="2022"/>
    <x v="28"/>
    <s v="WHATS"/>
    <n v="90183"/>
    <n v="1689.26"/>
    <m/>
    <m/>
    <m/>
    <x v="378"/>
    <m/>
  </r>
  <r>
    <n v="980"/>
    <x v="80"/>
    <s v="WHATS"/>
    <n v="90187"/>
    <n v="1068"/>
    <m/>
    <m/>
    <m/>
    <x v="378"/>
    <m/>
  </r>
  <r>
    <n v="50769"/>
    <x v="140"/>
    <s v="WHATS"/>
    <n v="90182"/>
    <n v="364"/>
    <m/>
    <m/>
    <m/>
    <x v="378"/>
    <m/>
  </r>
  <r>
    <n v="50554"/>
    <x v="20"/>
    <s v="WHATS"/>
    <n v="90198"/>
    <n v="264"/>
    <m/>
    <m/>
    <m/>
    <x v="378"/>
    <m/>
  </r>
  <r>
    <n v="2572"/>
    <x v="115"/>
    <s v="TEL"/>
    <n v="90208"/>
    <n v="2700"/>
    <m/>
    <m/>
    <m/>
    <x v="378"/>
    <m/>
  </r>
  <r>
    <n v="2980"/>
    <x v="40"/>
    <s v="WHATS"/>
    <n v="90214"/>
    <n v="1339.69"/>
    <m/>
    <m/>
    <m/>
    <x v="379"/>
    <m/>
  </r>
  <r>
    <n v="1371"/>
    <x v="119"/>
    <s v="WHATS"/>
    <n v="90244"/>
    <n v="1650"/>
    <m/>
    <m/>
    <m/>
    <x v="379"/>
    <m/>
  </r>
  <r>
    <n v="475"/>
    <x v="23"/>
    <s v="EMAIL"/>
    <n v="90204"/>
    <n v="7652"/>
    <m/>
    <m/>
    <m/>
    <x v="379"/>
    <m/>
  </r>
  <r>
    <n v="581"/>
    <x v="74"/>
    <s v="WHATS"/>
    <s v="101787/90026"/>
    <n v="1594.87"/>
    <m/>
    <m/>
    <m/>
    <x v="380"/>
    <m/>
  </r>
  <r>
    <n v="2397"/>
    <x v="6"/>
    <s v="WHATS"/>
    <n v="90082"/>
    <n v="1079.58"/>
    <m/>
    <m/>
    <m/>
    <x v="380"/>
    <m/>
  </r>
  <r>
    <n v="311"/>
    <x v="46"/>
    <s v="WHATS"/>
    <n v="101807"/>
    <n v="238.96"/>
    <m/>
    <m/>
    <m/>
    <x v="380"/>
    <m/>
  </r>
  <r>
    <n v="463"/>
    <x v="32"/>
    <s v="WHATS"/>
    <n v="90259"/>
    <n v="1006.96"/>
    <m/>
    <m/>
    <m/>
    <x v="380"/>
    <m/>
  </r>
  <r>
    <n v="618"/>
    <x v="26"/>
    <s v="WHATS"/>
    <s v="90299/101826"/>
    <n v="4884.78"/>
    <m/>
    <m/>
    <m/>
    <x v="380"/>
    <m/>
  </r>
  <r>
    <n v="761"/>
    <x v="24"/>
    <s v="WHATS"/>
    <s v="101823/90283"/>
    <n v="23820.959999999999"/>
    <m/>
    <m/>
    <m/>
    <x v="380"/>
    <m/>
  </r>
  <r>
    <n v="50576"/>
    <x v="37"/>
    <s v="WHATS"/>
    <n v="90317"/>
    <n v="2461.4"/>
    <m/>
    <m/>
    <m/>
    <x v="380"/>
    <m/>
  </r>
  <r>
    <n v="500772"/>
    <x v="141"/>
    <s v="WHATS"/>
    <n v="90308"/>
    <n v="1225.8"/>
    <m/>
    <m/>
    <m/>
    <x v="380"/>
    <m/>
  </r>
  <r>
    <n v="663"/>
    <x v="116"/>
    <s v="WHATS"/>
    <s v="90294/101827"/>
    <n v="3349.49"/>
    <m/>
    <m/>
    <m/>
    <x v="21"/>
    <m/>
  </r>
  <r>
    <n v="500005"/>
    <x v="102"/>
    <s v="WHATS"/>
    <n v="90331"/>
    <m/>
    <m/>
    <n v="3000"/>
    <m/>
    <x v="21"/>
    <m/>
  </r>
  <r>
    <n v="311"/>
    <x v="46"/>
    <s v="WHATS"/>
    <s v="90341/101807"/>
    <n v="664.72"/>
    <m/>
    <m/>
    <m/>
    <x v="21"/>
    <m/>
  </r>
  <r>
    <n v="2911"/>
    <x v="15"/>
    <s v="WHATS"/>
    <s v="90345/101836"/>
    <n v="3331.01"/>
    <m/>
    <m/>
    <m/>
    <x v="21"/>
    <m/>
  </r>
  <r>
    <n v="618"/>
    <x v="26"/>
    <s v="WHATS"/>
    <n v="90351"/>
    <n v="465"/>
    <m/>
    <m/>
    <m/>
    <x v="21"/>
    <m/>
  </r>
  <r>
    <n v="50861"/>
    <x v="133"/>
    <s v="WHATS"/>
    <n v="90364"/>
    <n v="889.4"/>
    <m/>
    <m/>
    <m/>
    <x v="21"/>
    <m/>
  </r>
  <r>
    <n v="572"/>
    <x v="51"/>
    <s v="WHATS"/>
    <n v="90375"/>
    <n v="440.73"/>
    <m/>
    <m/>
    <m/>
    <x v="381"/>
    <m/>
  </r>
  <r>
    <n v="2397"/>
    <x v="6"/>
    <s v="WHATS"/>
    <n v="90381"/>
    <n v="446.86"/>
    <m/>
    <m/>
    <m/>
    <x v="381"/>
    <m/>
  </r>
  <r>
    <n v="1164"/>
    <x v="58"/>
    <s v="WHATS"/>
    <s v="90384/89805/101842"/>
    <n v="1945.47"/>
    <m/>
    <m/>
    <m/>
    <x v="381"/>
    <m/>
  </r>
  <r>
    <n v="725"/>
    <x v="65"/>
    <s v="WHATS"/>
    <n v="90395"/>
    <n v="288.95"/>
    <m/>
    <m/>
    <m/>
    <x v="381"/>
    <m/>
  </r>
  <r>
    <n v="1533"/>
    <x v="50"/>
    <s v="WHATS"/>
    <n v="90444"/>
    <n v="547.54999999999995"/>
    <m/>
    <m/>
    <m/>
    <x v="382"/>
    <m/>
  </r>
  <r>
    <n v="705"/>
    <x v="1"/>
    <s v="WHATS"/>
    <n v="90321"/>
    <n v="379"/>
    <m/>
    <m/>
    <m/>
    <x v="382"/>
    <m/>
  </r>
  <r>
    <n v="50558"/>
    <x v="2"/>
    <s v="WHATS"/>
    <n v="90057"/>
    <n v="2335"/>
    <m/>
    <m/>
    <m/>
    <x v="382"/>
    <m/>
  </r>
  <r>
    <n v="784"/>
    <x v="13"/>
    <s v="WHATS"/>
    <n v="90397"/>
    <n v="3156.67"/>
    <m/>
    <m/>
    <m/>
    <x v="382"/>
    <m/>
  </r>
  <r>
    <n v="772"/>
    <x v="71"/>
    <s v="WHATS"/>
    <n v="90451"/>
    <n v="1670.52"/>
    <m/>
    <m/>
    <m/>
    <x v="382"/>
    <m/>
  </r>
  <r>
    <n v="3557"/>
    <x v="139"/>
    <s v="WHATS"/>
    <n v="90464"/>
    <n v="254.8"/>
    <m/>
    <m/>
    <m/>
    <x v="382"/>
    <m/>
  </r>
  <r>
    <n v="761"/>
    <x v="24"/>
    <s v="WHATS"/>
    <n v="90283"/>
    <n v="1242.2"/>
    <m/>
    <m/>
    <m/>
    <x v="383"/>
    <m/>
  </r>
  <r>
    <n v="822"/>
    <x v="66"/>
    <s v="WHATS"/>
    <s v="101860/90481"/>
    <n v="2194.5"/>
    <m/>
    <m/>
    <m/>
    <x v="383"/>
    <m/>
  </r>
  <r>
    <n v="50219"/>
    <x v="14"/>
    <s v="WHATS"/>
    <s v="90391/101861"/>
    <n v="2050.15"/>
    <m/>
    <m/>
    <m/>
    <x v="383"/>
    <m/>
  </r>
  <r>
    <n v="1122"/>
    <x v="87"/>
    <s v="WHATS"/>
    <n v="90486"/>
    <n v="1555.55"/>
    <m/>
    <m/>
    <m/>
    <x v="383"/>
    <m/>
  </r>
  <r>
    <n v="1493"/>
    <x v="21"/>
    <s v="WHATS"/>
    <n v="90514"/>
    <n v="519.5"/>
    <m/>
    <m/>
    <m/>
    <x v="383"/>
    <m/>
  </r>
  <r>
    <n v="2022"/>
    <x v="28"/>
    <s v="WHATS"/>
    <s v="90183/90538"/>
    <n v="387.64"/>
    <m/>
    <m/>
    <m/>
    <x v="383"/>
    <m/>
  </r>
  <r>
    <n v="325"/>
    <x v="97"/>
    <s v="WHATS"/>
    <s v="90545/101872"/>
    <n v="571.4"/>
    <m/>
    <m/>
    <m/>
    <x v="384"/>
    <m/>
  </r>
  <r>
    <n v="906"/>
    <x v="27"/>
    <s v="WHATS"/>
    <s v="90557/101857"/>
    <n v="6038.82"/>
    <m/>
    <m/>
    <m/>
    <x v="384"/>
    <m/>
  </r>
  <r>
    <n v="690"/>
    <x v="19"/>
    <s v="WHATS"/>
    <s v="90546/101875"/>
    <n v="2116.0500000000002"/>
    <m/>
    <m/>
    <m/>
    <x v="384"/>
    <m/>
  </r>
  <r>
    <n v="2415"/>
    <x v="63"/>
    <s v="WHATS"/>
    <s v="90562/101877"/>
    <n v="352.29"/>
    <m/>
    <m/>
    <m/>
    <x v="384"/>
    <m/>
  </r>
  <r>
    <n v="1989"/>
    <x v="67"/>
    <s v="WHATS"/>
    <n v="89956"/>
    <n v="616.03"/>
    <m/>
    <m/>
    <m/>
    <x v="384"/>
    <m/>
  </r>
  <r>
    <n v="412"/>
    <x v="90"/>
    <s v="WHATS"/>
    <n v="90632"/>
    <n v="84"/>
    <m/>
    <m/>
    <m/>
    <x v="385"/>
    <m/>
  </r>
  <r>
    <n v="762"/>
    <x v="41"/>
    <s v="EMAIL"/>
    <n v="90628"/>
    <n v="1584.9"/>
    <m/>
    <m/>
    <m/>
    <x v="385"/>
    <m/>
  </r>
  <r>
    <n v="408"/>
    <x v="142"/>
    <s v="EMAIL"/>
    <n v="90634"/>
    <n v="2351.56"/>
    <m/>
    <m/>
    <m/>
    <x v="385"/>
    <m/>
  </r>
  <r>
    <n v="1493"/>
    <x v="21"/>
    <s v="WHATS"/>
    <n v="90625"/>
    <n v="551.86"/>
    <m/>
    <m/>
    <m/>
    <x v="385"/>
    <m/>
  </r>
  <r>
    <n v="1164"/>
    <x v="58"/>
    <s v="WHATS"/>
    <s v="90655/101895"/>
    <n v="465.18"/>
    <m/>
    <m/>
    <m/>
    <x v="386"/>
    <m/>
  </r>
  <r>
    <n v="704"/>
    <x v="49"/>
    <s v="WHATS"/>
    <s v="90454/101854"/>
    <n v="1824.69"/>
    <m/>
    <m/>
    <m/>
    <x v="385"/>
    <m/>
  </r>
  <r>
    <n v="1813"/>
    <x v="48"/>
    <s v="WHATS"/>
    <n v="90619"/>
    <n v="1271.74"/>
    <m/>
    <m/>
    <m/>
    <x v="385"/>
    <m/>
  </r>
  <r>
    <n v="412"/>
    <x v="90"/>
    <s v="WHATS"/>
    <n v="90632"/>
    <n v="84"/>
    <m/>
    <m/>
    <m/>
    <x v="385"/>
    <m/>
  </r>
  <r>
    <n v="50554"/>
    <x v="20"/>
    <s v="WHATS"/>
    <s v="101882/89976/89955"/>
    <n v="4796.3599999999997"/>
    <m/>
    <m/>
    <m/>
    <x v="385"/>
    <m/>
  </r>
  <r>
    <n v="3194"/>
    <x v="18"/>
    <s v="WHATS"/>
    <n v="90539"/>
    <n v="380.2"/>
    <m/>
    <m/>
    <m/>
    <x v="385"/>
    <m/>
  </r>
  <r>
    <n v="746"/>
    <x v="3"/>
    <s v="WHATS"/>
    <s v="90416/101849"/>
    <n v="608.03"/>
    <m/>
    <m/>
    <m/>
    <x v="386"/>
    <m/>
  </r>
  <r>
    <n v="2022"/>
    <x v="28"/>
    <s v="WHATS"/>
    <n v="89890"/>
    <n v="7687.8"/>
    <m/>
    <m/>
    <m/>
    <x v="386"/>
    <m/>
  </r>
  <r>
    <n v="50465"/>
    <x v="96"/>
    <s v="WHATS"/>
    <n v="90564"/>
    <n v="445.5"/>
    <m/>
    <m/>
    <m/>
    <x v="386"/>
    <m/>
  </r>
  <r>
    <n v="772"/>
    <x v="71"/>
    <s v="WHATS"/>
    <n v="90688"/>
    <n v="187.65"/>
    <m/>
    <m/>
    <m/>
    <x v="386"/>
    <m/>
  </r>
  <r>
    <n v="3017"/>
    <x v="62"/>
    <s v="WHATS"/>
    <n v="90691"/>
    <n v="1483.66"/>
    <m/>
    <m/>
    <m/>
    <x v="386"/>
    <m/>
  </r>
  <r>
    <n v="1206"/>
    <x v="33"/>
    <s v="WHATS"/>
    <n v="90713"/>
    <n v="1510.68"/>
    <m/>
    <m/>
    <m/>
    <x v="386"/>
    <m/>
  </r>
  <r>
    <n v="1026"/>
    <x v="7"/>
    <s v="WHATS"/>
    <s v="90150/90078"/>
    <n v="2114"/>
    <m/>
    <m/>
    <m/>
    <x v="387"/>
    <m/>
  </r>
  <r>
    <n v="1623"/>
    <x v="57"/>
    <s v="WHATS"/>
    <n v="90720"/>
    <n v="300.45"/>
    <m/>
    <m/>
    <m/>
    <x v="387"/>
    <m/>
  </r>
  <r>
    <n v="3153"/>
    <x v="12"/>
    <s v="WHATS"/>
    <s v="90352/101839"/>
    <n v="1811.54"/>
    <m/>
    <m/>
    <m/>
    <x v="387"/>
    <m/>
  </r>
  <r>
    <n v="2199"/>
    <x v="132"/>
    <s v="WHATS"/>
    <s v="90737/90565/101910"/>
    <n v="596.70000000000005"/>
    <m/>
    <m/>
    <m/>
    <x v="387"/>
    <m/>
  </r>
  <r>
    <n v="50728"/>
    <x v="84"/>
    <s v="WHATS"/>
    <n v="90742"/>
    <n v="1550"/>
    <m/>
    <m/>
    <m/>
    <x v="387"/>
    <m/>
  </r>
  <r>
    <n v="50558"/>
    <x v="2"/>
    <s v="WHATS"/>
    <n v="90764"/>
    <n v="5716"/>
    <m/>
    <m/>
    <m/>
    <x v="388"/>
    <m/>
  </r>
  <r>
    <n v="960"/>
    <x v="30"/>
    <s v="WHATS"/>
    <s v="90584/101883"/>
    <n v="1394.57"/>
    <m/>
    <m/>
    <m/>
    <x v="388"/>
    <m/>
  </r>
  <r>
    <n v="761"/>
    <x v="24"/>
    <s v="WHATS"/>
    <s v="90283/90782/90005/101873"/>
    <n v="4672.33"/>
    <m/>
    <m/>
    <m/>
    <x v="388"/>
    <m/>
  </r>
  <r>
    <n v="500005"/>
    <x v="102"/>
    <s v="WHATS"/>
    <n v="90789"/>
    <n v="3016.17"/>
    <m/>
    <m/>
    <m/>
    <x v="388"/>
    <m/>
  </r>
  <r>
    <n v="575"/>
    <x v="45"/>
    <s v="WHATS"/>
    <n v="90767"/>
    <n v="745.2"/>
    <m/>
    <m/>
    <m/>
    <x v="388"/>
    <m/>
  </r>
  <r>
    <n v="500772"/>
    <x v="141"/>
    <s v="WHATS"/>
    <s v="90308/90643"/>
    <n v="749.4"/>
    <m/>
    <m/>
    <m/>
    <x v="389"/>
    <m/>
  </r>
  <r>
    <n v="3018"/>
    <x v="64"/>
    <s v="WHATS"/>
    <n v="90340"/>
    <n v="1068.27"/>
    <m/>
    <m/>
    <m/>
    <x v="389"/>
    <m/>
  </r>
  <r>
    <n v="1493"/>
    <x v="21"/>
    <s v="WHATS"/>
    <n v="90625"/>
    <n v="734"/>
    <m/>
    <m/>
    <m/>
    <x v="389"/>
    <m/>
  </r>
  <r>
    <n v="51061"/>
    <x v="138"/>
    <s v="WHATS"/>
    <n v="90814"/>
    <n v="1581.4"/>
    <m/>
    <m/>
    <m/>
    <x v="389"/>
    <m/>
  </r>
  <r>
    <n v="2415"/>
    <x v="63"/>
    <s v="WHATS"/>
    <n v="90817"/>
    <n v="1098.8"/>
    <m/>
    <m/>
    <m/>
    <x v="389"/>
    <m/>
  </r>
  <r>
    <n v="1533"/>
    <x v="50"/>
    <s v="WHATS"/>
    <n v="90854"/>
    <n v="726.8"/>
    <m/>
    <m/>
    <m/>
    <x v="390"/>
    <m/>
  </r>
  <r>
    <n v="960"/>
    <x v="30"/>
    <s v="WHATS"/>
    <n v="90884"/>
    <n v="730"/>
    <m/>
    <m/>
    <m/>
    <x v="391"/>
    <m/>
  </r>
  <r>
    <n v="50465"/>
    <x v="96"/>
    <s v="WHATS"/>
    <n v="90806"/>
    <n v="485.66"/>
    <m/>
    <m/>
    <m/>
    <x v="391"/>
    <m/>
  </r>
  <r>
    <n v="3475"/>
    <x v="59"/>
    <s v="WHATS"/>
    <n v="90469"/>
    <n v="270.95"/>
    <m/>
    <m/>
    <m/>
    <x v="391"/>
    <m/>
  </r>
  <r>
    <n v="690"/>
    <x v="19"/>
    <s v="WHATS"/>
    <s v="90703/101902"/>
    <n v="139"/>
    <m/>
    <m/>
    <m/>
    <x v="391"/>
    <m/>
  </r>
  <r>
    <n v="50554"/>
    <x v="20"/>
    <s v="WHATS"/>
    <s v="90704/101903"/>
    <n v="645"/>
    <m/>
    <m/>
    <m/>
    <x v="391"/>
    <m/>
  </r>
  <r>
    <n v="3557"/>
    <x v="139"/>
    <s v="WHATS"/>
    <n v="90907"/>
    <n v="1307.7"/>
    <m/>
    <m/>
    <m/>
    <x v="391"/>
    <m/>
  </r>
  <r>
    <n v="874"/>
    <x v="53"/>
    <s v="WHATS"/>
    <n v="90918"/>
    <n v="2293.31"/>
    <m/>
    <m/>
    <m/>
    <x v="391"/>
    <m/>
  </r>
  <r>
    <n v="500243"/>
    <x v="110"/>
    <s v="WHATS"/>
    <n v="90024"/>
    <n v="1333.4"/>
    <m/>
    <m/>
    <m/>
    <x v="392"/>
    <m/>
  </r>
  <r>
    <n v="412"/>
    <x v="90"/>
    <s v="WHATS"/>
    <n v="90950"/>
    <n v="1095"/>
    <m/>
    <m/>
    <m/>
    <x v="393"/>
    <m/>
  </r>
  <r>
    <n v="475"/>
    <x v="23"/>
    <s v="WHATS"/>
    <s v="101939/90890"/>
    <n v="29927.9"/>
    <m/>
    <m/>
    <m/>
    <x v="392"/>
    <m/>
  </r>
  <r>
    <n v="311"/>
    <x v="46"/>
    <s v="WHATS"/>
    <n v="90774"/>
    <n v="2196.3000000000002"/>
    <m/>
    <m/>
    <m/>
    <x v="393"/>
    <m/>
  </r>
  <r>
    <n v="50554"/>
    <x v="20"/>
    <s v="WHATS"/>
    <n v="90956"/>
    <n v="4788"/>
    <m/>
    <m/>
    <m/>
    <x v="392"/>
    <m/>
  </r>
  <r>
    <n v="761"/>
    <x v="24"/>
    <s v="WHATS"/>
    <s v="90973/101944"/>
    <n v="11294.53"/>
    <m/>
    <m/>
    <m/>
    <x v="392"/>
    <m/>
  </r>
  <r>
    <n v="480"/>
    <x v="39"/>
    <s v="WHATS"/>
    <s v="101946/90981"/>
    <n v="1603.4"/>
    <m/>
    <m/>
    <m/>
    <x v="392"/>
    <m/>
  </r>
  <r>
    <n v="1971"/>
    <x v="29"/>
    <s v="WHATS"/>
    <n v="90972"/>
    <n v="509.85"/>
    <m/>
    <m/>
    <m/>
    <x v="392"/>
    <m/>
  </r>
  <r>
    <n v="516"/>
    <x v="11"/>
    <s v="WHATS"/>
    <n v="89952"/>
    <n v="12824.31"/>
    <m/>
    <m/>
    <m/>
    <x v="392"/>
    <m/>
  </r>
  <r>
    <n v="960"/>
    <x v="30"/>
    <s v="WHATS"/>
    <n v="90984"/>
    <n v="1074"/>
    <m/>
    <m/>
    <m/>
    <x v="392"/>
    <m/>
  </r>
  <r>
    <n v="3017"/>
    <x v="62"/>
    <s v="WHATS"/>
    <n v="90977"/>
    <n v="1716.59"/>
    <m/>
    <m/>
    <m/>
    <x v="392"/>
    <m/>
  </r>
  <r>
    <n v="2022"/>
    <x v="28"/>
    <s v="WHATS"/>
    <n v="90183"/>
    <n v="356"/>
    <m/>
    <m/>
    <m/>
    <x v="392"/>
    <m/>
  </r>
  <r>
    <n v="2163"/>
    <x v="36"/>
    <s v="WHATS"/>
    <n v="90993"/>
    <n v="1822.4"/>
    <m/>
    <m/>
    <m/>
    <x v="392"/>
    <m/>
  </r>
  <r>
    <n v="50576"/>
    <x v="37"/>
    <s v="WHATS"/>
    <n v="91020"/>
    <n v="2396.06"/>
    <m/>
    <m/>
    <m/>
    <x v="394"/>
    <m/>
  </r>
  <r>
    <n v="2199"/>
    <x v="132"/>
    <s v="PLATAFORMA"/>
    <s v="91025/90737"/>
    <n v="4138.3"/>
    <m/>
    <m/>
    <m/>
    <x v="394"/>
    <m/>
  </r>
  <r>
    <n v="50961"/>
    <x v="109"/>
    <s v="WHATS"/>
    <s v="91035/89950"/>
    <n v="542.5"/>
    <m/>
    <m/>
    <m/>
    <x v="394"/>
    <m/>
  </r>
  <r>
    <n v="905"/>
    <x v="72"/>
    <s v="WHATS"/>
    <s v="90579/101952"/>
    <n v="1055.25"/>
    <m/>
    <m/>
    <m/>
    <x v="394"/>
    <m/>
  </r>
  <r>
    <n v="434"/>
    <x v="134"/>
    <s v="WHATS"/>
    <n v="91059"/>
    <n v="1031.4000000000001"/>
    <m/>
    <m/>
    <m/>
    <x v="394"/>
    <m/>
  </r>
  <r>
    <n v="500829"/>
    <x v="143"/>
    <s v="WHATS"/>
    <n v="91085"/>
    <n v="8543.52"/>
    <m/>
    <m/>
    <m/>
    <x v="395"/>
    <m/>
  </r>
  <r>
    <n v="620"/>
    <x v="69"/>
    <s v="WHATS"/>
    <s v="91083/101964"/>
    <n v="599.92999999999995"/>
    <m/>
    <m/>
    <m/>
    <x v="395"/>
    <m/>
  </r>
  <r>
    <n v="2199"/>
    <x v="132"/>
    <s v="PLATAFORMA"/>
    <s v="91076/91076"/>
    <n v="8024.4"/>
    <m/>
    <m/>
    <m/>
    <x v="395"/>
    <m/>
  </r>
  <r>
    <n v="1502"/>
    <x v="76"/>
    <s v="WHATS"/>
    <n v="91114"/>
    <n v="4960.68"/>
    <m/>
    <m/>
    <m/>
    <x v="396"/>
    <m/>
  </r>
  <r>
    <n v="3077"/>
    <x v="10"/>
    <s v="WHATS"/>
    <s v="91011/101953"/>
    <n v="1159.99"/>
    <m/>
    <m/>
    <m/>
    <x v="396"/>
    <m/>
  </r>
  <r>
    <n v="1533"/>
    <x v="50"/>
    <s v="WHATS"/>
    <n v="91161"/>
    <n v="656"/>
    <m/>
    <m/>
    <m/>
    <x v="396"/>
    <m/>
  </r>
  <r>
    <n v="412"/>
    <x v="90"/>
    <s v="WHATS"/>
    <n v="91185"/>
    <n v="1095"/>
    <m/>
    <m/>
    <m/>
    <x v="397"/>
    <m/>
  </r>
  <r>
    <n v="687"/>
    <x v="16"/>
    <s v="WHATS"/>
    <n v="91184"/>
    <n v="5839.2"/>
    <m/>
    <m/>
    <m/>
    <x v="397"/>
    <m/>
  </r>
  <r>
    <n v="408"/>
    <x v="142"/>
    <s v="WHATS"/>
    <n v="90634"/>
    <n v="794.35"/>
    <m/>
    <m/>
    <m/>
    <x v="397"/>
    <m/>
  </r>
  <r>
    <n v="1164"/>
    <x v="58"/>
    <s v="WHATS"/>
    <s v="101993/90680"/>
    <n v="1532.04"/>
    <m/>
    <m/>
    <m/>
    <x v="397"/>
    <m/>
  </r>
  <r>
    <n v="432"/>
    <x v="43"/>
    <s v="WHATS"/>
    <n v="91231"/>
    <n v="852"/>
    <m/>
    <m/>
    <m/>
    <x v="398"/>
    <m/>
  </r>
  <r>
    <n v="2911"/>
    <x v="15"/>
    <s v="TEANS"/>
    <s v="91153/101979"/>
    <n v="1732.95"/>
    <m/>
    <m/>
    <m/>
    <x v="398"/>
    <m/>
  </r>
  <r>
    <n v="2980"/>
    <x v="40"/>
    <s v="WHATS"/>
    <n v="91250"/>
    <n v="1057.3"/>
    <m/>
    <m/>
    <m/>
    <x v="398"/>
    <m/>
  </r>
  <r>
    <n v="620"/>
    <x v="69"/>
    <s v="WHATS"/>
    <n v="90803"/>
    <n v="381.2"/>
    <m/>
    <m/>
    <m/>
    <x v="398"/>
    <m/>
  </r>
  <r>
    <n v="500829"/>
    <x v="143"/>
    <s v="WHATS"/>
    <n v="91262"/>
    <n v="6923.52"/>
    <m/>
    <m/>
    <m/>
    <x v="398"/>
    <m/>
  </r>
  <r>
    <n v="500005"/>
    <x v="102"/>
    <s v="WHATS"/>
    <n v="91275"/>
    <n v="460"/>
    <m/>
    <m/>
    <m/>
    <x v="398"/>
    <m/>
  </r>
  <r>
    <n v="475"/>
    <x v="23"/>
    <s v="WHATS"/>
    <s v="91219/90204"/>
    <n v="8194.99"/>
    <m/>
    <m/>
    <m/>
    <x v="398"/>
    <m/>
  </r>
  <r>
    <n v="761"/>
    <x v="24"/>
    <s v="WHATS"/>
    <s v="91261/101945"/>
    <n v="2822"/>
    <m/>
    <m/>
    <m/>
    <x v="398"/>
    <m/>
  </r>
  <r>
    <n v="762"/>
    <x v="41"/>
    <s v="EMAIL"/>
    <n v="91073"/>
    <n v="2666.45"/>
    <m/>
    <m/>
    <m/>
    <x v="398"/>
    <m/>
  </r>
  <r>
    <n v="874"/>
    <x v="53"/>
    <s v="WHATS"/>
    <n v="91265"/>
    <n v="6570.7"/>
    <m/>
    <m/>
    <m/>
    <x v="398"/>
    <m/>
  </r>
  <r>
    <n v="50219"/>
    <x v="14"/>
    <s v="WHATS"/>
    <n v="91287"/>
    <n v="622.5"/>
    <m/>
    <m/>
    <m/>
    <x v="398"/>
    <m/>
  </r>
  <r>
    <n v="708"/>
    <x v="56"/>
    <s v="EMAIL"/>
    <n v="91314"/>
    <n v="2030"/>
    <m/>
    <m/>
    <m/>
    <x v="399"/>
    <m/>
  </r>
  <r>
    <n v="823"/>
    <x v="17"/>
    <s v="WHATS"/>
    <s v="91305/102007"/>
    <n v="9748.7199999999993"/>
    <m/>
    <m/>
    <m/>
    <x v="399"/>
    <m/>
  </r>
  <r>
    <n v="2022"/>
    <x v="28"/>
    <s v="WHATS"/>
    <n v="91321"/>
    <n v="986.28"/>
    <m/>
    <m/>
    <m/>
    <x v="399"/>
    <m/>
  </r>
  <r>
    <n v="2415"/>
    <x v="63"/>
    <s v="WHATS"/>
    <s v="91339/102013/91292"/>
    <n v="2217.5"/>
    <m/>
    <m/>
    <m/>
    <x v="399"/>
    <m/>
  </r>
  <r>
    <n v="463"/>
    <x v="32"/>
    <s v="WHATS"/>
    <s v="91352/90259"/>
    <n v="1024"/>
    <m/>
    <m/>
    <m/>
    <x v="400"/>
    <m/>
  </r>
  <r>
    <n v="3017"/>
    <x v="62"/>
    <s v="WHATS"/>
    <n v="91356"/>
    <n v="644.9"/>
    <m/>
    <m/>
    <m/>
    <x v="400"/>
    <m/>
  </r>
  <r>
    <n v="1726"/>
    <x v="34"/>
    <s v="WHATS"/>
    <n v="91358"/>
    <n v="338"/>
    <m/>
    <m/>
    <m/>
    <x v="400"/>
    <m/>
  </r>
  <r>
    <n v="2702"/>
    <x v="73"/>
    <s v="WHATS"/>
    <n v="91385"/>
    <n v="720"/>
    <m/>
    <m/>
    <m/>
    <x v="400"/>
    <m/>
  </r>
  <r>
    <n v="2093"/>
    <x v="144"/>
    <s v="WHATS"/>
    <n v="91400"/>
    <n v="260"/>
    <m/>
    <m/>
    <m/>
    <x v="400"/>
    <m/>
  </r>
  <r>
    <n v="475"/>
    <x v="23"/>
    <s v="WHATS"/>
    <n v="90892"/>
    <n v="10098"/>
    <m/>
    <m/>
    <m/>
    <x v="400"/>
    <m/>
  </r>
  <r>
    <n v="762"/>
    <x v="41"/>
    <s v="WHATS"/>
    <n v="91073"/>
    <n v="3300"/>
    <m/>
    <m/>
    <m/>
    <x v="401"/>
    <m/>
  </r>
  <r>
    <n v="1533"/>
    <x v="50"/>
    <s v="WHATS"/>
    <n v="91413"/>
    <n v="1866"/>
    <m/>
    <m/>
    <m/>
    <x v="401"/>
    <m/>
  </r>
  <r>
    <n v="408"/>
    <x v="142"/>
    <s v="WHATS"/>
    <s v="91420/102026"/>
    <n v="6298.06"/>
    <m/>
    <m/>
    <m/>
    <x v="402"/>
    <m/>
  </r>
  <r>
    <n v="50554"/>
    <x v="20"/>
    <s v="WHATS"/>
    <n v="91423"/>
    <n v="2261.1999999999998"/>
    <m/>
    <m/>
    <m/>
    <x v="402"/>
    <m/>
  </r>
  <r>
    <n v="2702"/>
    <x v="73"/>
    <s v="WHATS"/>
    <n v="91450"/>
    <n v="1810.58"/>
    <m/>
    <m/>
    <m/>
    <x v="402"/>
    <m/>
  </r>
  <r>
    <n v="1813"/>
    <x v="48"/>
    <s v="WHATS"/>
    <n v="91451"/>
    <n v="2059.4499999999998"/>
    <m/>
    <m/>
    <m/>
    <x v="402"/>
    <m/>
  </r>
  <r>
    <n v="761"/>
    <x v="24"/>
    <s v="WHATS"/>
    <s v="91448/102022"/>
    <n v="25081.77"/>
    <m/>
    <m/>
    <m/>
    <x v="402"/>
    <m/>
  </r>
  <r>
    <n v="311"/>
    <x v="46"/>
    <s v="WHATS"/>
    <s v="91439/102028"/>
    <n v="686.15"/>
    <m/>
    <m/>
    <m/>
    <x v="402"/>
    <m/>
  </r>
  <r>
    <n v="475"/>
    <x v="23"/>
    <s v="WHATS"/>
    <n v="102021"/>
    <n v="206.47"/>
    <m/>
    <m/>
    <m/>
    <x v="402"/>
    <m/>
  </r>
  <r>
    <n v="663"/>
    <x v="116"/>
    <s v="WHATS"/>
    <s v="91428/102027"/>
    <n v="3155.94"/>
    <m/>
    <m/>
    <m/>
    <x v="402"/>
    <m/>
  </r>
  <r>
    <n v="2415"/>
    <x v="63"/>
    <s v="WHATS"/>
    <n v="91503"/>
    <n v="1712.7"/>
    <m/>
    <m/>
    <m/>
    <x v="403"/>
    <m/>
  </r>
  <r>
    <n v="50219"/>
    <x v="14"/>
    <s v="WHATS"/>
    <s v="91538/102034"/>
    <n v="1591.59"/>
    <m/>
    <m/>
    <m/>
    <x v="404"/>
    <m/>
  </r>
  <r>
    <n v="500829"/>
    <x v="143"/>
    <s v="WHATS"/>
    <n v="91534"/>
    <n v="7578.24"/>
    <m/>
    <m/>
    <m/>
    <x v="404"/>
    <m/>
  </r>
  <r>
    <n v="1989"/>
    <x v="67"/>
    <s v="WHATS"/>
    <n v="91027"/>
    <n v="616.03"/>
    <m/>
    <m/>
    <m/>
    <x v="404"/>
    <m/>
  </r>
  <r>
    <n v="50554"/>
    <x v="20"/>
    <s v="WHATS"/>
    <n v="90103"/>
    <n v="189"/>
    <m/>
    <m/>
    <m/>
    <x v="404"/>
    <m/>
  </r>
  <r>
    <n v="762"/>
    <x v="41"/>
    <s v="WHATS"/>
    <n v="91073"/>
    <n v="460"/>
    <m/>
    <m/>
    <m/>
    <x v="404"/>
    <m/>
  </r>
  <r>
    <n v="725"/>
    <x v="65"/>
    <s v="WHATS"/>
    <n v="91514"/>
    <n v="1531"/>
    <m/>
    <m/>
    <m/>
    <x v="404"/>
    <m/>
  </r>
  <r>
    <n v="784"/>
    <x v="13"/>
    <s v="WHATS"/>
    <s v="91533/90753"/>
    <n v="7572.74"/>
    <m/>
    <m/>
    <m/>
    <x v="404"/>
    <m/>
  </r>
  <r>
    <n v="1788"/>
    <x v="91"/>
    <s v="WHATS"/>
    <n v="91571"/>
    <n v="384.68"/>
    <m/>
    <m/>
    <m/>
    <x v="404"/>
    <m/>
  </r>
  <r>
    <n v="1122"/>
    <x v="87"/>
    <s v="WHATS"/>
    <n v="91584"/>
    <n v="2275"/>
    <m/>
    <m/>
    <m/>
    <x v="404"/>
    <m/>
  </r>
  <r>
    <n v="3018"/>
    <x v="64"/>
    <s v="WHATS"/>
    <s v="91606/102050"/>
    <n v="369.37"/>
    <m/>
    <m/>
    <m/>
    <x v="405"/>
    <m/>
  </r>
  <r>
    <n v="50465"/>
    <x v="96"/>
    <s v="WHATS"/>
    <n v="91603"/>
    <n v="2497.17"/>
    <m/>
    <m/>
    <m/>
    <x v="405"/>
    <m/>
  </r>
  <r>
    <n v="960"/>
    <x v="30"/>
    <s v="WHATS"/>
    <s v="102051/91614"/>
    <n v="962.8"/>
    <m/>
    <m/>
    <m/>
    <x v="406"/>
    <m/>
  </r>
  <r>
    <n v="581"/>
    <x v="74"/>
    <s v="WHATS"/>
    <s v="102056/91635"/>
    <n v="1917.57"/>
    <m/>
    <m/>
    <m/>
    <x v="405"/>
    <m/>
  </r>
  <r>
    <n v="50861"/>
    <x v="133"/>
    <s v="WHATS"/>
    <n v="91637"/>
    <n v="592.70000000000005"/>
    <m/>
    <m/>
    <m/>
    <x v="405"/>
    <m/>
  </r>
  <r>
    <n v="3153"/>
    <x v="12"/>
    <s v="WHATS"/>
    <n v="91670"/>
    <n v="1250.97"/>
    <m/>
    <m/>
    <m/>
    <x v="407"/>
    <m/>
  </r>
  <r>
    <n v="408"/>
    <x v="142"/>
    <s v="WHATS"/>
    <n v="102067"/>
    <n v="417.87"/>
    <m/>
    <m/>
    <m/>
    <x v="406"/>
    <m/>
  </r>
  <r>
    <n v="3194"/>
    <x v="18"/>
    <s v="WHATS"/>
    <n v="91682"/>
    <n v="829.1"/>
    <m/>
    <m/>
    <m/>
    <x v="406"/>
    <m/>
  </r>
  <r>
    <n v="690"/>
    <x v="19"/>
    <s v="WHATS"/>
    <s v="91678/102068"/>
    <n v="2378.64"/>
    <m/>
    <m/>
    <m/>
    <x v="406"/>
    <m/>
  </r>
  <r>
    <n v="2199"/>
    <x v="132"/>
    <s v="PLATAFORMA"/>
    <n v="910763"/>
    <n v="165"/>
    <m/>
    <m/>
    <m/>
    <x v="406"/>
    <m/>
  </r>
  <r>
    <n v="50554"/>
    <x v="20"/>
    <s v="WHATS"/>
    <s v="91697/102071"/>
    <n v="7883.49"/>
    <m/>
    <m/>
    <m/>
    <x v="406"/>
    <m/>
  </r>
  <r>
    <n v="2022"/>
    <x v="28"/>
    <s v="WHATS"/>
    <n v="91718"/>
    <n v="299"/>
    <m/>
    <m/>
    <m/>
    <x v="406"/>
    <m/>
  </r>
  <r>
    <n v="725"/>
    <x v="65"/>
    <s v="WHATS"/>
    <n v="91711"/>
    <n v="293.5"/>
    <m/>
    <m/>
    <m/>
    <x v="406"/>
    <m/>
  </r>
  <r>
    <n v="784"/>
    <x v="13"/>
    <s v="WHATS"/>
    <s v="91533/90753"/>
    <n v="2057.4899999999998"/>
    <m/>
    <m/>
    <m/>
    <x v="406"/>
    <m/>
  </r>
  <r>
    <n v="1164"/>
    <x v="58"/>
    <s v="WHATS"/>
    <n v="91500"/>
    <n v="1635.46"/>
    <m/>
    <m/>
    <m/>
    <x v="406"/>
    <m/>
  </r>
  <r>
    <n v="1726"/>
    <x v="34"/>
    <s v="WHATS"/>
    <n v="91663"/>
    <m/>
    <m/>
    <n v="14860"/>
    <m/>
    <x v="408"/>
    <m/>
  </r>
  <r>
    <n v="171"/>
    <x v="70"/>
    <s v="WHATS"/>
    <n v="91454"/>
    <n v="5140.4399999999996"/>
    <m/>
    <m/>
    <m/>
    <x v="408"/>
    <m/>
  </r>
  <r>
    <n v="50418"/>
    <x v="35"/>
    <s v="WHATS"/>
    <n v="91499"/>
    <n v="1288.3"/>
    <m/>
    <m/>
    <m/>
    <x v="408"/>
    <m/>
  </r>
  <r>
    <n v="50558"/>
    <x v="2"/>
    <s v="WHATS"/>
    <s v="94786/90764"/>
    <n v="4381"/>
    <m/>
    <m/>
    <m/>
    <x v="409"/>
    <m/>
  </r>
  <r>
    <n v="1652"/>
    <x v="61"/>
    <s v="TELEFONE"/>
    <n v="91751"/>
    <n v="694.7"/>
    <m/>
    <m/>
    <m/>
    <x v="409"/>
    <m/>
  </r>
  <r>
    <n v="905"/>
    <x v="72"/>
    <s v="WHATS"/>
    <n v="91790"/>
    <n v="986.8"/>
    <m/>
    <m/>
    <m/>
    <x v="409"/>
    <m/>
  </r>
  <r>
    <n v="1122"/>
    <x v="87"/>
    <s v="EMAIL"/>
    <n v="91794"/>
    <n v="2213.4"/>
    <m/>
    <m/>
    <m/>
    <x v="409"/>
    <m/>
  </r>
  <r>
    <n v="3557"/>
    <x v="139"/>
    <s v="PLATAFORMA"/>
    <n v="91589"/>
    <n v="4890.3999999999996"/>
    <m/>
    <m/>
    <m/>
    <x v="409"/>
    <m/>
  </r>
  <r>
    <n v="1026"/>
    <x v="7"/>
    <s v="WHATS"/>
    <n v="91780"/>
    <n v="4671.5200000000004"/>
    <m/>
    <m/>
    <m/>
    <x v="409"/>
    <m/>
  </r>
  <r>
    <n v="500243"/>
    <x v="110"/>
    <s v="WHATS"/>
    <n v="91624"/>
    <n v="6365.44"/>
    <m/>
    <m/>
    <m/>
    <x v="409"/>
    <m/>
  </r>
  <r>
    <n v="620"/>
    <x v="69"/>
    <s v="WHATS"/>
    <n v="91755"/>
    <n v="535.6"/>
    <m/>
    <m/>
    <m/>
    <x v="409"/>
    <m/>
  </r>
  <r>
    <n v="772"/>
    <x v="71"/>
    <s v="WHATS"/>
    <n v="91801"/>
    <m/>
    <m/>
    <n v="6600"/>
    <m/>
    <x v="410"/>
    <m/>
  </r>
  <r>
    <n v="575"/>
    <x v="45"/>
    <s v="WHATS"/>
    <s v="91830/102100"/>
    <n v="791.85"/>
    <m/>
    <m/>
    <m/>
    <x v="410"/>
    <m/>
  </r>
  <r>
    <n v="51042"/>
    <x v="106"/>
    <s v="WHATS"/>
    <n v="91850"/>
    <n v="246"/>
    <m/>
    <m/>
    <m/>
    <x v="410"/>
    <m/>
  </r>
  <r>
    <n v="1016"/>
    <x v="101"/>
    <s v="WHATS"/>
    <s v="91932/102124"/>
    <n v="2450.8000000000002"/>
    <m/>
    <m/>
    <m/>
    <x v="411"/>
    <m/>
  </r>
  <r>
    <n v="50961"/>
    <x v="109"/>
    <s v="WHATS"/>
    <n v="91944"/>
    <n v="2096"/>
    <m/>
    <m/>
    <m/>
    <x v="411"/>
    <m/>
  </r>
  <r>
    <n v="3077"/>
    <x v="10"/>
    <s v="WHATS"/>
    <s v="91900/91951"/>
    <n v="351.76"/>
    <m/>
    <n v="3900"/>
    <m/>
    <x v="411"/>
    <m/>
  </r>
  <r>
    <n v="311"/>
    <x v="46"/>
    <s v="WHATS"/>
    <n v="91854"/>
    <n v="1670.9"/>
    <m/>
    <m/>
    <m/>
    <x v="411"/>
    <m/>
  </r>
  <r>
    <n v="761"/>
    <x v="24"/>
    <s v="WHATS"/>
    <s v="91961/102127"/>
    <n v="7106.68"/>
    <m/>
    <m/>
    <m/>
    <x v="411"/>
    <m/>
  </r>
  <r>
    <n v="52"/>
    <x v="135"/>
    <s v="WHATS"/>
    <n v="91731"/>
    <n v="533.4"/>
    <m/>
    <m/>
    <m/>
    <x v="411"/>
    <m/>
  </r>
  <r>
    <n v="1026"/>
    <x v="7"/>
    <s v="WHATS"/>
    <n v="91859"/>
    <n v="646.70000000000005"/>
    <m/>
    <m/>
    <m/>
    <x v="412"/>
    <m/>
  </r>
  <r>
    <n v="704"/>
    <x v="49"/>
    <s v="WHATS"/>
    <s v="102038/91470"/>
    <n v="1341.41"/>
    <m/>
    <m/>
    <m/>
    <x v="412"/>
    <m/>
  </r>
  <r>
    <n v="500873"/>
    <x v="145"/>
    <s v="WHATS"/>
    <n v="91821"/>
    <n v="582.20000000000005"/>
    <m/>
    <m/>
    <m/>
    <x v="412"/>
    <m/>
  </r>
  <r>
    <n v="618"/>
    <x v="26"/>
    <s v="WHATS"/>
    <s v="91979/102133"/>
    <n v="1692.55"/>
    <m/>
    <m/>
    <m/>
    <x v="412"/>
    <m/>
  </r>
  <r>
    <n v="434"/>
    <x v="134"/>
    <s v="WHATS"/>
    <n v="92002"/>
    <n v="2458.4699999999998"/>
    <m/>
    <m/>
    <m/>
    <x v="412"/>
    <m/>
  </r>
  <r>
    <n v="2199"/>
    <x v="132"/>
    <s v="WHATS"/>
    <s v="92011/102139"/>
    <n v="3258.9"/>
    <m/>
    <m/>
    <m/>
    <x v="413"/>
    <m/>
  </r>
  <r>
    <n v="480"/>
    <x v="39"/>
    <s v="WHATS"/>
    <s v="91866/10211"/>
    <n v="685.87"/>
    <m/>
    <m/>
    <m/>
    <x v="413"/>
    <m/>
  </r>
  <r>
    <n v="705"/>
    <x v="1"/>
    <s v="WHATS"/>
    <n v="92020"/>
    <n v="881.2"/>
    <m/>
    <m/>
    <m/>
    <x v="413"/>
    <m/>
  </r>
  <r>
    <n v="3557"/>
    <x v="139"/>
    <s v="PLATAFORMA"/>
    <n v="92005"/>
    <n v="5937.58"/>
    <m/>
    <m/>
    <m/>
    <x v="413"/>
    <m/>
  </r>
  <r>
    <n v="432"/>
    <x v="43"/>
    <s v="WHATS"/>
    <s v="10214/292029"/>
    <n v="1113.83"/>
    <m/>
    <m/>
    <m/>
    <x v="413"/>
    <m/>
  </r>
  <r>
    <n v="1616"/>
    <x v="83"/>
    <s v="WHATS"/>
    <n v="92051"/>
    <n v="868.8"/>
    <m/>
    <m/>
    <m/>
    <x v="413"/>
    <m/>
  </r>
  <r>
    <n v="980"/>
    <x v="80"/>
    <s v="WHATS"/>
    <n v="91936"/>
    <n v="844.8"/>
    <m/>
    <m/>
    <m/>
    <x v="413"/>
    <m/>
  </r>
  <r>
    <n v="725"/>
    <x v="65"/>
    <s v="WHATS"/>
    <n v="92047"/>
    <n v="218.55"/>
    <m/>
    <m/>
    <m/>
    <x v="413"/>
    <m/>
  </r>
  <r>
    <n v="51061"/>
    <x v="138"/>
    <s v="PLATAFORMA"/>
    <n v="92070"/>
    <n v="1271.5"/>
    <m/>
    <m/>
    <m/>
    <x v="413"/>
    <m/>
  </r>
  <r>
    <n v="1623"/>
    <x v="57"/>
    <s v="WHATS"/>
    <n v="92006"/>
    <n v="82.5"/>
    <m/>
    <m/>
    <m/>
    <x v="414"/>
    <m/>
  </r>
  <r>
    <n v="1164"/>
    <x v="58"/>
    <s v="WHATS"/>
    <s v="92076/102150"/>
    <n v="250.5"/>
    <m/>
    <m/>
    <m/>
    <x v="414"/>
    <m/>
  </r>
  <r>
    <n v="51061"/>
    <x v="138"/>
    <s v="WHATS"/>
    <n v="92085"/>
    <n v="430"/>
    <m/>
    <m/>
    <m/>
    <x v="414"/>
    <m/>
  </r>
  <r>
    <n v="325"/>
    <x v="97"/>
    <s v="WHATS"/>
    <n v="45451"/>
    <n v="2250.65"/>
    <m/>
    <m/>
    <m/>
    <x v="415"/>
    <m/>
  </r>
  <r>
    <n v="516"/>
    <x v="11"/>
    <s v="WHATS"/>
    <s v="91181/89952"/>
    <n v="12349.37"/>
    <m/>
    <m/>
    <m/>
    <x v="415"/>
    <m/>
  </r>
  <r>
    <n v="2199"/>
    <x v="132"/>
    <s v="WHATS"/>
    <n v="92110"/>
    <n v="98"/>
    <m/>
    <m/>
    <m/>
    <x v="416"/>
    <m/>
  </r>
  <r>
    <n v="2980"/>
    <x v="40"/>
    <s v="WHATS"/>
    <s v="92045/102144"/>
    <n v="810.73"/>
    <m/>
    <m/>
    <m/>
    <x v="415"/>
    <m/>
  </r>
  <r>
    <n v="772"/>
    <x v="71"/>
    <s v="WHATS"/>
    <s v="92014/102099"/>
    <n v="1949.33"/>
    <m/>
    <m/>
    <m/>
    <x v="415"/>
    <m/>
  </r>
  <r>
    <n v="725"/>
    <x v="65"/>
    <s v="WHATS"/>
    <n v="92047"/>
    <n v="267.55"/>
    <m/>
    <m/>
    <m/>
    <x v="415"/>
    <m/>
  </r>
  <r>
    <n v="463"/>
    <x v="32"/>
    <s v="WHATS"/>
    <n v="92139"/>
    <n v="788.5"/>
    <m/>
    <m/>
    <m/>
    <x v="415"/>
    <m/>
  </r>
  <r>
    <n v="687"/>
    <x v="16"/>
    <s v="WHATS"/>
    <n v="102092"/>
    <n v="388.05"/>
    <m/>
    <m/>
    <m/>
    <x v="415"/>
    <m/>
  </r>
  <r>
    <n v="50465"/>
    <x v="96"/>
    <s v="WHATS"/>
    <n v="92159"/>
    <n v="1816.52"/>
    <m/>
    <m/>
    <m/>
    <x v="415"/>
    <m/>
  </r>
  <r>
    <n v="475"/>
    <x v="23"/>
    <s v="WHATS"/>
    <s v="91625/90890/102163"/>
    <n v="8204.5400000000009"/>
    <m/>
    <m/>
    <m/>
    <x v="417"/>
    <m/>
  </r>
  <r>
    <n v="1164"/>
    <x v="58"/>
    <s v="WHATS"/>
    <n v="92168"/>
    <n v="396.48"/>
    <m/>
    <m/>
    <m/>
    <x v="417"/>
    <m/>
  </r>
  <r>
    <n v="762"/>
    <x v="41"/>
    <s v="WHATS"/>
    <n v="92173"/>
    <n v="704"/>
    <m/>
    <m/>
    <m/>
    <x v="417"/>
    <m/>
  </r>
  <r>
    <n v="500005"/>
    <x v="102"/>
    <s v="WHATS"/>
    <n v="91275"/>
    <n v="1840"/>
    <m/>
    <m/>
    <m/>
    <x v="417"/>
    <m/>
  </r>
  <r>
    <n v="408"/>
    <x v="142"/>
    <s v="WHATS"/>
    <s v="91420/102067"/>
    <n v="1231.9000000000001"/>
    <m/>
    <m/>
    <m/>
    <x v="417"/>
    <m/>
  </r>
  <r>
    <n v="1533"/>
    <x v="50"/>
    <s v="WHATS"/>
    <s v="102159/92121"/>
    <n v="503.3"/>
    <m/>
    <m/>
    <m/>
    <x v="417"/>
    <m/>
  </r>
  <r>
    <n v="51061"/>
    <x v="138"/>
    <s v="WHATS"/>
    <n v="90840"/>
    <n v="79.599999999999994"/>
    <m/>
    <m/>
    <m/>
    <x v="417"/>
    <m/>
  </r>
  <r>
    <n v="620"/>
    <x v="69"/>
    <s v="WHATS"/>
    <s v="92191/102090"/>
    <n v="1980.84"/>
    <m/>
    <m/>
    <m/>
    <x v="417"/>
    <m/>
  </r>
  <r>
    <n v="217"/>
    <x v="0"/>
    <s v="TELEFONE"/>
    <s v="102166/92194"/>
    <n v="3081.88"/>
    <m/>
    <m/>
    <m/>
    <x v="417"/>
    <m/>
  </r>
  <r>
    <n v="1971"/>
    <x v="29"/>
    <s v="WHATS"/>
    <n v="92196"/>
    <n v="851.29"/>
    <m/>
    <m/>
    <m/>
    <x v="417"/>
    <m/>
  </r>
  <r>
    <n v="1813"/>
    <x v="48"/>
    <s v="WHATS"/>
    <n v="92162"/>
    <n v="241.5"/>
    <m/>
    <m/>
    <m/>
    <x v="417"/>
    <m/>
  </r>
  <r>
    <n v="434"/>
    <x v="134"/>
    <s v="WHATS"/>
    <n v="92228"/>
    <n v="605"/>
    <m/>
    <m/>
    <m/>
    <x v="417"/>
    <m/>
  </r>
  <r>
    <n v="687"/>
    <x v="16"/>
    <s v="WHATS"/>
    <n v="91808"/>
    <n v="812.2"/>
    <m/>
    <m/>
    <m/>
    <x v="416"/>
    <m/>
  </r>
  <r>
    <n v="2022"/>
    <x v="28"/>
    <s v="WHATS"/>
    <n v="92104"/>
    <n v="77.06"/>
    <m/>
    <m/>
    <m/>
    <x v="416"/>
    <m/>
  </r>
  <r>
    <n v="50558"/>
    <x v="2"/>
    <s v="WHATS"/>
    <n v="91786"/>
    <n v="2494.3000000000002"/>
    <m/>
    <m/>
    <m/>
    <x v="416"/>
    <m/>
  </r>
  <r>
    <n v="3475"/>
    <x v="59"/>
    <s v="WHATS"/>
    <n v="91947"/>
    <n v="1907.06"/>
    <m/>
    <m/>
    <m/>
    <x v="416"/>
    <m/>
  </r>
  <r>
    <n v="2415"/>
    <x v="63"/>
    <s v="WHATS"/>
    <s v="92115/102157"/>
    <n v="415.71"/>
    <m/>
    <m/>
    <m/>
    <x v="416"/>
    <m/>
  </r>
  <r>
    <n v="1493"/>
    <x v="21"/>
    <s v="WHATS"/>
    <n v="92286"/>
    <n v="1825.35"/>
    <m/>
    <m/>
    <m/>
    <x v="418"/>
    <m/>
  </r>
  <r>
    <n v="2415"/>
    <x v="63"/>
    <s v="WHATS"/>
    <n v="922296"/>
    <n v="565.5"/>
    <m/>
    <m/>
    <m/>
    <x v="418"/>
    <m/>
  </r>
  <r>
    <n v="3017"/>
    <x v="62"/>
    <s v="WHATS"/>
    <n v="92303"/>
    <n v="1421.3"/>
    <m/>
    <m/>
    <m/>
    <x v="418"/>
    <m/>
  </r>
  <r>
    <n v="906"/>
    <x v="27"/>
    <s v="WHATS"/>
    <s v="102185/92307"/>
    <n v="2419.56"/>
    <m/>
    <m/>
    <m/>
    <x v="418"/>
    <s v="TEM COLUNA "/>
  </r>
  <r>
    <n v="412"/>
    <x v="90"/>
    <s v="WHATS"/>
    <n v="91819"/>
    <n v="534.15"/>
    <m/>
    <m/>
    <m/>
    <x v="419"/>
    <m/>
  </r>
  <r>
    <n v="1842"/>
    <x v="47"/>
    <s v="WHATS"/>
    <s v="92165/102170"/>
    <n v="1696.93"/>
    <m/>
    <m/>
    <m/>
    <x v="419"/>
    <m/>
  </r>
  <r>
    <n v="746"/>
    <x v="3"/>
    <s v="WHATS"/>
    <s v="102190/92336"/>
    <n v="1368.95"/>
    <m/>
    <m/>
    <m/>
    <x v="419"/>
    <m/>
  </r>
  <r>
    <n v="1206"/>
    <x v="33"/>
    <s v="WHATS"/>
    <n v="92333"/>
    <n v="1485.84"/>
    <m/>
    <m/>
    <m/>
    <x v="419"/>
    <m/>
  </r>
  <r>
    <n v="50418"/>
    <x v="35"/>
    <s v="WHATS"/>
    <s v="92413/91499"/>
    <n v="479.3"/>
    <m/>
    <m/>
    <m/>
    <x v="23"/>
    <m/>
  </r>
  <r>
    <n v="618"/>
    <x v="26"/>
    <s v="WHATS"/>
    <n v="89660"/>
    <n v="1116.4000000000001"/>
    <m/>
    <m/>
    <m/>
    <x v="23"/>
    <m/>
  </r>
  <r>
    <n v="311"/>
    <x v="46"/>
    <s v="WHATS"/>
    <s v="96940/92380/91854"/>
    <n v="1637.6"/>
    <m/>
    <m/>
    <m/>
    <x v="23"/>
    <m/>
  </r>
  <r>
    <n v="500243"/>
    <x v="110"/>
    <s v="WHATS"/>
    <n v="92372"/>
    <n v="10248.299999999999"/>
    <m/>
    <m/>
    <m/>
    <x v="23"/>
    <m/>
  </r>
  <r>
    <n v="434"/>
    <x v="134"/>
    <s v="WHATS"/>
    <n v="102162"/>
    <n v="535.16999999999996"/>
    <m/>
    <m/>
    <m/>
    <x v="420"/>
    <m/>
  </r>
  <r>
    <n v="408"/>
    <x v="142"/>
    <s v="WHATS"/>
    <n v="92455"/>
    <n v="2119.1999999999998"/>
    <m/>
    <m/>
    <m/>
    <x v="420"/>
    <m/>
  </r>
  <r>
    <n v="1122"/>
    <x v="87"/>
    <s v="WHATS"/>
    <n v="92469"/>
    <n v="1138.5999999999999"/>
    <m/>
    <m/>
    <m/>
    <x v="420"/>
    <m/>
  </r>
  <r>
    <n v="784"/>
    <x v="13"/>
    <s v="WHATS"/>
    <n v="92451"/>
    <n v="1705.56"/>
    <m/>
    <m/>
    <m/>
    <x v="420"/>
    <m/>
  </r>
  <r>
    <n v="1813"/>
    <x v="48"/>
    <s v="WHATS"/>
    <n v="92176"/>
    <n v="1080.26"/>
    <m/>
    <m/>
    <m/>
    <x v="420"/>
    <m/>
  </r>
  <r>
    <n v="50554"/>
    <x v="20"/>
    <s v="WHATS"/>
    <n v="91697"/>
    <n v="189"/>
    <m/>
    <m/>
    <m/>
    <x v="421"/>
    <m/>
  </r>
  <r>
    <n v="1989"/>
    <x v="67"/>
    <s v="WHATS"/>
    <n v="91899"/>
    <n v="798.03"/>
    <m/>
    <m/>
    <m/>
    <x v="421"/>
    <m/>
  </r>
  <r>
    <n v="572"/>
    <x v="51"/>
    <s v="WHATS"/>
    <n v="92491"/>
    <n v="431.52"/>
    <m/>
    <m/>
    <m/>
    <x v="421"/>
    <m/>
  </r>
  <r>
    <n v="1493"/>
    <x v="21"/>
    <s v="WHATS"/>
    <n v="92501"/>
    <n v="408"/>
    <m/>
    <m/>
    <m/>
    <x v="421"/>
    <m/>
  </r>
  <r>
    <n v="2415"/>
    <x v="63"/>
    <s v="WHATS"/>
    <s v="92508/92115"/>
    <n v="636.65"/>
    <m/>
    <m/>
    <m/>
    <x v="421"/>
    <m/>
  </r>
  <r>
    <n v="761"/>
    <x v="24"/>
    <s v="WHATS"/>
    <s v="92523/91961/102179/92507"/>
    <n v="32130.45"/>
    <m/>
    <m/>
    <m/>
    <x v="421"/>
    <m/>
  </r>
  <r>
    <n v="2911"/>
    <x v="15"/>
    <s v="WHATS"/>
    <s v="92419/102210"/>
    <n v="1806.35"/>
    <m/>
    <m/>
    <m/>
    <x v="421"/>
    <m/>
  </r>
  <r>
    <n v="663"/>
    <x v="116"/>
    <s v="WHATS"/>
    <n v="92534"/>
    <n v="1856.5"/>
    <m/>
    <m/>
    <m/>
    <x v="421"/>
    <m/>
  </r>
  <r>
    <n v="2397"/>
    <x v="6"/>
    <s v="WHATS"/>
    <n v="92102"/>
    <n v="851.3"/>
    <m/>
    <m/>
    <m/>
    <x v="421"/>
    <m/>
  </r>
  <r>
    <n v="2199"/>
    <x v="132"/>
    <s v="PLATAFORMA"/>
    <s v="9241192572/102208/102198"/>
    <n v="1446.2"/>
    <m/>
    <m/>
    <m/>
    <x v="422"/>
    <m/>
  </r>
  <r>
    <n v="663"/>
    <x v="116"/>
    <s v="WHATS"/>
    <n v="92306"/>
    <m/>
    <m/>
    <n v="6600"/>
    <m/>
    <x v="422"/>
    <m/>
  </r>
  <r>
    <n v="663"/>
    <x v="116"/>
    <s v="WHATS"/>
    <n v="92534"/>
    <n v="2172.4"/>
    <m/>
    <m/>
    <m/>
    <x v="422"/>
    <m/>
  </r>
  <r>
    <n v="1164"/>
    <x v="58"/>
    <s v="WHATS"/>
    <s v="92437/92076"/>
    <n v="1672.8"/>
    <m/>
    <m/>
    <m/>
    <x v="422"/>
    <m/>
  </r>
  <r>
    <n v="50465"/>
    <x v="96"/>
    <s v="WHATS"/>
    <s v="92159/92292"/>
    <n v="1135.4100000000001"/>
    <m/>
    <m/>
    <m/>
    <x v="422"/>
    <m/>
  </r>
  <r>
    <n v="2022"/>
    <x v="28"/>
    <s v="WHATS"/>
    <s v="89890/92624/92623"/>
    <n v="8602.7999999999993"/>
    <m/>
    <m/>
    <m/>
    <x v="423"/>
    <m/>
  </r>
  <r>
    <n v="1058"/>
    <x v="5"/>
    <s v="WHATS"/>
    <n v="92630"/>
    <n v="934.45"/>
    <m/>
    <m/>
    <m/>
    <x v="423"/>
    <m/>
  </r>
  <r>
    <n v="408"/>
    <x v="142"/>
    <s v="WHATS"/>
    <n v="92611"/>
    <n v="537"/>
    <m/>
    <m/>
    <m/>
    <x v="424"/>
    <m/>
  </r>
  <r>
    <n v="3153"/>
    <x v="12"/>
    <s v="WHATS"/>
    <n v="92495"/>
    <n v="1219.9100000000001"/>
    <m/>
    <m/>
    <m/>
    <x v="424"/>
    <m/>
  </r>
  <r>
    <n v="480"/>
    <x v="39"/>
    <s v="WHATS"/>
    <n v="92668"/>
    <n v="3626.1"/>
    <m/>
    <m/>
    <m/>
    <x v="424"/>
    <m/>
  </r>
  <r>
    <n v="2163"/>
    <x v="36"/>
    <s v="WHATS"/>
    <n v="92701"/>
    <n v="1770"/>
    <m/>
    <m/>
    <m/>
    <x v="424"/>
    <m/>
  </r>
  <r>
    <n v="690"/>
    <x v="19"/>
    <s v="WHATS"/>
    <s v="92697/102266"/>
    <n v="2896.78"/>
    <m/>
    <m/>
    <m/>
    <x v="424"/>
    <m/>
  </r>
  <r>
    <n v="2199"/>
    <x v="132"/>
    <s v="WHATS"/>
    <n v="102198"/>
    <n v="96.8"/>
    <m/>
    <m/>
    <m/>
    <x v="425"/>
    <m/>
  </r>
  <r>
    <n v="3018"/>
    <x v="64"/>
    <s v="WHATS"/>
    <n v="92726"/>
    <n v="441.48"/>
    <m/>
    <m/>
    <m/>
    <x v="425"/>
    <m/>
  </r>
  <r>
    <n v="761"/>
    <x v="24"/>
    <s v="WHATS"/>
    <s v="102234/92745"/>
    <n v="776.13"/>
    <m/>
    <m/>
    <m/>
    <x v="425"/>
    <m/>
  </r>
  <r>
    <n v="50312"/>
    <x v="86"/>
    <s v="WHATS"/>
    <n v="92532"/>
    <n v="485.25"/>
    <m/>
    <m/>
    <m/>
    <x v="425"/>
    <m/>
  </r>
  <r>
    <n v="50219"/>
    <x v="14"/>
    <s v="WHATS"/>
    <s v="92418/102209"/>
    <n v="1251.3"/>
    <m/>
    <m/>
    <m/>
    <x v="425"/>
    <m/>
  </r>
  <r>
    <n v="2198"/>
    <x v="92"/>
    <s v="WHATS"/>
    <n v="92768"/>
    <n v="3273.4"/>
    <m/>
    <m/>
    <m/>
    <x v="426"/>
    <m/>
  </r>
  <r>
    <n v="2199"/>
    <x v="132"/>
    <s v="PLATAFORMA"/>
    <n v="92411"/>
    <n v="640"/>
    <m/>
    <m/>
    <m/>
    <x v="426"/>
    <m/>
  </r>
  <r>
    <n v="3475"/>
    <x v="59"/>
    <s v="WHATS"/>
    <s v="91947/92558"/>
    <n v="339.36"/>
    <m/>
    <m/>
    <m/>
    <x v="426"/>
    <m/>
  </r>
  <r>
    <n v="50558"/>
    <x v="2"/>
    <s v="WHATS"/>
    <s v="91786/90764"/>
    <n v="723.2"/>
    <m/>
    <m/>
    <m/>
    <x v="427"/>
    <m/>
  </r>
  <r>
    <n v="708"/>
    <x v="56"/>
    <s v="WHATS"/>
    <n v="92787"/>
    <n v="2030"/>
    <m/>
    <m/>
    <m/>
    <x v="426"/>
    <m/>
  </r>
  <r>
    <n v="50558"/>
    <x v="2"/>
    <s v="WHATS"/>
    <n v="92797"/>
    <n v="6081"/>
    <m/>
    <m/>
    <m/>
    <x v="427"/>
    <m/>
  </r>
  <r>
    <n v="1842"/>
    <x v="47"/>
    <s v="WHATS"/>
    <n v="92165"/>
    <n v="120.13"/>
    <m/>
    <m/>
    <m/>
    <x v="427"/>
    <m/>
  </r>
  <r>
    <n v="762"/>
    <x v="41"/>
    <s v="WHATS"/>
    <n v="92772"/>
    <n v="8180.18"/>
    <m/>
    <m/>
    <m/>
    <x v="427"/>
    <m/>
  </r>
  <r>
    <n v="874"/>
    <x v="53"/>
    <s v="WHATS"/>
    <n v="92815"/>
    <n v="7538.76"/>
    <m/>
    <m/>
    <m/>
    <x v="427"/>
    <m/>
  </r>
  <r>
    <n v="50418"/>
    <x v="35"/>
    <s v="WHATS"/>
    <n v="92828"/>
    <n v="927.9"/>
    <m/>
    <m/>
    <m/>
    <x v="427"/>
    <m/>
  </r>
  <r>
    <n v="500149"/>
    <x v="94"/>
    <s v="WHATS"/>
    <s v="92817/102282"/>
    <n v="1330.55"/>
    <m/>
    <m/>
    <m/>
    <x v="427"/>
    <m/>
  </r>
  <r>
    <n v="2022"/>
    <x v="28"/>
    <s v="WHATS"/>
    <n v="92841"/>
    <n v="990.06"/>
    <m/>
    <m/>
    <m/>
    <x v="427"/>
    <m/>
  </r>
  <r>
    <n v="51061"/>
    <x v="138"/>
    <s v="WHATS"/>
    <n v="92842"/>
    <n v="250"/>
    <m/>
    <m/>
    <m/>
    <x v="427"/>
    <m/>
  </r>
  <r>
    <n v="3194"/>
    <x v="18"/>
    <s v="WHATS"/>
    <n v="92857"/>
    <n v="572.45000000000005"/>
    <m/>
    <m/>
    <m/>
    <x v="428"/>
    <m/>
  </r>
  <r>
    <n v="434"/>
    <x v="134"/>
    <s v="WHATS"/>
    <n v="102300"/>
    <n v="869.62"/>
    <m/>
    <m/>
    <m/>
    <x v="428"/>
    <m/>
  </r>
  <r>
    <n v="432"/>
    <x v="43"/>
    <s v="WHATS"/>
    <s v="9288/4102280"/>
    <n v="2516.1"/>
    <m/>
    <m/>
    <m/>
    <x v="428"/>
    <m/>
  </r>
  <r>
    <n v="51182"/>
    <x v="146"/>
    <s v="WHATS"/>
    <n v="92355"/>
    <n v="1372.78"/>
    <m/>
    <m/>
    <m/>
    <x v="428"/>
    <m/>
  </r>
  <r>
    <n v="500345"/>
    <x v="147"/>
    <s v="PLATAFORMA"/>
    <n v="92916"/>
    <n v="804"/>
    <m/>
    <m/>
    <m/>
    <x v="428"/>
    <m/>
  </r>
  <r>
    <n v="475"/>
    <x v="23"/>
    <s v="EMAIL"/>
    <s v="92475/91625/102285"/>
    <n v="10207.620000000001"/>
    <m/>
    <m/>
    <m/>
    <x v="428"/>
    <m/>
  </r>
  <r>
    <n v="1206"/>
    <x v="33"/>
    <s v="WHATS"/>
    <n v="92915"/>
    <n v="1268.8399999999999"/>
    <m/>
    <m/>
    <m/>
    <x v="429"/>
    <m/>
  </r>
  <r>
    <n v="3017"/>
    <x v="62"/>
    <s v="WHATS"/>
    <n v="92925"/>
    <n v="930.2"/>
    <m/>
    <m/>
    <m/>
    <x v="429"/>
    <m/>
  </r>
  <r>
    <n v="50185"/>
    <x v="105"/>
    <s v="WHATS"/>
    <n v="92904"/>
    <n v="903.05"/>
    <m/>
    <m/>
    <m/>
    <x v="429"/>
    <m/>
  </r>
  <r>
    <n v="2955"/>
    <x v="82"/>
    <s v="WHATS"/>
    <n v="91833"/>
    <n v="2197.0500000000002"/>
    <m/>
    <m/>
    <m/>
    <x v="429"/>
    <m/>
  </r>
  <r>
    <n v="761"/>
    <x v="24"/>
    <s v="WHATS"/>
    <n v="92922"/>
    <n v="490"/>
    <m/>
    <m/>
    <m/>
    <x v="429"/>
    <m/>
  </r>
  <r>
    <n v="1164"/>
    <x v="58"/>
    <s v="WHATS"/>
    <s v="92928/102310"/>
    <n v="360.44"/>
    <m/>
    <m/>
    <m/>
    <x v="429"/>
    <m/>
  </r>
  <r>
    <n v="2980"/>
    <x v="40"/>
    <s v="WHATS"/>
    <s v="102294/92869"/>
    <n v="517.03"/>
    <m/>
    <m/>
    <m/>
    <x v="429"/>
    <m/>
  </r>
  <r>
    <n v="1652"/>
    <x v="61"/>
    <s v="WHATS"/>
    <n v="92843"/>
    <n v="846.88"/>
    <m/>
    <m/>
    <m/>
    <x v="429"/>
    <m/>
  </r>
  <r>
    <n v="325"/>
    <x v="97"/>
    <s v="WHATS"/>
    <s v="92889/102304"/>
    <n v="867.86"/>
    <m/>
    <m/>
    <m/>
    <x v="429"/>
    <m/>
  </r>
  <r>
    <n v="1026"/>
    <x v="7"/>
    <s v="WHATS"/>
    <s v="91780/92694"/>
    <n v="403"/>
    <m/>
    <m/>
    <m/>
    <x v="430"/>
    <m/>
  </r>
  <r>
    <n v="463"/>
    <x v="32"/>
    <s v="WHATS"/>
    <n v="92949"/>
    <n v="1220.6500000000001"/>
    <m/>
    <m/>
    <m/>
    <x v="430"/>
    <m/>
  </r>
  <r>
    <n v="500243"/>
    <x v="110"/>
    <s v="WHATS"/>
    <n v="92901"/>
    <n v="1121.47"/>
    <m/>
    <m/>
    <m/>
    <x v="430"/>
    <m/>
  </r>
  <r>
    <n v="2022"/>
    <x v="28"/>
    <s v="WHATS"/>
    <n v="92959"/>
    <n v="2027.06"/>
    <m/>
    <m/>
    <m/>
    <x v="430"/>
    <m/>
  </r>
  <r>
    <n v="575"/>
    <x v="45"/>
    <s v="WHATS"/>
    <s v="90767/92663/102250"/>
    <n v="784.13"/>
    <m/>
    <m/>
    <m/>
    <x v="430"/>
    <m/>
  </r>
  <r>
    <n v="784"/>
    <x v="13"/>
    <s v="WHATS"/>
    <s v="92451/92553"/>
    <n v="2049.04"/>
    <m/>
    <m/>
    <m/>
    <x v="430"/>
    <m/>
  </r>
  <r>
    <n v="2199"/>
    <x v="132"/>
    <s v="PLATAFORMA"/>
    <n v="102242"/>
    <n v="138"/>
    <m/>
    <m/>
    <m/>
    <x v="431"/>
    <m/>
  </r>
  <r>
    <n v="3077"/>
    <x v="10"/>
    <s v="WHATS"/>
    <s v="102321/92985"/>
    <n v="1055.7"/>
    <m/>
    <m/>
    <m/>
    <x v="431"/>
    <m/>
  </r>
  <r>
    <n v="50576"/>
    <x v="37"/>
    <s v="WHATS"/>
    <s v="92838/102291"/>
    <n v="1713.95"/>
    <m/>
    <m/>
    <m/>
    <x v="431"/>
    <m/>
  </r>
  <r>
    <n v="618"/>
    <x v="26"/>
    <s v="WHATS"/>
    <s v="92934/92389"/>
    <n v="2241"/>
    <m/>
    <m/>
    <m/>
    <x v="431"/>
    <m/>
  </r>
  <r>
    <n v="3557"/>
    <x v="139"/>
    <s v="PLATAFORMA"/>
    <n v="92993"/>
    <n v="4851.99"/>
    <m/>
    <m/>
    <m/>
    <x v="431"/>
    <m/>
  </r>
  <r>
    <n v="434"/>
    <x v="134"/>
    <s v="WHATS"/>
    <s v="92960/92929/102320/102300"/>
    <n v="3681.28"/>
    <m/>
    <m/>
    <m/>
    <x v="431"/>
    <m/>
  </r>
  <r>
    <n v="144"/>
    <x v="0"/>
    <s v="TELEFONE"/>
    <n v="92999"/>
    <n v="320"/>
    <m/>
    <m/>
    <m/>
    <x v="431"/>
    <m/>
  </r>
  <r>
    <n v="2199"/>
    <x v="132"/>
    <s v="WHATS"/>
    <s v="92411/92509"/>
    <n v="1371.75"/>
    <m/>
    <m/>
    <m/>
    <x v="431"/>
    <m/>
  </r>
  <r>
    <n v="516"/>
    <x v="11"/>
    <s v="WHATS"/>
    <n v="92675"/>
    <n v="8353.02"/>
    <m/>
    <m/>
    <m/>
    <x v="432"/>
    <m/>
  </r>
  <r>
    <n v="2415"/>
    <x v="63"/>
    <s v="WHATS"/>
    <s v="92786/92115/102279"/>
    <n v="1154.01"/>
    <m/>
    <m/>
    <m/>
    <x v="432"/>
    <m/>
  </r>
  <r>
    <n v="1493"/>
    <x v="21"/>
    <s v="WHATS"/>
    <s v="93029/92286"/>
    <n v="857.35"/>
    <m/>
    <m/>
    <m/>
    <x v="432"/>
    <m/>
  </r>
  <r>
    <n v="822"/>
    <x v="66"/>
    <s v="WHATS"/>
    <s v="102326/93035"/>
    <n v="1698.65"/>
    <m/>
    <m/>
    <m/>
    <x v="432"/>
    <m/>
  </r>
  <r>
    <n v="51061"/>
    <x v="138"/>
    <s v="WHATS"/>
    <n v="93039"/>
    <n v="316"/>
    <m/>
    <m/>
    <m/>
    <x v="432"/>
    <m/>
  </r>
  <r>
    <n v="1813"/>
    <x v="48"/>
    <s v="WHATS"/>
    <n v="92483"/>
    <n v="488"/>
    <m/>
    <m/>
    <m/>
    <x v="432"/>
    <m/>
  </r>
  <r>
    <n v="690"/>
    <x v="19"/>
    <s v="WHATS"/>
    <n v="92733"/>
    <n v="2020.8"/>
    <m/>
    <m/>
    <m/>
    <x v="432"/>
    <m/>
  </r>
  <r>
    <n v="50554"/>
    <x v="20"/>
    <s v="WHATS"/>
    <n v="92873"/>
    <n v="2111"/>
    <m/>
    <m/>
    <m/>
    <x v="432"/>
    <m/>
  </r>
  <r>
    <n v="311"/>
    <x v="46"/>
    <s v="WHATS"/>
    <s v="92871/102296"/>
    <n v="1214.95"/>
    <m/>
    <m/>
    <m/>
    <x v="432"/>
    <m/>
  </r>
  <r>
    <n v="772"/>
    <x v="71"/>
    <s v="WHATS"/>
    <s v="93054/102331"/>
    <n v="502.1"/>
    <m/>
    <m/>
    <m/>
    <x v="432"/>
    <m/>
  </r>
  <r>
    <n v="1989"/>
    <x v="67"/>
    <s v="WHATS"/>
    <n v="93097"/>
    <n v="616.03"/>
    <m/>
    <m/>
    <m/>
    <x v="433"/>
    <m/>
  </r>
  <r>
    <n v="50554"/>
    <x v="20"/>
    <s v="WHATS"/>
    <n v="93099"/>
    <n v="189"/>
    <m/>
    <m/>
    <m/>
    <x v="433"/>
    <m/>
  </r>
  <r>
    <n v="620"/>
    <x v="69"/>
    <s v="WHATS"/>
    <n v="93120"/>
    <n v="1433.26"/>
    <m/>
    <m/>
    <m/>
    <x v="433"/>
    <m/>
  </r>
  <r>
    <n v="2702"/>
    <x v="73"/>
    <s v="WHATS"/>
    <n v="92869"/>
    <n v="3215.9"/>
    <m/>
    <m/>
    <m/>
    <x v="433"/>
    <m/>
  </r>
  <r>
    <n v="51061"/>
    <x v="138"/>
    <s v="WHATS"/>
    <n v="93164"/>
    <n v="390"/>
    <m/>
    <m/>
    <m/>
    <x v="433"/>
    <m/>
  </r>
  <r>
    <n v="1842"/>
    <x v="47"/>
    <s v="WHATS"/>
    <n v="93171"/>
    <n v="136"/>
    <m/>
    <m/>
    <m/>
    <x v="433"/>
    <m/>
  </r>
  <r>
    <n v="3475"/>
    <x v="59"/>
    <s v="WHATS"/>
    <n v="93174"/>
    <n v="1407.6"/>
    <m/>
    <m/>
    <m/>
    <x v="434"/>
    <m/>
  </r>
  <r>
    <n v="434"/>
    <x v="134"/>
    <s v="WHATS"/>
    <n v="93236"/>
    <n v="128.80000000000001"/>
    <m/>
    <m/>
    <m/>
    <x v="434"/>
    <m/>
  </r>
  <r>
    <n v="905"/>
    <x v="72"/>
    <s v="WHATS"/>
    <s v="93267/102360"/>
    <n v="1976.87"/>
    <m/>
    <m/>
    <m/>
    <x v="435"/>
    <m/>
  </r>
  <r>
    <n v="1164"/>
    <x v="58"/>
    <s v="WHATS"/>
    <s v="93268/10231"/>
    <n v="1875.1"/>
    <m/>
    <m/>
    <m/>
    <x v="435"/>
    <m/>
  </r>
  <r>
    <n v="500752"/>
    <x v="35"/>
    <s v="WHATS"/>
    <n v="93259"/>
    <n v="1278.0999999999999"/>
    <m/>
    <m/>
    <m/>
    <x v="435"/>
    <m/>
  </r>
  <r>
    <n v="2415"/>
    <x v="63"/>
    <s v="WHATS"/>
    <s v="93278/102364"/>
    <n v="589.51"/>
    <m/>
    <m/>
    <m/>
    <x v="435"/>
    <m/>
  </r>
  <r>
    <n v="480"/>
    <x v="39"/>
    <s v="WHATS"/>
    <s v="933312/102368"/>
    <n v="475.6"/>
    <m/>
    <m/>
    <m/>
    <x v="436"/>
    <m/>
  </r>
  <r>
    <n v="2199"/>
    <x v="132"/>
    <s v="WHATS"/>
    <n v="93183"/>
    <n v="475.75"/>
    <m/>
    <m/>
    <m/>
    <x v="436"/>
    <m/>
  </r>
  <r>
    <n v="412"/>
    <x v="90"/>
    <s v="WHATS"/>
    <n v="93350"/>
    <n v="283.5"/>
    <m/>
    <m/>
    <m/>
    <x v="436"/>
    <m/>
  </r>
  <r>
    <n v="50465"/>
    <x v="96"/>
    <s v="WHATS"/>
    <n v="93321"/>
    <n v="2005.52"/>
    <m/>
    <m/>
    <m/>
    <x v="436"/>
    <m/>
  </r>
  <r>
    <n v="708"/>
    <x v="56"/>
    <s v="WHATS"/>
    <n v="93372"/>
    <n v="2030"/>
    <m/>
    <m/>
    <m/>
    <x v="436"/>
    <m/>
  </r>
  <r>
    <n v="3153"/>
    <x v="12"/>
    <s v="WHATS"/>
    <n v="93356"/>
    <n v="1241.2"/>
    <m/>
    <m/>
    <m/>
    <x v="436"/>
    <m/>
  </r>
  <r>
    <n v="663"/>
    <x v="116"/>
    <s v="WHATS"/>
    <n v="93170"/>
    <n v="1888"/>
    <m/>
    <m/>
    <m/>
    <x v="437"/>
    <m/>
  </r>
  <r>
    <n v="1905"/>
    <x v="107"/>
    <s v="WHATS"/>
    <n v="93387"/>
    <n v="330"/>
    <m/>
    <m/>
    <m/>
    <x v="437"/>
    <m/>
  </r>
  <r>
    <n v="3153"/>
    <x v="12"/>
    <s v="WHATS"/>
    <n v="93403"/>
    <n v="482"/>
    <m/>
    <m/>
    <m/>
    <x v="437"/>
    <m/>
  </r>
  <r>
    <n v="3017"/>
    <x v="62"/>
    <s v="WHATS"/>
    <n v="93405"/>
    <n v="1542.34"/>
    <m/>
    <m/>
    <m/>
    <x v="437"/>
    <m/>
  </r>
  <r>
    <n v="50861"/>
    <x v="133"/>
    <s v="WHATS"/>
    <n v="50861"/>
    <n v="1422"/>
    <m/>
    <m/>
    <m/>
    <x v="437"/>
    <m/>
  </r>
  <r>
    <n v="2415"/>
    <x v="63"/>
    <s v="WHATS"/>
    <n v="93383"/>
    <n v="2730.16"/>
    <m/>
    <m/>
    <m/>
    <x v="438"/>
    <m/>
  </r>
  <r>
    <n v="2911"/>
    <x v="15"/>
    <s v="TEANS"/>
    <s v="93432/102389"/>
    <n v="1784.3"/>
    <m/>
    <m/>
    <m/>
    <x v="438"/>
    <m/>
  </r>
  <r>
    <n v="475"/>
    <x v="23"/>
    <s v="EMAIL"/>
    <s v="102349/93150"/>
    <n v="12665.9"/>
    <m/>
    <m/>
    <m/>
    <x v="438"/>
    <m/>
  </r>
  <r>
    <n v="408"/>
    <x v="142"/>
    <s v="EMAIL"/>
    <s v="93520/102402"/>
    <n v="3649.5"/>
    <m/>
    <m/>
    <m/>
    <x v="439"/>
    <m/>
  </r>
  <r>
    <n v="762"/>
    <x v="41"/>
    <s v="PLATAFORMA"/>
    <n v="93506"/>
    <n v="7562.65"/>
    <m/>
    <m/>
    <m/>
    <x v="439"/>
    <m/>
  </r>
  <r>
    <n v="823"/>
    <x v="17"/>
    <s v="WHATS"/>
    <s v="102400/93478"/>
    <n v="4448.55"/>
    <m/>
    <m/>
    <m/>
    <x v="439"/>
    <m/>
  </r>
  <r>
    <n v="761"/>
    <x v="24"/>
    <s v="WHATS"/>
    <n v="93481"/>
    <n v="16801.060000000001"/>
    <m/>
    <m/>
    <m/>
    <x v="439"/>
    <m/>
  </r>
  <r>
    <n v="784"/>
    <x v="13"/>
    <s v="WHATS"/>
    <n v="93469"/>
    <n v="8172"/>
    <m/>
    <m/>
    <m/>
    <x v="439"/>
    <m/>
  </r>
  <r>
    <n v="690"/>
    <x v="19"/>
    <s v="WHATS"/>
    <s v="93505/102405"/>
    <n v="1177.0999999999999"/>
    <m/>
    <m/>
    <m/>
    <x v="439"/>
    <m/>
  </r>
  <r>
    <n v="1240"/>
    <x v="25"/>
    <s v="WHATS"/>
    <n v="93517"/>
    <n v="1943.25"/>
    <m/>
    <m/>
    <m/>
    <x v="439"/>
    <m/>
  </r>
  <r>
    <n v="50554"/>
    <x v="20"/>
    <s v="WHATS"/>
    <s v="93510/102407"/>
    <n v="5625.85"/>
    <m/>
    <m/>
    <m/>
    <x v="439"/>
    <m/>
  </r>
  <r>
    <n v="2022"/>
    <x v="28"/>
    <s v="WHATS"/>
    <n v="93496"/>
    <n v="310.89999999999998"/>
    <m/>
    <m/>
    <m/>
    <x v="440"/>
    <m/>
  </r>
  <r>
    <n v="51182"/>
    <x v="146"/>
    <s v="WHATS"/>
    <n v="93408"/>
    <n v="1152.4000000000001"/>
    <m/>
    <m/>
    <m/>
    <x v="440"/>
    <m/>
  </r>
  <r>
    <n v="761"/>
    <x v="24"/>
    <s v="WHATS"/>
    <s v="93527/102410"/>
    <n v="1676.35"/>
    <m/>
    <m/>
    <m/>
    <x v="440"/>
    <m/>
  </r>
  <r>
    <n v="500873"/>
    <x v="145"/>
    <s v="WHATS"/>
    <s v="102415/93549"/>
    <n v="760.89"/>
    <m/>
    <m/>
    <m/>
    <x v="440"/>
    <m/>
  </r>
  <r>
    <n v="500507"/>
    <x v="148"/>
    <s v="WHATS"/>
    <s v="93206/93532"/>
    <n v="6491.28"/>
    <m/>
    <m/>
    <m/>
    <x v="441"/>
    <m/>
  </r>
  <r>
    <n v="500243"/>
    <x v="110"/>
    <s v="WHATS"/>
    <n v="93545"/>
    <n v="2070.0300000000002"/>
    <m/>
    <m/>
    <m/>
    <x v="440"/>
    <m/>
  </r>
  <r>
    <n v="51061"/>
    <x v="138"/>
    <s v="WHATS"/>
    <n v="93576"/>
    <n v="923"/>
    <m/>
    <m/>
    <m/>
    <x v="440"/>
    <m/>
  </r>
  <r>
    <n v="50936"/>
    <x v="93"/>
    <s v="WHATS"/>
    <n v="93579"/>
    <n v="850"/>
    <m/>
    <m/>
    <m/>
    <x v="442"/>
    <m/>
  </r>
  <r>
    <n v="500949"/>
    <x v="149"/>
    <s v="PLATAFORMA"/>
    <n v="93601"/>
    <n v="5544.8"/>
    <m/>
    <m/>
    <m/>
    <x v="442"/>
    <m/>
  </r>
  <r>
    <n v="784"/>
    <x v="13"/>
    <s v="WHATS"/>
    <n v="93605"/>
    <n v="1469.96"/>
    <m/>
    <m/>
    <m/>
    <x v="442"/>
    <m/>
  </r>
  <r>
    <n v="1493"/>
    <x v="21"/>
    <s v="WHATS"/>
    <n v="93585"/>
    <n v="582"/>
    <m/>
    <m/>
    <m/>
    <x v="442"/>
    <m/>
  </r>
  <r>
    <n v="1971"/>
    <x v="29"/>
    <s v="WHATS"/>
    <n v="93612"/>
    <n v="95.2"/>
    <m/>
    <m/>
    <m/>
    <x v="442"/>
    <m/>
  </r>
  <r>
    <n v="906"/>
    <x v="27"/>
    <s v="WHATS"/>
    <n v="93624"/>
    <n v="1266"/>
    <m/>
    <m/>
    <m/>
    <x v="442"/>
    <m/>
  </r>
  <r>
    <n v="3194"/>
    <x v="18"/>
    <s v="WHATS"/>
    <n v="93539"/>
    <n v="461.5"/>
    <m/>
    <m/>
    <m/>
    <x v="443"/>
    <m/>
  </r>
  <r>
    <n v="500149"/>
    <x v="94"/>
    <s v="WHATS"/>
    <s v="102435/93656"/>
    <n v="2149.6"/>
    <m/>
    <m/>
    <m/>
    <x v="444"/>
    <m/>
  </r>
  <r>
    <n v="9063"/>
    <x v="22"/>
    <s v="WHATS"/>
    <n v="93292"/>
    <n v="611"/>
    <m/>
    <m/>
    <m/>
    <x v="444"/>
    <m/>
  </r>
  <r>
    <n v="1164"/>
    <x v="58"/>
    <s v="WHATS"/>
    <s v="102448/93269"/>
    <n v="1512.63"/>
    <m/>
    <m/>
    <m/>
    <x v="444"/>
    <m/>
  </r>
  <r>
    <n v="50418"/>
    <x v="35"/>
    <s v="WHATS"/>
    <n v="93716"/>
    <n v="3499.57"/>
    <m/>
    <m/>
    <m/>
    <x v="444"/>
    <m/>
  </r>
  <r>
    <n v="432"/>
    <x v="43"/>
    <s v="WHATS"/>
    <s v="93736/102455"/>
    <n v="6885.72"/>
    <m/>
    <m/>
    <m/>
    <x v="445"/>
    <m/>
  </r>
  <r>
    <n v="1788"/>
    <x v="91"/>
    <s v="WHATS"/>
    <n v="93770"/>
    <n v="392"/>
    <m/>
    <m/>
    <m/>
    <x v="445"/>
    <m/>
  </r>
  <r>
    <n v="761"/>
    <x v="24"/>
    <s v="WHATS"/>
    <s v="93780/102367"/>
    <n v="409.37"/>
    <m/>
    <m/>
    <m/>
    <x v="445"/>
    <m/>
  </r>
  <r>
    <n v="687"/>
    <x v="16"/>
    <s v="WHATS"/>
    <n v="93797"/>
    <n v="334.8"/>
    <m/>
    <m/>
    <m/>
    <x v="446"/>
    <m/>
  </r>
  <r>
    <n v="618"/>
    <x v="26"/>
    <s v="WHATS"/>
    <s v="102462/93765"/>
    <n v="950.88"/>
    <m/>
    <m/>
    <m/>
    <x v="446"/>
    <m/>
  </r>
  <r>
    <n v="1122"/>
    <x v="87"/>
    <s v="EMAIL"/>
    <n v="93807"/>
    <n v="3739.35"/>
    <m/>
    <m/>
    <m/>
    <x v="446"/>
    <m/>
  </r>
  <r>
    <n v="311"/>
    <x v="46"/>
    <s v="WHATS"/>
    <s v="93108/102474"/>
    <n v="1756.26"/>
    <m/>
    <m/>
    <m/>
    <x v="446"/>
    <m/>
  </r>
  <r>
    <n v="960"/>
    <x v="30"/>
    <s v="WHATS"/>
    <s v="102467/93802"/>
    <n v="816"/>
    <m/>
    <m/>
    <m/>
    <x v="446"/>
    <m/>
  </r>
  <r>
    <n v="2980"/>
    <x v="40"/>
    <s v="WHATS"/>
    <s v="102481/93849/93185"/>
    <n v="4670.99"/>
    <m/>
    <m/>
    <m/>
    <x v="447"/>
    <m/>
  </r>
  <r>
    <n v="516"/>
    <x v="11"/>
    <s v="WHATS"/>
    <n v="93864"/>
    <n v="12091.79"/>
    <m/>
    <m/>
    <m/>
    <x v="448"/>
    <m/>
  </r>
  <r>
    <n v="500854"/>
    <x v="150"/>
    <s v="WHATS"/>
    <n v="93654"/>
    <n v="14808.08"/>
    <m/>
    <m/>
    <m/>
    <x v="449"/>
    <m/>
  </r>
  <r>
    <n v="412"/>
    <x v="90"/>
    <s v="WHATS"/>
    <n v="93892"/>
    <n v="235.6"/>
    <m/>
    <m/>
    <m/>
    <x v="450"/>
    <m/>
  </r>
  <r>
    <n v="2199"/>
    <x v="132"/>
    <s v="PLATAFORMA"/>
    <n v="93902"/>
    <n v="968.9"/>
    <m/>
    <m/>
    <m/>
    <x v="449"/>
    <m/>
  </r>
  <r>
    <n v="708"/>
    <x v="56"/>
    <s v="WHATS"/>
    <n v="93916"/>
    <n v="2069.9"/>
    <m/>
    <m/>
    <m/>
    <x v="449"/>
    <m/>
  </r>
  <r>
    <n v="2163"/>
    <x v="36"/>
    <s v="WHATS"/>
    <n v="93942"/>
    <n v="1264.5999999999999"/>
    <m/>
    <m/>
    <m/>
    <x v="449"/>
    <m/>
  </r>
  <r>
    <n v="761"/>
    <x v="24"/>
    <s v="WHATS"/>
    <s v="93941/102471"/>
    <n v="13757.527400000001"/>
    <m/>
    <m/>
    <m/>
    <x v="449"/>
    <m/>
  </r>
  <r>
    <n v="20"/>
    <x v="112"/>
    <s v="WHATS"/>
    <n v="93912"/>
    <n v="213.05"/>
    <m/>
    <m/>
    <m/>
    <x v="451"/>
    <m/>
  </r>
  <r>
    <n v="2572"/>
    <x v="115"/>
    <s v="WHATS"/>
    <n v="93945"/>
    <n v="840"/>
    <m/>
    <m/>
    <m/>
    <x v="451"/>
    <m/>
  </r>
  <r>
    <n v="475"/>
    <x v="23"/>
    <s v="WHATS"/>
    <n v="102493"/>
    <n v="10981.48"/>
    <m/>
    <m/>
    <m/>
    <x v="451"/>
    <m/>
  </r>
  <r>
    <n v="50312"/>
    <x v="86"/>
    <s v="WHATS"/>
    <s v="93511/102408"/>
    <n v="1188.76"/>
    <m/>
    <m/>
    <m/>
    <x v="451"/>
    <m/>
  </r>
  <r>
    <n v="50554"/>
    <x v="20"/>
    <s v="WHATS"/>
    <n v="93988"/>
    <n v="277"/>
    <m/>
    <m/>
    <m/>
    <x v="451"/>
    <m/>
  </r>
  <r>
    <n v="2415"/>
    <x v="63"/>
    <s v="WHATS"/>
    <n v="102499"/>
    <n v="672"/>
    <m/>
    <m/>
    <m/>
    <x v="451"/>
    <m/>
  </r>
  <r>
    <n v="1616"/>
    <x v="83"/>
    <s v="WHATS"/>
    <n v="94004"/>
    <n v="154.97999999999999"/>
    <m/>
    <m/>
    <m/>
    <x v="447"/>
    <m/>
  </r>
  <r>
    <n v="325"/>
    <x v="97"/>
    <s v="WHATS"/>
    <s v="102508/94003"/>
    <n v="1351.65"/>
    <m/>
    <m/>
    <m/>
    <x v="447"/>
    <m/>
  </r>
  <r>
    <n v="434"/>
    <x v="134"/>
    <s v="WHATS"/>
    <s v="93483/102505"/>
    <n v="1432.36"/>
    <m/>
    <m/>
    <m/>
    <x v="447"/>
    <m/>
  </r>
  <r>
    <n v="1989"/>
    <x v="67"/>
    <s v="WHATS"/>
    <n v="93541"/>
    <n v="790.83"/>
    <m/>
    <m/>
    <m/>
    <x v="447"/>
    <m/>
  </r>
  <r>
    <n v="50576"/>
    <x v="37"/>
    <s v="WHATS"/>
    <n v="93976"/>
    <n v="1102.3499999999999"/>
    <m/>
    <m/>
    <m/>
    <x v="447"/>
    <m/>
  </r>
  <r>
    <n v="480"/>
    <x v="39"/>
    <s v="WHATS"/>
    <s v="94005/102509"/>
    <n v="1114"/>
    <m/>
    <m/>
    <m/>
    <x v="447"/>
    <m/>
  </r>
  <r>
    <n v="311"/>
    <x v="46"/>
    <s v="WHATS"/>
    <n v="102484"/>
    <n v="398.39"/>
    <m/>
    <m/>
    <m/>
    <x v="447"/>
    <m/>
  </r>
  <r>
    <n v="500873"/>
    <x v="145"/>
    <s v="WHATS"/>
    <s v="94010/102417"/>
    <n v="863.99"/>
    <m/>
    <m/>
    <m/>
    <x v="447"/>
    <m/>
  </r>
  <r>
    <n v="905"/>
    <x v="72"/>
    <s v="WHATS"/>
    <s v="93877/102513"/>
    <n v="1066.1400000000001"/>
    <m/>
    <m/>
    <m/>
    <x v="447"/>
    <m/>
  </r>
  <r>
    <n v="822"/>
    <x v="66"/>
    <s v="WHATS"/>
    <s v="93947/102504"/>
    <n v="1813.27"/>
    <m/>
    <m/>
    <m/>
    <x v="447"/>
    <m/>
  </r>
  <r>
    <n v="1813"/>
    <x v="48"/>
    <s v="WHATS"/>
    <n v="94032"/>
    <n v="1653.75"/>
    <m/>
    <m/>
    <m/>
    <x v="447"/>
    <m/>
  </r>
  <r>
    <n v="2203"/>
    <x v="44"/>
    <s v="EMAIL"/>
    <n v="94013"/>
    <n v="845"/>
    <m/>
    <m/>
    <m/>
    <x v="447"/>
    <m/>
  </r>
  <r>
    <n v="50576"/>
    <x v="37"/>
    <s v="WHATS"/>
    <n v="93976"/>
    <n v="1267.1500000000001"/>
    <m/>
    <m/>
    <m/>
    <x v="447"/>
    <m/>
  </r>
  <r>
    <n v="784"/>
    <x v="13"/>
    <s v="WHATS"/>
    <n v="94043"/>
    <n v="640"/>
    <m/>
    <m/>
    <m/>
    <x v="452"/>
    <m/>
  </r>
  <r>
    <n v="3190"/>
    <x v="60"/>
    <s v="WHATS"/>
    <s v="94017/102519"/>
    <n v="1455.15"/>
    <m/>
    <m/>
    <m/>
    <x v="452"/>
    <m/>
  </r>
  <r>
    <n v="1206"/>
    <x v="33"/>
    <s v="WHATS"/>
    <n v="94051"/>
    <n v="1097.8399999999999"/>
    <m/>
    <m/>
    <m/>
    <x v="452"/>
    <m/>
  </r>
  <r>
    <n v="500949"/>
    <x v="149"/>
    <s v="PLATAFORMA"/>
    <n v="94038"/>
    <n v="1074.5999999999999"/>
    <m/>
    <m/>
    <m/>
    <x v="452"/>
    <m/>
  </r>
  <r>
    <n v="408"/>
    <x v="142"/>
    <s v="EMAIL"/>
    <n v="94061"/>
    <n v="1702.75"/>
    <m/>
    <m/>
    <m/>
    <x v="452"/>
    <m/>
  </r>
  <r>
    <n v="463"/>
    <x v="32"/>
    <s v="WHATS"/>
    <n v="94078"/>
    <n v="346"/>
    <m/>
    <m/>
    <m/>
    <x v="441"/>
    <m/>
  </r>
  <r>
    <n v="572"/>
    <x v="51"/>
    <s v="WHATS"/>
    <n v="94088"/>
    <n v="447.29"/>
    <m/>
    <m/>
    <m/>
    <x v="441"/>
    <m/>
  </r>
  <r>
    <n v="1652"/>
    <x v="61"/>
    <s v="TELEFONE"/>
    <s v="93986/102506"/>
    <n v="363.25"/>
    <m/>
    <m/>
    <m/>
    <x v="453"/>
    <m/>
  </r>
  <r>
    <n v="475"/>
    <x v="23"/>
    <s v="WHATS"/>
    <n v="94104"/>
    <n v="6037.9"/>
    <m/>
    <m/>
    <m/>
    <x v="453"/>
    <m/>
  </r>
  <r>
    <n v="50465"/>
    <x v="96"/>
    <s v="WHATS"/>
    <n v="93169"/>
    <n v="3562"/>
    <m/>
    <m/>
    <m/>
    <x v="453"/>
    <m/>
  </r>
  <r>
    <n v="704"/>
    <x v="49"/>
    <s v="TELEFONE"/>
    <s v="93715/102537"/>
    <n v="1516.23"/>
    <m/>
    <m/>
    <m/>
    <x v="454"/>
    <m/>
  </r>
  <r>
    <n v="1164"/>
    <x v="58"/>
    <s v="WHATS"/>
    <n v="94167"/>
    <n v="1036.5"/>
    <m/>
    <m/>
    <m/>
    <x v="454"/>
    <m/>
  </r>
  <r>
    <n v="832"/>
    <x v="55"/>
    <s v="WHATS"/>
    <n v="93953"/>
    <n v="7950.85"/>
    <m/>
    <m/>
    <m/>
    <x v="455"/>
    <m/>
  </r>
  <r>
    <n v="500005"/>
    <x v="102"/>
    <s v="WHATS"/>
    <n v="94478"/>
    <n v="260.39999999999998"/>
    <m/>
    <m/>
    <m/>
    <x v="455"/>
    <m/>
  </r>
  <r>
    <n v="500005"/>
    <x v="102"/>
    <s v="WHATS"/>
    <s v="102625/94566"/>
    <n v="3030"/>
    <m/>
    <m/>
    <m/>
    <x v="456"/>
    <m/>
  </r>
  <r>
    <n v="500005"/>
    <x v="102"/>
    <s v="WHATS"/>
    <n v="94125"/>
    <m/>
    <m/>
    <n v="16430.5"/>
    <m/>
    <x v="455"/>
    <m/>
  </r>
  <r>
    <n v="50558"/>
    <x v="2"/>
    <s v="WHATS"/>
    <n v="93898"/>
    <n v="1868"/>
    <m/>
    <m/>
    <m/>
    <x v="457"/>
    <m/>
  </r>
  <r>
    <n v="3018"/>
    <x v="64"/>
    <s v="WHATS"/>
    <s v="102501/93920"/>
    <n v="399.65"/>
    <m/>
    <m/>
    <m/>
    <x v="457"/>
    <m/>
  </r>
  <r>
    <n v="3557"/>
    <x v="139"/>
    <s v="PLATAFORMA"/>
    <n v="93105"/>
    <n v="2609.6"/>
    <m/>
    <m/>
    <m/>
    <x v="457"/>
    <m/>
  </r>
  <r>
    <n v="500969"/>
    <x v="151"/>
    <s v="PLATAFORMA"/>
    <n v="94238"/>
    <n v="96"/>
    <m/>
    <m/>
    <m/>
    <x v="457"/>
    <m/>
  </r>
  <r>
    <n v="3017"/>
    <x v="62"/>
    <s v="WHATS"/>
    <n v="94251"/>
    <n v="656.32"/>
    <m/>
    <m/>
    <m/>
    <x v="458"/>
    <m/>
  </r>
  <r>
    <n v="1240"/>
    <x v="25"/>
    <s v="WHATS"/>
    <n v="93518"/>
    <n v="816.05"/>
    <m/>
    <m/>
    <m/>
    <x v="458"/>
    <m/>
  </r>
  <r>
    <n v="3153"/>
    <x v="12"/>
    <s v="WHATS"/>
    <n v="94278"/>
    <n v="1506.4"/>
    <m/>
    <m/>
    <m/>
    <x v="458"/>
    <m/>
  </r>
  <r>
    <n v="412"/>
    <x v="90"/>
    <s v="WHATS"/>
    <n v="94282"/>
    <n v="627"/>
    <m/>
    <m/>
    <m/>
    <x v="458"/>
    <m/>
  </r>
  <r>
    <n v="500507"/>
    <x v="148"/>
    <s v="WHATS"/>
    <s v="94246 / 94260 / 94265 / 94245"/>
    <n v="4278.79"/>
    <m/>
    <m/>
    <m/>
    <x v="458"/>
    <m/>
  </r>
  <r>
    <n v="784"/>
    <x v="13"/>
    <s v="WHATS"/>
    <n v="94172"/>
    <n v="3889.68"/>
    <m/>
    <m/>
    <m/>
    <x v="458"/>
    <m/>
  </r>
  <r>
    <n v="50219"/>
    <x v="14"/>
    <s v="WHATS"/>
    <s v="94152/102535"/>
    <n v="1188.2"/>
    <m/>
    <m/>
    <m/>
    <x v="459"/>
    <m/>
  </r>
  <r>
    <n v="2022"/>
    <x v="28"/>
    <s v="WHATS"/>
    <n v="93525"/>
    <n v="783.33"/>
    <m/>
    <m/>
    <m/>
    <x v="459"/>
    <m/>
  </r>
  <r>
    <n v="475"/>
    <x v="23"/>
    <s v="WHATS"/>
    <n v="94329"/>
    <n v="432"/>
    <m/>
    <m/>
    <m/>
    <x v="459"/>
    <m/>
  </r>
  <r>
    <n v="663"/>
    <x v="116"/>
    <s v="WHATS"/>
    <s v="94147/102348"/>
    <n v="1629.25"/>
    <m/>
    <m/>
    <m/>
    <x v="460"/>
    <m/>
  </r>
  <r>
    <n v="823"/>
    <x v="17"/>
    <s v="WHATS"/>
    <n v="93503"/>
    <n v="3239.35"/>
    <m/>
    <m/>
    <m/>
    <x v="460"/>
    <m/>
  </r>
  <r>
    <n v="2911"/>
    <x v="15"/>
    <s v="WHATS"/>
    <s v="94186/102547"/>
    <n v="1509.75"/>
    <m/>
    <m/>
    <m/>
    <x v="460"/>
    <m/>
  </r>
  <r>
    <n v="432"/>
    <x v="43"/>
    <s v="WHATS"/>
    <s v="102457/93761"/>
    <n v="1086.8"/>
    <m/>
    <m/>
    <m/>
    <x v="460"/>
    <m/>
  </r>
  <r>
    <n v="2163"/>
    <x v="36"/>
    <s v="TELEFONE"/>
    <s v="94379/102588"/>
    <n v="1636.95"/>
    <m/>
    <m/>
    <m/>
    <x v="460"/>
    <m/>
  </r>
  <r>
    <n v="1652"/>
    <x v="61"/>
    <s v="TELEFONE"/>
    <s v="102529/94384"/>
    <n v="196.98"/>
    <m/>
    <m/>
    <m/>
    <x v="461"/>
    <m/>
  </r>
  <r>
    <n v="575"/>
    <x v="45"/>
    <s v="WHATS"/>
    <n v="94156"/>
    <n v="456.74"/>
    <m/>
    <m/>
    <m/>
    <x v="461"/>
    <m/>
  </r>
  <r>
    <n v="761"/>
    <x v="24"/>
    <s v="WHATS"/>
    <s v="102528/94177"/>
    <n v="1513.62"/>
    <m/>
    <m/>
    <m/>
    <x v="461"/>
    <m/>
  </r>
  <r>
    <n v="746"/>
    <x v="3"/>
    <s v="WHATS"/>
    <s v="102575/93559"/>
    <n v="1439.58"/>
    <m/>
    <m/>
    <m/>
    <x v="461"/>
    <m/>
  </r>
  <r>
    <n v="874"/>
    <x v="53"/>
    <s v="WHATS"/>
    <n v="94410"/>
    <n v="1649.94"/>
    <m/>
    <m/>
    <m/>
    <x v="461"/>
    <m/>
  </r>
  <r>
    <n v="784"/>
    <x v="13"/>
    <s v="WHATS"/>
    <n v="94172"/>
    <n v="1831.83"/>
    <m/>
    <m/>
    <m/>
    <x v="461"/>
    <m/>
  </r>
  <r>
    <n v="50554"/>
    <x v="20"/>
    <s v="WHATS"/>
    <s v="102599/94429"/>
    <n v="7002.86"/>
    <m/>
    <m/>
    <m/>
    <x v="461"/>
    <m/>
  </r>
  <r>
    <n v="2955"/>
    <x v="82"/>
    <s v="WHATS"/>
    <n v="94429"/>
    <n v="3301.5"/>
    <m/>
    <m/>
    <m/>
    <x v="461"/>
    <m/>
  </r>
  <r>
    <n v="690"/>
    <x v="19"/>
    <s v="WHATS"/>
    <s v="102602/ 93988"/>
    <n v="2226.4499999999998"/>
    <m/>
    <m/>
    <m/>
    <x v="462"/>
    <m/>
  </r>
  <r>
    <n v="3194"/>
    <x v="18"/>
    <s v="WHATS"/>
    <n v="94446"/>
    <n v="830.2"/>
    <m/>
    <m/>
    <m/>
    <x v="462"/>
    <m/>
  </r>
  <r>
    <n v="761"/>
    <x v="24"/>
    <s v="WHATS"/>
    <n v="94053"/>
    <m/>
    <m/>
    <n v="4250"/>
    <m/>
    <x v="462"/>
    <m/>
  </r>
  <r>
    <n v="761"/>
    <x v="24"/>
    <s v="WHATS"/>
    <n v="94458"/>
    <n v="24158.15"/>
    <m/>
    <m/>
    <m/>
    <x v="462"/>
    <m/>
  </r>
  <r>
    <n v="2199"/>
    <x v="132"/>
    <s v="PLATAFORMA"/>
    <n v="94462"/>
    <m/>
    <m/>
    <n v="1450"/>
    <m/>
    <x v="462"/>
    <m/>
  </r>
  <r>
    <n v="50861"/>
    <x v="133"/>
    <s v="WHATS"/>
    <n v="50861"/>
    <n v="644"/>
    <m/>
    <m/>
    <m/>
    <x v="462"/>
    <m/>
  </r>
  <r>
    <n v="618"/>
    <x v="26"/>
    <s v="WHATS"/>
    <s v="94452/102562"/>
    <n v="1727.9"/>
    <m/>
    <m/>
    <m/>
    <x v="462"/>
    <m/>
  </r>
  <r>
    <n v="746"/>
    <x v="3"/>
    <s v="WHATS"/>
    <n v="94484"/>
    <n v="418"/>
    <m/>
    <m/>
    <m/>
    <x v="463"/>
    <m/>
  </r>
  <r>
    <n v="832"/>
    <x v="55"/>
    <s v="WHATS"/>
    <n v="93950"/>
    <n v="14285.67"/>
    <m/>
    <m/>
    <m/>
    <x v="463"/>
    <m/>
  </r>
  <r>
    <n v="311"/>
    <x v="46"/>
    <s v="WHATS"/>
    <n v="94461"/>
    <n v="699"/>
    <m/>
    <m/>
    <m/>
    <x v="463"/>
    <m/>
  </r>
  <r>
    <n v="705"/>
    <x v="1"/>
    <s v="TELEFONE"/>
    <n v="102571"/>
    <n v="1018.06"/>
    <m/>
    <m/>
    <m/>
    <x v="463"/>
    <m/>
  </r>
  <r>
    <n v="1533"/>
    <x v="50"/>
    <s v="WHATS"/>
    <s v="94459/102563"/>
    <n v="506.4"/>
    <m/>
    <m/>
    <m/>
    <x v="463"/>
    <m/>
  </r>
  <r>
    <n v="690"/>
    <x v="19"/>
    <s v="WHATS"/>
    <n v="102603"/>
    <n v="215.6"/>
    <m/>
    <m/>
    <m/>
    <x v="463"/>
    <m/>
  </r>
  <r>
    <n v="50554"/>
    <x v="20"/>
    <s v="WHATS"/>
    <n v="102600"/>
    <n v="236.2"/>
    <m/>
    <m/>
    <m/>
    <x v="463"/>
    <m/>
  </r>
  <r>
    <n v="761"/>
    <x v="24"/>
    <s v="WHATS"/>
    <s v="102606/94471"/>
    <n v="6026"/>
    <m/>
    <m/>
    <m/>
    <x v="463"/>
    <m/>
  </r>
  <r>
    <n v="50961"/>
    <x v="109"/>
    <s v="WHATS"/>
    <n v="93600"/>
    <n v="2006"/>
    <m/>
    <m/>
    <m/>
    <x v="464"/>
    <m/>
  </r>
  <r>
    <n v="475"/>
    <x v="23"/>
    <s v="WHATS"/>
    <s v="102613/93974"/>
    <n v="5522.87"/>
    <m/>
    <m/>
    <m/>
    <x v="456"/>
    <m/>
  </r>
  <r>
    <n v="2415"/>
    <x v="63"/>
    <s v="WHATS"/>
    <n v="94561"/>
    <n v="649.79"/>
    <m/>
    <m/>
    <m/>
    <x v="464"/>
    <m/>
  </r>
  <r>
    <n v="784"/>
    <x v="13"/>
    <s v="WHATS"/>
    <n v="94576"/>
    <n v="7318"/>
    <m/>
    <m/>
    <m/>
    <x v="456"/>
    <m/>
  </r>
  <r>
    <n v="500149"/>
    <x v="94"/>
    <s v="WHATS"/>
    <s v="94549/102624"/>
    <n v="2730.7"/>
    <m/>
    <m/>
    <m/>
    <x v="456"/>
    <m/>
  </r>
  <r>
    <n v="311"/>
    <x v="46"/>
    <s v="WHATS"/>
    <n v="94461"/>
    <n v="699"/>
    <m/>
    <m/>
    <m/>
    <x v="456"/>
    <m/>
  </r>
  <r>
    <n v="784"/>
    <x v="13"/>
    <s v="WHATS"/>
    <n v="94413"/>
    <n v="2134.85"/>
    <m/>
    <m/>
    <m/>
    <x v="456"/>
    <m/>
  </r>
  <r>
    <n v="1533"/>
    <x v="50"/>
    <s v="WHATS"/>
    <n v="94598"/>
    <n v="144"/>
    <m/>
    <m/>
    <m/>
    <x v="456"/>
    <m/>
  </r>
  <r>
    <n v="434"/>
    <x v="134"/>
    <s v="WHATS"/>
    <n v="94606"/>
    <n v="1674.12"/>
    <m/>
    <m/>
    <m/>
    <x v="456"/>
    <m/>
  </r>
  <r>
    <n v="50465"/>
    <x v="96"/>
    <s v="WHATS"/>
    <n v="94138"/>
    <n v="1888.49"/>
    <m/>
    <m/>
    <m/>
    <x v="465"/>
    <m/>
  </r>
  <r>
    <n v="516"/>
    <x v="11"/>
    <s v="WHATS"/>
    <n v="94622"/>
    <n v="13154.59"/>
    <m/>
    <m/>
    <m/>
    <x v="465"/>
    <m/>
  </r>
  <r>
    <n v="761"/>
    <x v="24"/>
    <s v="WHATS"/>
    <n v="94628"/>
    <n v="1267.75"/>
    <m/>
    <m/>
    <m/>
    <x v="465"/>
    <m/>
  </r>
  <r>
    <n v="1164"/>
    <x v="58"/>
    <s v="WHATS"/>
    <s v="102542/94179"/>
    <n v="1147.73"/>
    <m/>
    <m/>
    <m/>
    <x v="465"/>
    <m/>
  </r>
  <r>
    <n v="620"/>
    <x v="69"/>
    <s v="WHATS"/>
    <s v="102650/94178"/>
    <n v="1016.2"/>
    <m/>
    <m/>
    <m/>
    <x v="466"/>
    <s v="TEM COLUNA "/>
  </r>
  <r>
    <n v="906"/>
    <x v="27"/>
    <s v="WHATS"/>
    <n v="94654"/>
    <n v="734"/>
    <m/>
    <m/>
    <m/>
    <x v="466"/>
    <s v="TEM COLUNA "/>
  </r>
  <r>
    <n v="51042"/>
    <x v="106"/>
    <s v="WHATS"/>
    <s v="102654/94650"/>
    <n v="350.95"/>
    <m/>
    <m/>
    <m/>
    <x v="466"/>
    <m/>
  </r>
  <r>
    <n v="2199"/>
    <x v="132"/>
    <s v="PLATAFORMA"/>
    <n v="94678"/>
    <n v="7168.8"/>
    <m/>
    <m/>
    <m/>
    <x v="466"/>
    <m/>
  </r>
  <r>
    <n v="1206"/>
    <x v="33"/>
    <s v="WHATS"/>
    <n v="94647"/>
    <n v="856.64"/>
    <m/>
    <m/>
    <m/>
    <x v="466"/>
    <m/>
  </r>
  <r>
    <n v="690"/>
    <x v="19"/>
    <s v="WHATS"/>
    <s v="94670/102646"/>
    <n v="546.16"/>
    <m/>
    <m/>
    <m/>
    <x v="467"/>
    <m/>
  </r>
  <r>
    <n v="50554"/>
    <x v="20"/>
    <s v="WHATS"/>
    <n v="94103"/>
    <n v="949.84"/>
    <m/>
    <m/>
    <m/>
    <x v="467"/>
    <m/>
  </r>
  <r>
    <n v="1971"/>
    <x v="29"/>
    <s v="WHATS"/>
    <n v="94711"/>
    <n v="738.4"/>
    <m/>
    <m/>
    <m/>
    <x v="467"/>
    <m/>
  </r>
  <r>
    <n v="1726"/>
    <x v="34"/>
    <s v="WHATS"/>
    <n v="94690"/>
    <n v="89.9"/>
    <m/>
    <m/>
    <m/>
    <x v="467"/>
    <m/>
  </r>
  <r>
    <n v="500982"/>
    <x v="152"/>
    <s v="WHATS"/>
    <n v="94706"/>
    <n v="778"/>
    <m/>
    <m/>
    <m/>
    <x v="467"/>
    <m/>
  </r>
  <r>
    <n v="51061"/>
    <x v="138"/>
    <s v="PLATAFORMA"/>
    <n v="94732"/>
    <n v="84"/>
    <m/>
    <m/>
    <m/>
    <x v="468"/>
    <m/>
  </r>
  <r>
    <n v="3557"/>
    <x v="139"/>
    <s v="PLATAFORMA"/>
    <n v="94731"/>
    <n v="245.95"/>
    <m/>
    <m/>
    <m/>
    <x v="468"/>
    <m/>
  </r>
  <r>
    <n v="50185"/>
    <x v="105"/>
    <s v="WHATS"/>
    <n v="94750"/>
    <n v="607.75"/>
    <m/>
    <m/>
    <m/>
    <x v="468"/>
    <m/>
  </r>
  <r>
    <n v="762"/>
    <x v="41"/>
    <s v="WHATS"/>
    <n v="94770"/>
    <n v="8102.18"/>
    <m/>
    <m/>
    <m/>
    <x v="468"/>
    <m/>
  </r>
  <r>
    <n v="1122"/>
    <x v="87"/>
    <s v="WHATS"/>
    <n v="94689"/>
    <n v="2659.6"/>
    <m/>
    <m/>
    <m/>
    <x v="468"/>
    <m/>
  </r>
  <r>
    <n v="581"/>
    <x v="74"/>
    <s v="WHATS"/>
    <s v="94788/102668"/>
    <n v="2613.96"/>
    <m/>
    <m/>
    <m/>
    <x v="468"/>
    <m/>
  </r>
  <r>
    <n v="1813"/>
    <x v="48"/>
    <s v="WHATS"/>
    <n v="94746"/>
    <n v="1465.2"/>
    <m/>
    <m/>
    <m/>
    <x v="468"/>
    <m/>
  </r>
  <r>
    <n v="761"/>
    <x v="24"/>
    <s v="EMAIL"/>
    <s v="102645/94363"/>
    <n v="22188.02"/>
    <m/>
    <m/>
    <m/>
    <x v="469"/>
    <m/>
  </r>
  <r>
    <n v="475"/>
    <x v="23"/>
    <s v="EMAIL"/>
    <n v="84552"/>
    <n v="3688.13"/>
    <m/>
    <m/>
    <m/>
    <x v="470"/>
    <m/>
  </r>
  <r>
    <n v="50554"/>
    <x v="20"/>
    <s v="WHATS"/>
    <n v="94702"/>
    <n v="189"/>
    <m/>
    <m/>
    <m/>
    <x v="470"/>
    <m/>
  </r>
  <r>
    <n v="432"/>
    <x v="43"/>
    <s v="WHATS"/>
    <s v="94504/102616"/>
    <n v="245.15"/>
    <m/>
    <m/>
    <m/>
    <x v="469"/>
    <m/>
  </r>
  <r>
    <n v="1989"/>
    <x v="67"/>
    <s v="EMAIL"/>
    <n v="94102"/>
    <n v="836.19"/>
    <m/>
    <m/>
    <m/>
    <x v="469"/>
    <m/>
  </r>
  <r>
    <n v="1623"/>
    <x v="57"/>
    <s v="WHATS"/>
    <n v="94895"/>
    <n v="508.7"/>
    <m/>
    <m/>
    <m/>
    <x v="469"/>
    <m/>
  </r>
  <r>
    <n v="3017"/>
    <x v="62"/>
    <s v="WHATS"/>
    <n v="94256"/>
    <n v="1514"/>
    <m/>
    <m/>
    <m/>
    <x v="469"/>
    <m/>
  </r>
  <r>
    <n v="1164"/>
    <x v="58"/>
    <s v="WHATS"/>
    <s v="102686/94876"/>
    <n v="596.29"/>
    <m/>
    <m/>
    <m/>
    <x v="471"/>
    <m/>
  </r>
  <r>
    <n v="1026"/>
    <x v="7"/>
    <s v="WHATS"/>
    <n v="94936"/>
    <n v="2199.92"/>
    <m/>
    <m/>
    <m/>
    <x v="471"/>
    <m/>
  </r>
  <r>
    <n v="480"/>
    <x v="39"/>
    <s v="WHATS"/>
    <s v="102699/94949"/>
    <n v="3070.3"/>
    <m/>
    <m/>
    <m/>
    <x v="471"/>
    <m/>
  </r>
  <r>
    <n v="408"/>
    <x v="142"/>
    <s v="WHATS"/>
    <s v="102682/94914"/>
    <n v="4904.75"/>
    <m/>
    <m/>
    <m/>
    <x v="471"/>
    <m/>
  </r>
  <r>
    <n v="1234"/>
    <x v="153"/>
    <s v="WHATS"/>
    <n v="94952"/>
    <n v="842"/>
    <m/>
    <m/>
    <m/>
    <x v="471"/>
    <m/>
  </r>
  <r>
    <n v="761"/>
    <x v="24"/>
    <s v="WHATS"/>
    <n v="94187"/>
    <m/>
    <m/>
    <n v="5500"/>
    <m/>
    <x v="471"/>
    <m/>
  </r>
  <r>
    <n v="500005"/>
    <x v="102"/>
    <s v="WHATS"/>
    <n v="93865"/>
    <n v="4343.1000000000004"/>
    <m/>
    <m/>
    <m/>
    <x v="455"/>
    <m/>
  </r>
  <r>
    <n v="500005"/>
    <x v="102"/>
    <s v="WHATS"/>
    <n v="93862"/>
    <m/>
    <m/>
    <n v="75000"/>
    <m/>
    <x v="455"/>
    <m/>
  </r>
  <r>
    <n v="618"/>
    <x v="26"/>
    <s v="WHATS"/>
    <s v="95003/102711"/>
    <n v="2167.8000000000002"/>
    <m/>
    <m/>
    <m/>
    <x v="472"/>
    <m/>
  </r>
  <r>
    <n v="705"/>
    <x v="1"/>
    <s v="WHATS"/>
    <n v="95009"/>
    <n v="1373.5"/>
    <m/>
    <m/>
    <m/>
    <x v="472"/>
    <m/>
  </r>
  <r>
    <n v="2199"/>
    <x v="132"/>
    <s v="WHATS"/>
    <n v="94680"/>
    <n v="719.2"/>
    <m/>
    <m/>
    <m/>
    <x v="472"/>
    <m/>
  </r>
  <r>
    <n v="500978"/>
    <x v="154"/>
    <s v="PLATAFORMA"/>
    <n v="94508"/>
    <n v="880"/>
    <m/>
    <m/>
    <m/>
    <x v="472"/>
    <m/>
  </r>
  <r>
    <n v="1842"/>
    <x v="47"/>
    <s v="WHATS"/>
    <n v="94714"/>
    <n v="412.3"/>
    <m/>
    <m/>
    <m/>
    <x v="472"/>
    <m/>
  </r>
  <r>
    <n v="1533"/>
    <x v="50"/>
    <s v="WHATS"/>
    <n v="95017"/>
    <n v="488.8"/>
    <m/>
    <m/>
    <m/>
    <x v="473"/>
    <m/>
  </r>
  <r>
    <n v="3557"/>
    <x v="139"/>
    <s v="PLATAFORMA"/>
    <n v="95058"/>
    <n v="7350"/>
    <m/>
    <m/>
    <m/>
    <x v="473"/>
    <m/>
  </r>
  <r>
    <n v="784"/>
    <x v="13"/>
    <s v="WHATS"/>
    <n v="95077"/>
    <n v="4032.63"/>
    <m/>
    <m/>
    <m/>
    <x v="473"/>
    <m/>
  </r>
  <r>
    <n v="1616"/>
    <x v="83"/>
    <s v="WHATS"/>
    <n v="95069"/>
    <n v="3815.8"/>
    <m/>
    <m/>
    <m/>
    <x v="473"/>
    <m/>
  </r>
  <r>
    <n v="620"/>
    <x v="69"/>
    <s v="WHATS"/>
    <n v="95076"/>
    <n v="629.1"/>
    <m/>
    <m/>
    <m/>
    <x v="473"/>
    <m/>
  </r>
  <r>
    <n v="761"/>
    <x v="24"/>
    <s v="WHATS"/>
    <s v="95074/102688"/>
    <n v="6899.06"/>
    <m/>
    <m/>
    <m/>
    <x v="473"/>
    <m/>
  </r>
  <r>
    <n v="2022"/>
    <x v="28"/>
    <s v="WHATS"/>
    <n v="94616"/>
    <n v="1649.62"/>
    <m/>
    <m/>
    <m/>
    <x v="473"/>
    <m/>
  </r>
  <r>
    <n v="2911"/>
    <x v="15"/>
    <s v="WHATS"/>
    <s v="102736/102734/95093"/>
    <n v="1887"/>
    <m/>
    <m/>
    <m/>
    <x v="474"/>
    <m/>
  </r>
  <r>
    <n v="432"/>
    <x v="43"/>
    <s v="WHATS"/>
    <s v="95099/102736"/>
    <n v="6105.35"/>
    <m/>
    <m/>
    <m/>
    <x v="474"/>
    <m/>
  </r>
  <r>
    <n v="500507"/>
    <x v="148"/>
    <s v="WHATS"/>
    <n v="94616"/>
    <n v="762.34"/>
    <m/>
    <m/>
    <m/>
    <x v="474"/>
    <m/>
  </r>
  <r>
    <n v="500507"/>
    <x v="148"/>
    <s v="WHATS"/>
    <n v="95116"/>
    <n v="1310.1600000000001"/>
    <m/>
    <m/>
    <m/>
    <x v="474"/>
    <m/>
  </r>
  <r>
    <n v="500507"/>
    <x v="148"/>
    <s v="WHATS"/>
    <n v="94674"/>
    <n v="3686"/>
    <m/>
    <m/>
    <m/>
    <x v="474"/>
    <m/>
  </r>
  <r>
    <n v="500507"/>
    <x v="148"/>
    <s v="WHATS"/>
    <n v="95117"/>
    <n v="635.03"/>
    <m/>
    <m/>
    <m/>
    <x v="474"/>
    <m/>
  </r>
  <r>
    <n v="500507"/>
    <x v="148"/>
    <s v="WHATS"/>
    <n v="95119"/>
    <n v="1031.0899999999999"/>
    <m/>
    <m/>
    <m/>
    <x v="474"/>
    <m/>
  </r>
  <r>
    <n v="705"/>
    <x v="1"/>
    <s v="WHATS"/>
    <n v="95152"/>
    <n v="589"/>
    <m/>
    <m/>
    <m/>
    <x v="475"/>
    <m/>
  </r>
  <r>
    <n v="50219"/>
    <x v="14"/>
    <s v="WHATS"/>
    <n v="95151"/>
    <n v="1500.24"/>
    <m/>
    <m/>
    <m/>
    <x v="475"/>
    <m/>
  </r>
  <r>
    <n v="475"/>
    <x v="23"/>
    <s v="EMAIL"/>
    <s v="94545/102742"/>
    <n v="13483.08"/>
    <m/>
    <m/>
    <m/>
    <x v="475"/>
    <m/>
  </r>
  <r>
    <n v="1726"/>
    <x v="34"/>
    <s v="WHATS"/>
    <n v="95159"/>
    <n v="389"/>
    <m/>
    <m/>
    <m/>
    <x v="475"/>
    <m/>
  </r>
  <r>
    <n v="50418"/>
    <x v="35"/>
    <s v="WHATS"/>
    <n v="94848"/>
    <n v="629.39"/>
    <m/>
    <m/>
    <m/>
    <x v="476"/>
    <m/>
  </r>
  <r>
    <n v="874"/>
    <x v="53"/>
    <s v="WHATS"/>
    <n v="95177"/>
    <n v="3258.09"/>
    <m/>
    <m/>
    <m/>
    <x v="475"/>
    <m/>
  </r>
  <r>
    <n v="784"/>
    <x v="13"/>
    <s v="WHATS"/>
    <n v="94578"/>
    <n v="1213.8"/>
    <m/>
    <m/>
    <m/>
    <x v="475"/>
    <m/>
  </r>
  <r>
    <n v="3475"/>
    <x v="59"/>
    <s v="WHATS"/>
    <n v="95146"/>
    <n v="240"/>
    <m/>
    <m/>
    <m/>
    <x v="475"/>
    <m/>
  </r>
  <r>
    <n v="325"/>
    <x v="97"/>
    <s v="WHATS"/>
    <s v="95206/102758"/>
    <n v="1705"/>
    <m/>
    <m/>
    <m/>
    <x v="475"/>
    <m/>
  </r>
  <r>
    <n v="412"/>
    <x v="90"/>
    <s v="WHATS"/>
    <n v="95220"/>
    <n v="1069.1500000000001"/>
    <m/>
    <m/>
    <m/>
    <x v="477"/>
    <m/>
  </r>
  <r>
    <n v="50576"/>
    <x v="37"/>
    <s v="WHATS"/>
    <n v="95188"/>
    <n v="2215.65"/>
    <m/>
    <m/>
    <m/>
    <x v="476"/>
    <m/>
  </r>
  <r>
    <n v="50554"/>
    <x v="20"/>
    <s v="WHATS"/>
    <s v="102759/95213"/>
    <n v="5853.4"/>
    <m/>
    <m/>
    <m/>
    <x v="476"/>
    <m/>
  </r>
  <r>
    <n v="1164"/>
    <x v="58"/>
    <s v="WHATS"/>
    <s v="102764/94877"/>
    <n v="2932.95"/>
    <m/>
    <m/>
    <m/>
    <x v="476"/>
    <m/>
  </r>
  <r>
    <n v="746"/>
    <x v="3"/>
    <s v="WHATS"/>
    <s v="102738/94866"/>
    <n v="1510.02"/>
    <m/>
    <m/>
    <m/>
    <x v="476"/>
    <m/>
  </r>
  <r>
    <n v="1058"/>
    <x v="5"/>
    <s v="WHATS"/>
    <n v="95095"/>
    <n v="1059.8"/>
    <m/>
    <m/>
    <m/>
    <x v="476"/>
    <m/>
  </r>
  <r>
    <n v="762"/>
    <x v="41"/>
    <s v="WHATS"/>
    <n v="94943"/>
    <n v="4889.5"/>
    <m/>
    <m/>
    <m/>
    <x v="476"/>
    <m/>
  </r>
  <r>
    <n v="50558"/>
    <x v="2"/>
    <s v="WHATS"/>
    <n v="94644"/>
    <n v="2455"/>
    <m/>
    <m/>
    <m/>
    <x v="476"/>
    <m/>
  </r>
  <r>
    <n v="500873"/>
    <x v="145"/>
    <s v="WHATS"/>
    <s v="102762/95251"/>
    <n v="2185.6999999999998"/>
    <m/>
    <m/>
    <m/>
    <x v="476"/>
    <m/>
  </r>
  <r>
    <n v="408"/>
    <x v="142"/>
    <s v="WHATS"/>
    <n v="94938"/>
    <n v="553"/>
    <m/>
    <m/>
    <m/>
    <x v="476"/>
    <m/>
  </r>
  <r>
    <n v="311"/>
    <x v="46"/>
    <s v="WHATS"/>
    <s v="95301/102774"/>
    <n v="1454.75"/>
    <m/>
    <m/>
    <m/>
    <x v="476"/>
    <m/>
  </r>
  <r>
    <n v="50465"/>
    <x v="96"/>
    <s v="WHATS"/>
    <n v="95302"/>
    <n v="3280.49"/>
    <m/>
    <m/>
    <m/>
    <x v="476"/>
    <m/>
  </r>
  <r>
    <n v="500982"/>
    <x v="152"/>
    <s v="WHATS"/>
    <n v="95293"/>
    <n v="1720.3"/>
    <m/>
    <m/>
    <m/>
    <x v="476"/>
    <m/>
  </r>
  <r>
    <n v="500243"/>
    <x v="110"/>
    <s v="WHATS"/>
    <n v="94530"/>
    <n v="2180.5"/>
    <m/>
    <m/>
    <m/>
    <x v="476"/>
    <m/>
  </r>
  <r>
    <n v="3194"/>
    <x v="18"/>
    <s v="WHATS"/>
    <n v="95315"/>
    <n v="706.4"/>
    <m/>
    <m/>
    <m/>
    <x v="478"/>
    <m/>
  </r>
  <r>
    <n v="2702"/>
    <x v="73"/>
    <s v="WHATS"/>
    <n v="95342"/>
    <n v="1551.15"/>
    <m/>
    <m/>
    <m/>
    <x v="478"/>
    <m/>
  </r>
  <r>
    <n v="690"/>
    <x v="19"/>
    <s v="WHATS"/>
    <s v="95328/102783"/>
    <n v="2441.9899999999998"/>
    <m/>
    <m/>
    <m/>
    <x v="478"/>
    <m/>
  </r>
  <r>
    <n v="3153"/>
    <x v="12"/>
    <s v="WHATS"/>
    <n v="95250"/>
    <n v="1347.1"/>
    <m/>
    <m/>
    <m/>
    <x v="478"/>
    <m/>
  </r>
  <r>
    <n v="708"/>
    <x v="56"/>
    <s v="WHATS"/>
    <n v="95376"/>
    <n v="2030"/>
    <m/>
    <m/>
    <m/>
    <x v="479"/>
    <m/>
  </r>
  <r>
    <n v="516"/>
    <x v="11"/>
    <s v="WHATS"/>
    <n v="93867"/>
    <n v="244.3"/>
    <m/>
    <m/>
    <m/>
    <x v="479"/>
    <m/>
  </r>
  <r>
    <n v="2163"/>
    <x v="36"/>
    <s v="TELEFONE"/>
    <n v="95400"/>
    <n v="1530.79"/>
    <m/>
    <m/>
    <m/>
    <x v="479"/>
    <m/>
  </r>
  <r>
    <n v="500854"/>
    <x v="150"/>
    <s v="WHATS"/>
    <n v="94573"/>
    <n v="6742.2"/>
    <m/>
    <m/>
    <m/>
    <x v="479"/>
    <m/>
  </r>
  <r>
    <n v="705"/>
    <x v="1"/>
    <s v="WHATS"/>
    <n v="95152"/>
    <n v="592.1"/>
    <m/>
    <m/>
    <m/>
    <x v="479"/>
    <m/>
  </r>
  <r>
    <n v="1616"/>
    <x v="83"/>
    <s v="WHATS"/>
    <n v="95264"/>
    <n v="432.11"/>
    <m/>
    <m/>
    <m/>
    <x v="480"/>
    <m/>
  </r>
  <r>
    <n v="832"/>
    <x v="55"/>
    <s v="WHATS"/>
    <n v="94971"/>
    <n v="603.37"/>
    <m/>
    <m/>
    <m/>
    <x v="480"/>
    <m/>
  </r>
  <r>
    <n v="500005"/>
    <x v="102"/>
    <s v="WHATS"/>
    <n v="95457"/>
    <m/>
    <m/>
    <n v="5990"/>
    <m/>
    <x v="480"/>
    <m/>
  </r>
  <r>
    <n v="500005"/>
    <x v="102"/>
    <s v="WHATS"/>
    <s v="102625/94991"/>
    <n v="2183.4"/>
    <m/>
    <n v="1580"/>
    <m/>
    <x v="480"/>
    <m/>
  </r>
  <r>
    <n v="51175"/>
    <x v="79"/>
    <s v="WHATS"/>
    <n v="95439"/>
    <n v="109.15"/>
    <m/>
    <m/>
    <m/>
    <x v="480"/>
    <m/>
  </r>
  <r>
    <n v="906"/>
    <x v="27"/>
    <s v="WHATS"/>
    <s v="102797/95424"/>
    <n v="905.52"/>
    <m/>
    <m/>
    <m/>
    <x v="480"/>
    <m/>
  </r>
  <r>
    <n v="905"/>
    <x v="72"/>
    <s v="TELEFONE"/>
    <s v="102781/95325"/>
    <n v="1140.81"/>
    <m/>
    <m/>
    <m/>
    <x v="480"/>
    <m/>
  </r>
  <r>
    <n v="960"/>
    <x v="30"/>
    <s v="WHATS"/>
    <s v="102784/95334"/>
    <n v="980.05"/>
    <m/>
    <m/>
    <m/>
    <x v="480"/>
    <m/>
  </r>
  <r>
    <n v="2199"/>
    <x v="132"/>
    <s v="PLATAFORMA"/>
    <n v="95369"/>
    <m/>
    <m/>
    <n v="1450"/>
    <m/>
    <x v="481"/>
    <m/>
  </r>
  <r>
    <n v="2199"/>
    <x v="132"/>
    <s v="PLATAFORMA"/>
    <s v="102780/102347/95310"/>
    <n v="2623.7"/>
    <m/>
    <m/>
    <m/>
    <x v="481"/>
    <m/>
  </r>
  <r>
    <n v="762"/>
    <x v="41"/>
    <s v="EMAIL"/>
    <n v="95351"/>
    <n v="5413.57"/>
    <m/>
    <m/>
    <m/>
    <x v="480"/>
    <m/>
  </r>
  <r>
    <n v="364"/>
    <x v="31"/>
    <s v="WHATS"/>
    <s v="102756/95191"/>
    <n v="427.71"/>
    <m/>
    <m/>
    <m/>
    <x v="480"/>
    <m/>
  </r>
  <r>
    <n v="761"/>
    <x v="24"/>
    <s v="WHATS"/>
    <s v="95066/94888/102725"/>
    <n v="7225.22"/>
    <m/>
    <m/>
    <m/>
    <x v="482"/>
    <m/>
  </r>
  <r>
    <n v="51182"/>
    <x v="146"/>
    <s v="WHATS"/>
    <n v="95487"/>
    <m/>
    <m/>
    <n v="13750"/>
    <m/>
    <x v="482"/>
    <m/>
  </r>
  <r>
    <n v="51182"/>
    <x v="146"/>
    <s v="WHATS"/>
    <n v="95001"/>
    <n v="1916.5"/>
    <m/>
    <m/>
    <m/>
    <x v="482"/>
    <m/>
  </r>
  <r>
    <n v="724"/>
    <x v="42"/>
    <s v="WHATS"/>
    <n v="95473"/>
    <n v="520"/>
    <m/>
    <m/>
    <m/>
    <x v="482"/>
    <m/>
  </r>
  <r>
    <n v="50219"/>
    <x v="14"/>
    <s v="WHATS"/>
    <n v="102806"/>
    <n v="189"/>
    <m/>
    <m/>
    <m/>
    <x v="482"/>
    <m/>
  </r>
  <r>
    <n v="705"/>
    <x v="1"/>
    <s v="WHATS"/>
    <n v="95522"/>
    <n v="379.9"/>
    <m/>
    <m/>
    <m/>
    <x v="482"/>
    <m/>
  </r>
  <r>
    <n v="663"/>
    <x v="116"/>
    <s v="EMAIL"/>
    <n v="95504"/>
    <n v="2718.16"/>
    <m/>
    <m/>
    <m/>
    <x v="481"/>
    <m/>
  </r>
  <r>
    <n v="474"/>
    <x v="98"/>
    <s v="WHATS"/>
    <n v="95527"/>
    <n v="1086"/>
    <m/>
    <m/>
    <m/>
    <x v="481"/>
    <m/>
  </r>
  <r>
    <n v="1240"/>
    <x v="25"/>
    <s v="WHATS"/>
    <n v="95524"/>
    <n v="1846.19"/>
    <m/>
    <m/>
    <m/>
    <x v="483"/>
    <m/>
  </r>
  <r>
    <n v="2980"/>
    <x v="40"/>
    <s v="WHATS"/>
    <s v="95428/102798"/>
    <n v="1574"/>
    <m/>
    <m/>
    <m/>
    <x v="483"/>
    <m/>
  </r>
  <r>
    <n v="51118"/>
    <x v="0"/>
    <s v="WHATS"/>
    <n v="95558"/>
    <n v="281"/>
    <m/>
    <m/>
    <m/>
    <x v="483"/>
    <m/>
  </r>
  <r>
    <n v="905"/>
    <x v="72"/>
    <s v="WHATS"/>
    <n v="102813"/>
    <n v="63.36"/>
    <m/>
    <m/>
    <m/>
    <x v="483"/>
    <m/>
  </r>
  <r>
    <n v="50554"/>
    <x v="20"/>
    <s v="WHATS"/>
    <s v="102769/95214"/>
    <n v="840.2"/>
    <m/>
    <m/>
    <m/>
    <x v="483"/>
    <m/>
  </r>
  <r>
    <n v="690"/>
    <x v="19"/>
    <s v="WHATS"/>
    <s v="102789/95361"/>
    <n v="284.3"/>
    <m/>
    <m/>
    <m/>
    <x v="483"/>
    <m/>
  </r>
  <r>
    <n v="51061"/>
    <x v="138"/>
    <s v="PLATAFORMA"/>
    <n v="95580"/>
    <n v="1645"/>
    <m/>
    <m/>
    <m/>
    <x v="483"/>
    <m/>
  </r>
  <r>
    <n v="784"/>
    <x v="13"/>
    <s v="WHATS"/>
    <n v="95080"/>
    <n v="700.95"/>
    <m/>
    <m/>
    <m/>
    <x v="483"/>
    <m/>
  </r>
  <r>
    <n v="3017"/>
    <x v="62"/>
    <s v="WHATS"/>
    <n v="95585"/>
    <n v="1785.1"/>
    <m/>
    <m/>
    <m/>
    <x v="483"/>
    <m/>
  </r>
  <r>
    <n v="2415"/>
    <x v="63"/>
    <s v="WHATS"/>
    <n v="95587"/>
    <n v="639.92999999999995"/>
    <m/>
    <m/>
    <m/>
    <x v="483"/>
    <m/>
  </r>
  <r>
    <n v="572"/>
    <x v="51"/>
    <s v="WHATS"/>
    <s v="102706/94980"/>
    <n v="1634.87"/>
    <m/>
    <m/>
    <m/>
    <x v="483"/>
    <m/>
  </r>
  <r>
    <n v="500873"/>
    <x v="145"/>
    <s v="WHATS"/>
    <s v="95291/ 102772"/>
    <n v="890.2"/>
    <m/>
    <m/>
    <m/>
    <x v="483"/>
    <m/>
  </r>
  <r>
    <n v="475"/>
    <x v="23"/>
    <s v="WHATS"/>
    <s v="102743/95129"/>
    <n v="5473.73"/>
    <m/>
    <m/>
    <m/>
    <x v="483"/>
    <m/>
  </r>
  <r>
    <n v="1971"/>
    <x v="29"/>
    <s v="WHATS"/>
    <s v="102821/95601"/>
    <n v="1118.9000000000001"/>
    <m/>
    <m/>
    <m/>
    <x v="483"/>
    <m/>
  </r>
  <r>
    <n v="325"/>
    <x v="97"/>
    <s v="WHATS"/>
    <s v="102758/95208"/>
    <n v="638"/>
    <m/>
    <m/>
    <m/>
    <x v="483"/>
    <m/>
  </r>
  <r>
    <n v="823"/>
    <x v="17"/>
    <s v="WHATS"/>
    <s v="102753/95606"/>
    <n v="5657.29"/>
    <m/>
    <m/>
    <m/>
    <x v="483"/>
    <m/>
  </r>
  <r>
    <n v="1246"/>
    <x v="0"/>
    <s v="TELEFONE"/>
    <n v="95627"/>
    <n v="1032"/>
    <m/>
    <m/>
    <m/>
    <x v="483"/>
    <m/>
  </r>
  <r>
    <n v="3557"/>
    <x v="139"/>
    <s v="PLATAFORMA"/>
    <n v="95629"/>
    <n v="4900"/>
    <m/>
    <m/>
    <m/>
    <x v="483"/>
    <m/>
  </r>
  <r>
    <n v="1905"/>
    <x v="107"/>
    <s v="WHATS"/>
    <n v="95650"/>
    <n v="775"/>
    <m/>
    <m/>
    <m/>
    <x v="482"/>
    <m/>
  </r>
  <r>
    <n v="822"/>
    <x v="66"/>
    <s v="WHATS"/>
    <s v="95641/102827"/>
    <n v="3140.12"/>
    <m/>
    <m/>
    <m/>
    <x v="482"/>
    <m/>
  </r>
  <r>
    <n v="480"/>
    <x v="39"/>
    <s v="WHATS"/>
    <s v="102826/95628"/>
    <n v="1306.9000000000001"/>
    <m/>
    <m/>
    <m/>
    <x v="484"/>
    <m/>
  </r>
  <r>
    <n v="1813"/>
    <x v="48"/>
    <s v="WHATS"/>
    <n v="95642"/>
    <n v="815"/>
    <m/>
    <m/>
    <m/>
    <x v="484"/>
    <m/>
  </r>
  <r>
    <n v="2572"/>
    <x v="115"/>
    <s v="WHATS"/>
    <n v="95667"/>
    <n v="2364.41"/>
    <m/>
    <m/>
    <m/>
    <x v="484"/>
    <m/>
  </r>
  <r>
    <n v="1842"/>
    <x v="47"/>
    <s v="WHATS"/>
    <n v="95044"/>
    <n v="342"/>
    <m/>
    <m/>
    <m/>
    <x v="484"/>
    <m/>
  </r>
  <r>
    <n v="1026"/>
    <x v="7"/>
    <s v="TELEFONE"/>
    <n v="94940"/>
    <n v="741"/>
    <m/>
    <m/>
    <m/>
    <x v="484"/>
    <m/>
  </r>
  <r>
    <n v="463"/>
    <x v="32"/>
    <s v="WHATS"/>
    <n v="95557"/>
    <n v="1374.6"/>
    <m/>
    <m/>
    <m/>
    <x v="484"/>
    <m/>
  </r>
  <r>
    <n v="1122"/>
    <x v="87"/>
    <s v="WHATS"/>
    <n v="95626"/>
    <n v="1471"/>
    <m/>
    <m/>
    <m/>
    <x v="484"/>
    <m/>
  </r>
  <r>
    <n v="1016"/>
    <x v="101"/>
    <s v="WHATS"/>
    <n v="93116"/>
    <n v="96"/>
    <m/>
    <m/>
    <m/>
    <x v="485"/>
    <m/>
  </r>
  <r>
    <n v="1016"/>
    <x v="101"/>
    <s v="WHATS"/>
    <s v="94873/102684"/>
    <n v="1867.6"/>
    <m/>
    <m/>
    <m/>
    <x v="485"/>
    <m/>
  </r>
  <r>
    <n v="3240"/>
    <x v="75"/>
    <s v="WHATS"/>
    <s v="102840/95697"/>
    <n v="1719.55"/>
    <m/>
    <m/>
    <m/>
    <x v="486"/>
    <m/>
  </r>
  <r>
    <n v="2199"/>
    <x v="132"/>
    <s v="PLATAFORMA"/>
    <s v="95742/102841/95705"/>
    <n v="3968.55"/>
    <m/>
    <m/>
    <m/>
    <x v="487"/>
    <m/>
  </r>
  <r>
    <n v="311"/>
    <x v="46"/>
    <s v="WHATS"/>
    <n v="95299"/>
    <n v="1358"/>
    <m/>
    <m/>
    <m/>
    <x v="485"/>
    <m/>
  </r>
  <r>
    <n v="3018"/>
    <x v="64"/>
    <s v="WHATS"/>
    <s v="102812/95529"/>
    <n v="787.3"/>
    <m/>
    <m/>
    <m/>
    <x v="485"/>
    <m/>
  </r>
  <r>
    <n v="500005"/>
    <x v="102"/>
    <s v="WHATS"/>
    <n v="95743"/>
    <n v="1056"/>
    <m/>
    <m/>
    <m/>
    <x v="485"/>
    <m/>
  </r>
  <r>
    <n v="408"/>
    <x v="142"/>
    <s v="WHATS"/>
    <s v="102849/95750"/>
    <n v="4621.3500000000004"/>
    <m/>
    <m/>
    <m/>
    <x v="485"/>
    <m/>
  </r>
  <r>
    <n v="581"/>
    <x v="74"/>
    <s v="WHATS"/>
    <n v="95735"/>
    <n v="328.8"/>
    <m/>
    <m/>
    <m/>
    <x v="485"/>
    <m/>
  </r>
  <r>
    <n v="516"/>
    <x v="11"/>
    <s v="EMAIL"/>
    <n v="95395"/>
    <n v="12364.05"/>
    <m/>
    <m/>
    <m/>
    <x v="485"/>
    <m/>
  </r>
  <r>
    <n v="761"/>
    <x v="24"/>
    <s v="WHATS"/>
    <s v="102816/95748"/>
    <n v="22228.95"/>
    <m/>
    <m/>
    <m/>
    <x v="485"/>
    <m/>
  </r>
  <r>
    <n v="2199"/>
    <x v="132"/>
    <s v="PLATAFORMA"/>
    <n v="92742"/>
    <n v="1201"/>
    <m/>
    <m/>
    <m/>
    <x v="488"/>
    <m/>
  </r>
  <r>
    <n v="2199"/>
    <x v="132"/>
    <s v="PLATAFORMA"/>
    <n v="95778"/>
    <n v="1351"/>
    <m/>
    <m/>
    <m/>
    <x v="488"/>
    <m/>
  </r>
  <r>
    <n v="2022"/>
    <x v="28"/>
    <s v="WHATS"/>
    <n v="95773"/>
    <n v="678.2"/>
    <m/>
    <m/>
    <m/>
    <x v="488"/>
    <m/>
  </r>
  <r>
    <n v="575"/>
    <x v="45"/>
    <s v="WHATS"/>
    <s v="95588/102819"/>
    <n v="584.99"/>
    <m/>
    <m/>
    <m/>
    <x v="488"/>
    <m/>
  </r>
  <r>
    <n v="475"/>
    <x v="23"/>
    <s v="WHATS"/>
    <s v="95154/102855"/>
    <n v="20013.580000000002"/>
    <m/>
    <m/>
    <m/>
    <x v="488"/>
    <m/>
  </r>
  <r>
    <n v="432"/>
    <x v="43"/>
    <s v="WHATS"/>
    <n v="95842"/>
    <n v="1842.6"/>
    <m/>
    <m/>
    <m/>
    <x v="489"/>
    <m/>
  </r>
  <r>
    <n v="500243"/>
    <x v="110"/>
    <s v="WHATS"/>
    <n v="95840"/>
    <n v="6256.07"/>
    <m/>
    <m/>
    <m/>
    <x v="489"/>
    <m/>
  </r>
  <r>
    <n v="500507"/>
    <x v="148"/>
    <s v="WHATS"/>
    <n v="95115"/>
    <n v="4464.3999999999996"/>
    <m/>
    <m/>
    <m/>
    <x v="485"/>
    <m/>
  </r>
  <r>
    <n v="3077"/>
    <x v="10"/>
    <s v="WHATS"/>
    <n v="95820"/>
    <n v="789.8"/>
    <m/>
    <m/>
    <m/>
    <x v="489"/>
    <m/>
  </r>
  <r>
    <n v="1623"/>
    <x v="57"/>
    <s v="TELEFONE"/>
    <n v="95867"/>
    <n v="539.1"/>
    <m/>
    <m/>
    <m/>
    <x v="489"/>
    <m/>
  </r>
  <r>
    <n v="690"/>
    <x v="19"/>
    <s v="WHATS"/>
    <s v="95856/102861"/>
    <n v="897.7"/>
    <m/>
    <m/>
    <m/>
    <x v="489"/>
    <m/>
  </r>
  <r>
    <n v="500005"/>
    <x v="102"/>
    <s v="WHATS"/>
    <n v="94974"/>
    <m/>
    <m/>
    <n v="2900"/>
    <m/>
    <x v="490"/>
    <m/>
  </r>
  <r>
    <n v="50554"/>
    <x v="20"/>
    <s v="WHATS"/>
    <n v="95573"/>
    <n v="189"/>
    <m/>
    <m/>
    <m/>
    <x v="489"/>
    <m/>
  </r>
  <r>
    <n v="1989"/>
    <x v="67"/>
    <s v="WHATS"/>
    <n v="95399"/>
    <n v="1109.96"/>
    <m/>
    <m/>
    <m/>
    <x v="489"/>
    <m/>
  </r>
  <r>
    <n v="50418"/>
    <x v="35"/>
    <s v="WHATS"/>
    <n v="95880"/>
    <n v="1545.7"/>
    <m/>
    <m/>
    <m/>
    <x v="489"/>
    <m/>
  </r>
  <r>
    <n v="50861"/>
    <x v="133"/>
    <s v="WHATS"/>
    <n v="95646"/>
    <n v="1072.0999999999999"/>
    <m/>
    <m/>
    <m/>
    <x v="489"/>
    <m/>
  </r>
  <r>
    <n v="1493"/>
    <x v="21"/>
    <s v="WHATS"/>
    <n v="95313"/>
    <n v="413.15"/>
    <m/>
    <m/>
    <m/>
    <x v="491"/>
    <m/>
  </r>
  <r>
    <n v="311"/>
    <x v="46"/>
    <s v="WHATS"/>
    <n v="102871"/>
    <n v="1454.6"/>
    <m/>
    <m/>
    <m/>
    <x v="491"/>
    <m/>
  </r>
  <r>
    <n v="960"/>
    <x v="30"/>
    <s v="WHATS"/>
    <n v="95927"/>
    <n v="441.95"/>
    <m/>
    <m/>
    <m/>
    <x v="490"/>
    <m/>
  </r>
  <r>
    <n v="1726"/>
    <x v="34"/>
    <s v="EMAIL"/>
    <n v="95929"/>
    <n v="1172"/>
    <m/>
    <m/>
    <m/>
    <x v="490"/>
    <m/>
  </r>
  <r>
    <n v="874"/>
    <x v="53"/>
    <s v="WHATS"/>
    <n v="95914"/>
    <n v="4316.3"/>
    <m/>
    <m/>
    <m/>
    <x v="490"/>
    <m/>
  </r>
  <r>
    <n v="724"/>
    <x v="42"/>
    <s v="WHATS"/>
    <n v="95474"/>
    <n v="650"/>
    <m/>
    <m/>
    <m/>
    <x v="492"/>
    <m/>
  </r>
  <r>
    <n v="1616"/>
    <x v="83"/>
    <s v="WHATS"/>
    <s v="102874/95908"/>
    <n v="437.97"/>
    <m/>
    <m/>
    <m/>
    <x v="492"/>
    <m/>
  </r>
  <r>
    <n v="3019"/>
    <x v="132"/>
    <s v="WHATS"/>
    <n v="95831"/>
    <n v="915.5"/>
    <m/>
    <m/>
    <m/>
    <x v="492"/>
    <m/>
  </r>
  <r>
    <n v="2199"/>
    <x v="132"/>
    <s v="WHATS"/>
    <n v="95955"/>
    <n v="616"/>
    <m/>
    <m/>
    <m/>
    <x v="492"/>
    <m/>
  </r>
  <r>
    <n v="408"/>
    <x v="142"/>
    <s v="WHATS"/>
    <n v="95751"/>
    <n v="354"/>
    <m/>
    <m/>
    <m/>
    <x v="492"/>
    <m/>
  </r>
  <r>
    <n v="516"/>
    <x v="11"/>
    <s v="WHATS"/>
    <n v="95768"/>
    <n v="1124"/>
    <m/>
    <m/>
    <m/>
    <x v="492"/>
    <m/>
  </r>
  <r>
    <n v="761"/>
    <x v="24"/>
    <s v="WHATS"/>
    <s v="95808/102883"/>
    <n v="841.75"/>
    <m/>
    <m/>
    <m/>
    <x v="492"/>
    <m/>
  </r>
  <r>
    <n v="475"/>
    <x v="23"/>
    <s v="WHATS"/>
    <n v="993230"/>
    <n v="3415"/>
    <m/>
    <m/>
    <m/>
    <x v="492"/>
    <m/>
  </r>
  <r>
    <n v="500873"/>
    <x v="145"/>
    <s v="WHATS"/>
    <s v="102889/95979"/>
    <n v="2247.6999999999998"/>
    <m/>
    <m/>
    <m/>
    <x v="492"/>
    <m/>
  </r>
  <r>
    <n v="51182"/>
    <x v="146"/>
    <s v="WHATS"/>
    <n v="95487"/>
    <n v="480"/>
    <m/>
    <m/>
    <m/>
    <x v="492"/>
    <m/>
  </r>
  <r>
    <n v="3017"/>
    <x v="62"/>
    <s v="WHATS"/>
    <n v="95990"/>
    <n v="1497.55"/>
    <m/>
    <m/>
    <m/>
    <x v="492"/>
    <m/>
  </r>
  <r>
    <n v="1652"/>
    <x v="61"/>
    <s v="TELEFONE"/>
    <n v="95991"/>
    <n v="528.75"/>
    <m/>
    <m/>
    <m/>
    <x v="492"/>
    <m/>
  </r>
  <r>
    <n v="2702"/>
    <x v="73"/>
    <s v="WHATS"/>
    <n v="95452"/>
    <n v="1645"/>
    <m/>
    <m/>
    <m/>
    <x v="492"/>
    <m/>
  </r>
  <r>
    <n v="708"/>
    <x v="56"/>
    <s v="WHATS"/>
    <n v="95996"/>
    <n v="2030"/>
    <m/>
    <m/>
    <m/>
    <x v="492"/>
    <m/>
  </r>
  <r>
    <n v="2911"/>
    <x v="15"/>
    <s v="WHATS"/>
    <s v="95997/102894"/>
    <n v="2425.08"/>
    <m/>
    <m/>
    <m/>
    <x v="493"/>
    <m/>
  </r>
  <r>
    <n v="1909"/>
    <x v="0"/>
    <s v="WHATS"/>
    <n v="95870"/>
    <n v="395"/>
    <m/>
    <m/>
    <m/>
    <x v="493"/>
    <m/>
  </r>
  <r>
    <n v="1533"/>
    <x v="50"/>
    <s v="WHATS"/>
    <s v="95971/102886"/>
    <n v="428.15"/>
    <m/>
    <m/>
    <m/>
    <x v="493"/>
    <m/>
  </r>
  <r>
    <n v="784"/>
    <x v="13"/>
    <s v="EMAIL"/>
    <n v="95584"/>
    <n v="2193.94"/>
    <m/>
    <m/>
    <m/>
    <x v="493"/>
    <m/>
  </r>
  <r>
    <n v="762"/>
    <x v="41"/>
    <s v="WHATS"/>
    <n v="95542"/>
    <n v="1540"/>
    <m/>
    <m/>
    <m/>
    <x v="494"/>
    <m/>
  </r>
  <r>
    <n v="823"/>
    <x v="17"/>
    <s v="WHATS"/>
    <n v="96113"/>
    <n v="2043.4"/>
    <m/>
    <m/>
    <m/>
    <x v="495"/>
    <m/>
  </r>
  <r>
    <n v="1234"/>
    <x v="153"/>
    <s v="WHATS"/>
    <n v="96050"/>
    <n v="1141.75"/>
    <m/>
    <m/>
    <m/>
    <x v="495"/>
    <m/>
  </r>
  <r>
    <n v="1813"/>
    <x v="48"/>
    <s v="WHATS"/>
    <n v="96078"/>
    <n v="991.8"/>
    <m/>
    <m/>
    <m/>
    <x v="495"/>
    <m/>
  </r>
  <r>
    <n v="3492"/>
    <x v="132"/>
    <s v="PLATAFORMA"/>
    <n v="95511"/>
    <m/>
    <m/>
    <n v="1450"/>
    <m/>
    <x v="495"/>
    <m/>
  </r>
  <r>
    <n v="761"/>
    <x v="24"/>
    <s v="WHATS"/>
    <n v="96140"/>
    <n v="1899.5"/>
    <m/>
    <m/>
    <m/>
    <x v="495"/>
    <m/>
  </r>
  <r>
    <n v="687"/>
    <x v="16"/>
    <s v="WHATS"/>
    <n v="96268"/>
    <n v="204"/>
    <m/>
    <m/>
    <m/>
    <x v="496"/>
    <m/>
  </r>
  <r>
    <n v="690"/>
    <x v="19"/>
    <s v="WHATS"/>
    <s v="96261/102918"/>
    <n v="2658.24"/>
    <m/>
    <m/>
    <m/>
    <x v="496"/>
    <m/>
  </r>
  <r>
    <n v="50312"/>
    <x v="86"/>
    <s v="WHATS"/>
    <n v="96266"/>
    <n v="395.9"/>
    <m/>
    <m/>
    <m/>
    <x v="497"/>
    <m/>
  </r>
  <r>
    <n v="3557"/>
    <x v="139"/>
    <s v="PLATAFORMA"/>
    <n v="96211"/>
    <n v="7535.9"/>
    <m/>
    <m/>
    <m/>
    <x v="497"/>
    <m/>
  </r>
  <r>
    <n v="50465"/>
    <x v="96"/>
    <s v="WHATS"/>
    <n v="96273"/>
    <n v="2716.61"/>
    <m/>
    <m/>
    <m/>
    <x v="497"/>
    <m/>
  </r>
  <r>
    <n v="50219"/>
    <x v="14"/>
    <s v="WHATS"/>
    <s v="102925/96150"/>
    <n v="1597.45"/>
    <m/>
    <m/>
    <m/>
    <x v="498"/>
    <m/>
  </r>
  <r>
    <n v="50554"/>
    <x v="20"/>
    <s v="WHATS"/>
    <s v="96167/102919"/>
    <n v="8489.27"/>
    <m/>
    <m/>
    <m/>
    <x v="498"/>
    <m/>
  </r>
  <r>
    <n v="50728"/>
    <x v="84"/>
    <s v="WHATS"/>
    <n v="96219"/>
    <n v="778"/>
    <m/>
    <m/>
    <m/>
    <x v="498"/>
    <m/>
  </r>
  <r>
    <n v="3153"/>
    <x v="12"/>
    <s v="WHATS"/>
    <s v="102930/96164"/>
    <n v="2181.2199999999998"/>
    <m/>
    <m/>
    <m/>
    <x v="498"/>
    <m/>
  </r>
  <r>
    <n v="761"/>
    <x v="24"/>
    <s v="WHATS"/>
    <n v="96187"/>
    <n v="16406.75"/>
    <m/>
    <m/>
    <m/>
    <x v="498"/>
    <m/>
  </r>
  <r>
    <n v="784"/>
    <x v="13"/>
    <s v="WHATS"/>
    <n v="96027"/>
    <n v="1506"/>
    <m/>
    <m/>
    <m/>
    <x v="498"/>
    <m/>
  </r>
  <r>
    <n v="1164"/>
    <x v="58"/>
    <s v="WHATS"/>
    <n v="96221"/>
    <n v="816.37"/>
    <m/>
    <m/>
    <m/>
    <x v="497"/>
    <m/>
  </r>
  <r>
    <n v="572"/>
    <x v="51"/>
    <s v="WHATS"/>
    <n v="95593"/>
    <n v="1316.6"/>
    <m/>
    <m/>
    <m/>
    <x v="497"/>
    <m/>
  </r>
  <r>
    <n v="663"/>
    <x v="116"/>
    <s v="WHATS"/>
    <s v="102936/96201"/>
    <n v="716.04"/>
    <m/>
    <m/>
    <m/>
    <x v="497"/>
    <m/>
  </r>
  <r>
    <n v="50861"/>
    <x v="133"/>
    <s v="WHATS"/>
    <n v="95893"/>
    <n v="152"/>
    <m/>
    <m/>
    <m/>
    <x v="497"/>
    <m/>
  </r>
  <r>
    <n v="3017"/>
    <x v="62"/>
    <s v="WHATS"/>
    <n v="96312"/>
    <n v="223.53"/>
    <m/>
    <m/>
    <m/>
    <x v="497"/>
    <m/>
  </r>
  <r>
    <n v="325"/>
    <x v="97"/>
    <s v="WHATS"/>
    <s v="102964/95679"/>
    <n v="2678.57"/>
    <m/>
    <m/>
    <m/>
    <x v="499"/>
    <m/>
  </r>
  <r>
    <n v="501033"/>
    <x v="155"/>
    <s v="WHATS"/>
    <n v="96345"/>
    <n v="1299.55"/>
    <m/>
    <m/>
    <m/>
    <x v="499"/>
    <m/>
  </r>
  <r>
    <n v="501028"/>
    <x v="156"/>
    <s v="WHATS"/>
    <n v="96272"/>
    <n v="254.65"/>
    <m/>
    <m/>
    <m/>
    <x v="500"/>
    <m/>
  </r>
  <r>
    <n v="2022"/>
    <x v="28"/>
    <s v="WHATS"/>
    <n v="96381"/>
    <n v="474.9"/>
    <m/>
    <m/>
    <m/>
    <x v="500"/>
    <m/>
  </r>
  <r>
    <n v="3194"/>
    <x v="18"/>
    <s v="WHATS"/>
    <n v="96371"/>
    <n v="611.5"/>
    <m/>
    <m/>
    <m/>
    <x v="500"/>
    <m/>
  </r>
  <r>
    <n v="3557"/>
    <x v="139"/>
    <s v="WHATS"/>
    <n v="96390"/>
    <n v="4900"/>
    <m/>
    <m/>
    <m/>
    <x v="500"/>
    <m/>
  </r>
  <r>
    <n v="1989"/>
    <x v="67"/>
    <s v="WHATS"/>
    <n v="96401"/>
    <n v="980.35"/>
    <m/>
    <m/>
    <m/>
    <x v="500"/>
    <m/>
  </r>
  <r>
    <n v="3475"/>
    <x v="59"/>
    <s v="WHATS"/>
    <n v="95182"/>
    <n v="346.75"/>
    <m/>
    <m/>
    <m/>
    <x v="501"/>
    <m/>
  </r>
  <r>
    <n v="50558"/>
    <x v="2"/>
    <s v="WHATS"/>
    <n v="95845"/>
    <n v="3856"/>
    <m/>
    <m/>
    <m/>
    <x v="501"/>
    <m/>
  </r>
  <r>
    <n v="51182"/>
    <x v="146"/>
    <s v="WHATS"/>
    <n v="96424"/>
    <n v="120.9"/>
    <m/>
    <m/>
    <m/>
    <x v="501"/>
    <m/>
  </r>
  <r>
    <n v="761"/>
    <x v="24"/>
    <s v="WHATS"/>
    <s v="102910 /95977"/>
    <n v="4233.38"/>
    <m/>
    <m/>
    <m/>
    <x v="501"/>
    <m/>
  </r>
  <r>
    <n v="762"/>
    <x v="41"/>
    <s v="WHATS"/>
    <n v="96278"/>
    <n v="1969.2"/>
    <m/>
    <m/>
    <m/>
    <x v="502"/>
    <m/>
  </r>
  <r>
    <n v="475"/>
    <x v="23"/>
    <s v="EMAIL"/>
    <s v="102978/96372"/>
    <n v="11615.15"/>
    <m/>
    <m/>
    <m/>
    <x v="502"/>
    <m/>
  </r>
  <r>
    <n v="500337"/>
    <x v="157"/>
    <s v="WHATS"/>
    <n v="95657"/>
    <n v="2091.35"/>
    <m/>
    <m/>
    <m/>
    <x v="502"/>
    <m/>
  </r>
  <r>
    <n v="3492"/>
    <x v="132"/>
    <s v="WHATS"/>
    <n v="96417"/>
    <n v="70.819999999999993"/>
    <m/>
    <m/>
    <m/>
    <x v="502"/>
    <m/>
  </r>
  <r>
    <n v="501042"/>
    <x v="156"/>
    <s v="WHATS"/>
    <n v="96532"/>
    <n v="2104.3200000000002"/>
    <m/>
    <m/>
    <m/>
    <x v="503"/>
    <m/>
  </r>
  <r>
    <n v="501043"/>
    <x v="156"/>
    <s v="WHATS"/>
    <n v="96529"/>
    <n v="92.8"/>
    <m/>
    <m/>
    <m/>
    <x v="503"/>
    <m/>
  </r>
  <r>
    <n v="500507"/>
    <x v="148"/>
    <s v="WHATS"/>
    <n v="96527"/>
    <n v="739.44"/>
    <m/>
    <m/>
    <m/>
    <x v="503"/>
    <m/>
  </r>
  <r>
    <n v="500149"/>
    <x v="94"/>
    <s v="WHATS"/>
    <s v="102632/95781"/>
    <n v="1640.72"/>
    <m/>
    <m/>
    <m/>
    <x v="504"/>
    <m/>
  </r>
  <r>
    <n v="620"/>
    <x v="69"/>
    <s v="WHATS"/>
    <n v="96542"/>
    <n v="306"/>
    <m/>
    <m/>
    <m/>
    <x v="503"/>
    <m/>
  </r>
  <r>
    <n v="572"/>
    <x v="51"/>
    <s v="WHATS"/>
    <n v="96555"/>
    <n v="107.5"/>
    <m/>
    <m/>
    <m/>
    <x v="503"/>
    <m/>
  </r>
  <r>
    <n v="412"/>
    <x v="90"/>
    <s v="WHATS"/>
    <s v="96572/103011"/>
    <n v="1161.95"/>
    <m/>
    <m/>
    <m/>
    <x v="503"/>
    <m/>
  </r>
  <r>
    <n v="2022"/>
    <x v="28"/>
    <s v="WHATS"/>
    <n v="96580"/>
    <n v="284"/>
    <m/>
    <m/>
    <m/>
    <x v="505"/>
    <m/>
  </r>
  <r>
    <n v="412"/>
    <x v="90"/>
    <s v="WHATS"/>
    <n v="96601"/>
    <n v="364"/>
    <m/>
    <m/>
    <m/>
    <x v="505"/>
    <m/>
  </r>
  <r>
    <n v="1058"/>
    <x v="5"/>
    <s v="WHATS"/>
    <n v="96611"/>
    <n v="529.9"/>
    <m/>
    <m/>
    <m/>
    <x v="505"/>
    <m/>
  </r>
  <r>
    <n v="432"/>
    <x v="43"/>
    <s v="WHATS"/>
    <s v="96346 /102955"/>
    <n v="1178.75"/>
    <m/>
    <m/>
    <m/>
    <x v="505"/>
    <m/>
  </r>
  <r>
    <n v="581"/>
    <x v="74"/>
    <s v="WHATS"/>
    <s v="96298/102959"/>
    <n v="1706.82"/>
    <m/>
    <m/>
    <m/>
    <x v="505"/>
    <m/>
  </r>
  <r>
    <n v="772"/>
    <x v="71"/>
    <s v="WHATS"/>
    <s v="96399/102979"/>
    <n v="1626.16"/>
    <m/>
    <m/>
    <m/>
    <x v="505"/>
    <m/>
  </r>
  <r>
    <n v="501028"/>
    <x v="156"/>
    <s v="WHATS"/>
    <n v="96619"/>
    <n v="3588.04"/>
    <m/>
    <m/>
    <m/>
    <x v="505"/>
    <m/>
  </r>
  <r>
    <n v="311"/>
    <x v="46"/>
    <s v="WHATS"/>
    <n v="96553"/>
    <n v="1397.7"/>
    <m/>
    <m/>
    <m/>
    <x v="506"/>
    <m/>
  </r>
  <r>
    <n v="746"/>
    <x v="3"/>
    <s v="WHATS"/>
    <s v="96207/102941"/>
    <n v="758.65"/>
    <m/>
    <m/>
    <m/>
    <x v="506"/>
    <m/>
  </r>
  <r>
    <n v="1122"/>
    <x v="87"/>
    <s v="WHATS"/>
    <n v="96452"/>
    <n v="3015.65"/>
    <m/>
    <m/>
    <m/>
    <x v="507"/>
    <m/>
  </r>
  <r>
    <n v="3557"/>
    <x v="139"/>
    <s v="WHATS"/>
    <s v="96212/96654"/>
    <n v="179.8"/>
    <m/>
    <m/>
    <m/>
    <x v="507"/>
    <m/>
  </r>
  <r>
    <n v="501054"/>
    <x v="155"/>
    <s v="WHATS"/>
    <n v="96706"/>
    <n v="2466.7600000000002"/>
    <m/>
    <m/>
    <m/>
    <x v="507"/>
    <m/>
  </r>
  <r>
    <n v="784"/>
    <x v="13"/>
    <s v="WHATS"/>
    <n v="96227"/>
    <n v="232"/>
    <m/>
    <m/>
    <m/>
    <x v="507"/>
    <m/>
  </r>
  <r>
    <n v="51124"/>
    <x v="158"/>
    <s v="WHATS"/>
    <n v="96714"/>
    <n v="316"/>
    <m/>
    <m/>
    <m/>
    <x v="507"/>
    <m/>
  </r>
  <r>
    <n v="1164"/>
    <x v="58"/>
    <s v="WHATS"/>
    <s v="103025/96634"/>
    <n v="1107.67"/>
    <m/>
    <m/>
    <m/>
    <x v="507"/>
    <m/>
  </r>
  <r>
    <n v="50576"/>
    <x v="37"/>
    <s v="WHATS"/>
    <s v="96184/102929"/>
    <n v="2202.9299999999998"/>
    <m/>
    <m/>
    <m/>
    <x v="507"/>
    <m/>
  </r>
  <r>
    <n v="960"/>
    <x v="30"/>
    <s v="WHATS"/>
    <s v="96538/103002"/>
    <n v="767.4"/>
    <m/>
    <m/>
    <m/>
    <x v="508"/>
    <m/>
  </r>
  <r>
    <n v="2163"/>
    <x v="36"/>
    <s v="WHATS"/>
    <n v="96739"/>
    <n v="2480.4"/>
    <m/>
    <m/>
    <m/>
    <x v="508"/>
    <m/>
  </r>
  <r>
    <n v="704"/>
    <x v="49"/>
    <s v="TELEFONE"/>
    <s v="95905/103042"/>
    <n v="1752.19"/>
    <m/>
    <m/>
    <m/>
    <x v="508"/>
    <m/>
  </r>
  <r>
    <n v="325"/>
    <x v="97"/>
    <s v="WHATS"/>
    <n v="96334"/>
    <n v="358"/>
    <m/>
    <m/>
    <m/>
    <x v="508"/>
    <m/>
  </r>
  <r>
    <n v="3017"/>
    <x v="62"/>
    <s v="WHATS"/>
    <n v="96315"/>
    <n v="1051.53"/>
    <m/>
    <m/>
    <m/>
    <x v="508"/>
    <m/>
  </r>
  <r>
    <n v="516"/>
    <x v="11"/>
    <s v="EMAIL"/>
    <n v="95923"/>
    <n v="12347.54"/>
    <m/>
    <m/>
    <m/>
    <x v="508"/>
    <m/>
  </r>
  <r>
    <n v="572"/>
    <x v="51"/>
    <s v="WHATS"/>
    <n v="96243"/>
    <n v="1648.33"/>
    <m/>
    <m/>
    <m/>
    <x v="508"/>
    <m/>
  </r>
  <r>
    <n v="3492"/>
    <x v="132"/>
    <s v="WHATS"/>
    <n v="103047"/>
    <n v="79.2"/>
    <m/>
    <m/>
    <m/>
    <x v="508"/>
    <m/>
  </r>
  <r>
    <n v="1989"/>
    <x v="67"/>
    <s v="WHATS"/>
    <n v="95983"/>
    <n v="616.03"/>
    <m/>
    <m/>
    <m/>
    <x v="509"/>
    <m/>
  </r>
  <r>
    <n v="50554"/>
    <x v="20"/>
    <s v="WHATS"/>
    <s v="102934/96787"/>
    <n v="441.3"/>
    <m/>
    <m/>
    <m/>
    <x v="509"/>
    <m/>
  </r>
  <r>
    <n v="690"/>
    <x v="19"/>
    <s v="WHATS"/>
    <s v="102954/96280"/>
    <n v="212.5"/>
    <m/>
    <m/>
    <m/>
    <x v="509"/>
    <m/>
  </r>
  <r>
    <n v="500873"/>
    <x v="145"/>
    <s v="WHATS"/>
    <s v="96735/103039"/>
    <n v="1786.85"/>
    <m/>
    <m/>
    <m/>
    <x v="509"/>
    <m/>
  </r>
  <r>
    <n v="50418"/>
    <x v="35"/>
    <s v="WHATS"/>
    <n v="96789"/>
    <n v="1956.52"/>
    <m/>
    <m/>
    <m/>
    <x v="509"/>
    <m/>
  </r>
  <r>
    <n v="1533"/>
    <x v="50"/>
    <s v="WHATS"/>
    <n v="103049"/>
    <n v="119.8"/>
    <m/>
    <m/>
    <m/>
    <x v="509"/>
    <m/>
  </r>
  <r>
    <n v="500507"/>
    <x v="148"/>
    <s v="WHATS"/>
    <n v="96535"/>
    <n v="3838.56"/>
    <m/>
    <m/>
    <m/>
    <x v="509"/>
    <m/>
  </r>
  <r>
    <n v="501042"/>
    <x v="156"/>
    <s v="WHATS"/>
    <n v="96810"/>
    <n v="279.05"/>
    <m/>
    <m/>
    <m/>
    <x v="509"/>
    <m/>
  </r>
  <r>
    <n v="501028"/>
    <x v="156"/>
    <s v="WHATS"/>
    <n v="96384"/>
    <n v="154.63999999999999"/>
    <m/>
    <m/>
    <m/>
    <x v="509"/>
    <m/>
  </r>
  <r>
    <n v="2199"/>
    <x v="132"/>
    <s v="PLATAFORMA"/>
    <s v="103013/96563/96764"/>
    <n v="13369.45"/>
    <m/>
    <m/>
    <m/>
    <x v="509"/>
    <m/>
  </r>
  <r>
    <n v="501020"/>
    <x v="132"/>
    <s v="PLATAFORMA"/>
    <s v="95368/95305"/>
    <m/>
    <m/>
    <n v="5960"/>
    <m/>
    <x v="509"/>
    <m/>
  </r>
  <r>
    <n v="761"/>
    <x v="24"/>
    <s v="WHATS"/>
    <s v="96464/102984"/>
    <n v="450.94"/>
    <m/>
    <m/>
    <m/>
    <x v="509"/>
    <m/>
  </r>
  <r>
    <n v="500005"/>
    <x v="102"/>
    <s v="WHATS"/>
    <n v="96828"/>
    <n v="683.7"/>
    <m/>
    <m/>
    <m/>
    <x v="509"/>
    <m/>
  </r>
  <r>
    <n v="500337"/>
    <x v="157"/>
    <s v="PLATAFORMA"/>
    <n v="96833"/>
    <n v="499"/>
    <m/>
    <m/>
    <m/>
    <x v="509"/>
    <m/>
  </r>
  <r>
    <n v="9063"/>
    <x v="22"/>
    <s v="WHATS"/>
    <n v="96729"/>
    <n v="472.25"/>
    <m/>
    <m/>
    <m/>
    <x v="504"/>
    <m/>
  </r>
  <r>
    <n v="1623"/>
    <x v="57"/>
    <s v="WHATS"/>
    <n v="96848"/>
    <n v="795.68"/>
    <m/>
    <m/>
    <m/>
    <x v="510"/>
    <m/>
  </r>
  <r>
    <n v="2022"/>
    <x v="28"/>
    <s v="WHATS"/>
    <s v="96861/96841"/>
    <n v="873.6"/>
    <m/>
    <m/>
    <m/>
    <x v="510"/>
    <m/>
  </r>
  <r>
    <n v="705"/>
    <x v="1"/>
    <s v="WHATS"/>
    <s v="103056/96843"/>
    <n v="2150.38"/>
    <m/>
    <m/>
    <m/>
    <x v="510"/>
    <m/>
  </r>
  <r>
    <n v="823"/>
    <x v="17"/>
    <s v="WHATS"/>
    <s v="96884/103069"/>
    <n v="2081.02"/>
    <m/>
    <m/>
    <m/>
    <x v="504"/>
    <m/>
  </r>
  <r>
    <n v="620"/>
    <x v="69"/>
    <s v="WHATS"/>
    <n v="103068"/>
    <n v="592.4"/>
    <m/>
    <m/>
    <m/>
    <x v="504"/>
    <m/>
  </r>
  <r>
    <n v="2199"/>
    <x v="132"/>
    <s v="WHATS"/>
    <n v="97033"/>
    <n v="3905"/>
    <m/>
    <m/>
    <m/>
    <x v="511"/>
    <m/>
  </r>
  <r>
    <n v="463"/>
    <x v="32"/>
    <s v="WHATS"/>
    <n v="97039"/>
    <n v="1047.2"/>
    <m/>
    <m/>
    <m/>
    <x v="511"/>
    <m/>
  </r>
  <r>
    <n v="690"/>
    <x v="19"/>
    <s v="WHATS"/>
    <s v="103067/97032"/>
    <n v="1097.0999999999999"/>
    <m/>
    <m/>
    <m/>
    <x v="511"/>
    <m/>
  </r>
  <r>
    <n v="960"/>
    <x v="30"/>
    <s v="WHATS"/>
    <n v="97050"/>
    <n v="628"/>
    <m/>
    <m/>
    <m/>
    <x v="511"/>
    <m/>
  </r>
  <r>
    <n v="620"/>
    <x v="69"/>
    <s v="WHATS"/>
    <n v="96970"/>
    <n v="129.47"/>
    <m/>
    <m/>
    <m/>
    <x v="511"/>
    <m/>
  </r>
  <r>
    <n v="2415"/>
    <x v="63"/>
    <s v="WHATS"/>
    <n v="97062"/>
    <n v="3267"/>
    <m/>
    <m/>
    <m/>
    <x v="511"/>
    <m/>
  </r>
  <r>
    <n v="50219"/>
    <x v="14"/>
    <s v="WHATS"/>
    <n v="97075"/>
    <n v="1536.1"/>
    <m/>
    <m/>
    <m/>
    <x v="511"/>
    <m/>
  </r>
  <r>
    <n v="1813"/>
    <x v="48"/>
    <s v="WHATS"/>
    <s v="97124/97092"/>
    <n v="1264"/>
    <m/>
    <m/>
    <m/>
    <x v="512"/>
    <m/>
  </r>
  <r>
    <n v="500873"/>
    <x v="145"/>
    <s v="WHATS"/>
    <n v="95597"/>
    <n v="1008.75"/>
    <m/>
    <m/>
    <m/>
    <x v="512"/>
    <m/>
  </r>
  <r>
    <n v="784"/>
    <x v="13"/>
    <s v="EMAIL"/>
    <n v="96612"/>
    <n v="5589.66"/>
    <m/>
    <m/>
    <m/>
    <x v="512"/>
    <s v=" "/>
  </r>
  <r>
    <n v="874"/>
    <x v="53"/>
    <s v="WHATS"/>
    <n v="97113"/>
    <n v="3971.4"/>
    <m/>
    <m/>
    <m/>
    <x v="512"/>
    <m/>
  </r>
  <r>
    <n v="2980"/>
    <x v="40"/>
    <s v="WHATS"/>
    <s v="103118/97121"/>
    <n v="916.1"/>
    <m/>
    <m/>
    <m/>
    <x v="512"/>
    <m/>
  </r>
  <r>
    <n v="1616"/>
    <x v="83"/>
    <s v="WHATS"/>
    <n v="96698"/>
    <n v="1109"/>
    <m/>
    <m/>
    <m/>
    <x v="512"/>
    <m/>
  </r>
  <r>
    <n v="475"/>
    <x v="23"/>
    <s v="WHATS"/>
    <s v="96648/103124"/>
    <n v="7058.08"/>
    <m/>
    <m/>
    <m/>
    <x v="512"/>
    <m/>
  </r>
  <r>
    <n v="572"/>
    <x v="51"/>
    <s v="WHATS"/>
    <n v="96570"/>
    <n v="1100.23"/>
    <m/>
    <m/>
    <m/>
    <x v="513"/>
    <m/>
  </r>
  <r>
    <n v="575"/>
    <x v="45"/>
    <s v="WHATS"/>
    <n v="97179"/>
    <n v="622.86"/>
    <m/>
    <m/>
    <m/>
    <x v="513"/>
    <m/>
  </r>
  <r>
    <n v="746"/>
    <x v="3"/>
    <s v="WHATS"/>
    <s v="97182/103131"/>
    <n v="2702.6"/>
    <m/>
    <m/>
    <m/>
    <x v="513"/>
    <m/>
  </r>
  <r>
    <n v="501035"/>
    <x v="155"/>
    <s v="WHATS"/>
    <n v="96728"/>
    <n v="4495.95"/>
    <m/>
    <m/>
    <m/>
    <x v="513"/>
    <m/>
  </r>
  <r>
    <n v="501079"/>
    <x v="155"/>
    <s v="WHATS"/>
    <n v="96811"/>
    <n v="2962.76"/>
    <m/>
    <m/>
    <m/>
    <x v="513"/>
    <m/>
  </r>
  <r>
    <n v="501054"/>
    <x v="155"/>
    <s v="WHATS"/>
    <n v="96707"/>
    <n v="6754.58"/>
    <m/>
    <m/>
    <m/>
    <x v="513"/>
    <m/>
  </r>
  <r>
    <n v="500507"/>
    <x v="148"/>
    <s v="WHATS"/>
    <n v="96310"/>
    <n v="3614.61"/>
    <m/>
    <m/>
    <m/>
    <x v="513"/>
    <m/>
  </r>
  <r>
    <n v="501070"/>
    <x v="155"/>
    <s v="WHATS"/>
    <n v="96533"/>
    <n v="3734.68"/>
    <m/>
    <m/>
    <m/>
    <x v="513"/>
    <m/>
  </r>
  <r>
    <n v="1905"/>
    <x v="107"/>
    <s v="WHATS"/>
    <n v="97207"/>
    <n v="389"/>
    <m/>
    <m/>
    <m/>
    <x v="513"/>
    <m/>
  </r>
  <r>
    <n v="501078"/>
    <x v="155"/>
    <s v="WHATS"/>
    <n v="97191"/>
    <n v="1947.67"/>
    <m/>
    <m/>
    <m/>
    <x v="513"/>
    <m/>
  </r>
  <r>
    <n v="1164"/>
    <x v="58"/>
    <s v="WHATS"/>
    <n v="96922"/>
    <n v="1203.79"/>
    <m/>
    <m/>
    <m/>
    <x v="513"/>
    <m/>
  </r>
  <r>
    <n v="51182"/>
    <x v="146"/>
    <s v="WHATS"/>
    <n v="97220"/>
    <n v="175"/>
    <m/>
    <m/>
    <m/>
    <x v="513"/>
    <s v="RUI VAI LEVAR SEXTA"/>
  </r>
  <r>
    <n v="432"/>
    <x v="43"/>
    <s v="WHATS"/>
    <n v="97228"/>
    <n v="2125.1799999999998"/>
    <m/>
    <m/>
    <m/>
    <x v="513"/>
    <m/>
  </r>
  <r>
    <n v="50465"/>
    <x v="96"/>
    <s v="WHATS"/>
    <n v="96275"/>
    <n v="2570.6999999999998"/>
    <m/>
    <m/>
    <m/>
    <x v="514"/>
    <m/>
  </r>
  <r>
    <n v="311"/>
    <x v="46"/>
    <s v="WHATS"/>
    <n v="97233"/>
    <n v="2070"/>
    <m/>
    <m/>
    <m/>
    <x v="514"/>
    <m/>
  </r>
  <r>
    <n v="408"/>
    <x v="142"/>
    <s v="EMAIL"/>
    <s v="97015/103101"/>
    <n v="2682.15"/>
    <m/>
    <m/>
    <m/>
    <x v="514"/>
    <m/>
  </r>
  <r>
    <n v="325"/>
    <x v="97"/>
    <s v="WHATS"/>
    <s v="97230/103142"/>
    <n v="2270.5500000000002"/>
    <m/>
    <m/>
    <m/>
    <x v="514"/>
    <m/>
  </r>
  <r>
    <n v="3017"/>
    <x v="62"/>
    <s v="WHATS"/>
    <n v="97250"/>
    <n v="874.26"/>
    <m/>
    <m/>
    <m/>
    <x v="514"/>
    <m/>
  </r>
  <r>
    <n v="3194"/>
    <x v="18"/>
    <s v="WHATS"/>
    <n v="97265"/>
    <n v="561"/>
    <m/>
    <m/>
    <m/>
    <x v="514"/>
    <m/>
  </r>
  <r>
    <n v="463"/>
    <x v="32"/>
    <s v="WHATS"/>
    <n v="97039"/>
    <n v="1047.2"/>
    <m/>
    <m/>
    <m/>
    <x v="511"/>
    <m/>
  </r>
  <r>
    <n v="905"/>
    <x v="72"/>
    <s v="TELEFONE"/>
    <s v="103099/97037"/>
    <n v="1489.9"/>
    <m/>
    <m/>
    <m/>
    <x v="511"/>
    <m/>
  </r>
  <r>
    <n v="50558"/>
    <x v="2"/>
    <s v="WHATS"/>
    <n v="96615"/>
    <n v="3856"/>
    <m/>
    <m/>
    <m/>
    <x v="511"/>
    <m/>
  </r>
  <r>
    <n v="906"/>
    <x v="27"/>
    <s v="WHATS"/>
    <s v="103111/97085"/>
    <n v="1822.33"/>
    <m/>
    <m/>
    <m/>
    <x v="515"/>
    <m/>
  </r>
  <r>
    <n v="822"/>
    <x v="66"/>
    <s v="WHATS"/>
    <s v="103127/97173"/>
    <n v="2769.12"/>
    <m/>
    <m/>
    <m/>
    <x v="515"/>
    <m/>
  </r>
  <r>
    <n v="581"/>
    <x v="74"/>
    <s v="WHATS"/>
    <s v="97282/103150"/>
    <n v="2640.32"/>
    <m/>
    <m/>
    <m/>
    <x v="515"/>
    <m/>
  </r>
  <r>
    <n v="690"/>
    <x v="19"/>
    <s v="WHATS"/>
    <s v="103066/97373"/>
    <n v="2654.65"/>
    <m/>
    <m/>
    <m/>
    <x v="516"/>
    <m/>
  </r>
  <r>
    <n v="50554"/>
    <x v="20"/>
    <s v="WHATS"/>
    <s v="97342/103159"/>
    <n v="7591.7"/>
    <m/>
    <m/>
    <m/>
    <x v="516"/>
    <m/>
  </r>
  <r>
    <n v="2006"/>
    <x v="159"/>
    <s v="WHATS"/>
    <n v="97396"/>
    <n v="1632"/>
    <m/>
    <m/>
    <m/>
    <x v="516"/>
    <m/>
  </r>
  <r>
    <n v="2955"/>
    <x v="82"/>
    <s v="WHATS"/>
    <n v="94437"/>
    <n v="3712.8"/>
    <m/>
    <m/>
    <m/>
    <x v="517"/>
    <m/>
  </r>
  <r>
    <n v="2199"/>
    <x v="132"/>
    <s v="WHATS"/>
    <n v="97416"/>
    <n v="2800"/>
    <m/>
    <m/>
    <m/>
    <x v="517"/>
    <m/>
  </r>
  <r>
    <n v="761"/>
    <x v="24"/>
    <s v="WHATS"/>
    <s v="103065/96820"/>
    <n v="4702.84"/>
    <m/>
    <m/>
    <m/>
    <x v="517"/>
    <m/>
  </r>
  <r>
    <n v="516"/>
    <x v="11"/>
    <s v="WHATS"/>
    <n v="96762"/>
    <n v="1902"/>
    <m/>
    <m/>
    <m/>
    <x v="517"/>
    <m/>
  </r>
  <r>
    <n v="480"/>
    <x v="39"/>
    <s v="WHATS"/>
    <s v="103182 /97442"/>
    <n v="3671"/>
    <m/>
    <m/>
    <m/>
    <x v="517"/>
    <m/>
  </r>
  <r>
    <n v="412"/>
    <x v="90"/>
    <s v="WHATS"/>
    <s v="97383/103176"/>
    <n v="1433.5"/>
    <m/>
    <m/>
    <m/>
    <x v="517"/>
    <m/>
  </r>
  <r>
    <n v="51042"/>
    <x v="106"/>
    <s v="WHATS"/>
    <n v="97307"/>
    <n v="275.89999999999998"/>
    <m/>
    <m/>
    <m/>
    <x v="518"/>
    <m/>
  </r>
  <r>
    <n v="3153"/>
    <x v="12"/>
    <s v="WHATS"/>
    <n v="97088"/>
    <n v="1592.8"/>
    <m/>
    <m/>
    <m/>
    <x v="518"/>
    <m/>
  </r>
  <r>
    <n v="784"/>
    <x v="13"/>
    <s v="WHATS"/>
    <n v="97243"/>
    <n v="225"/>
    <m/>
    <m/>
    <m/>
    <x v="518"/>
    <m/>
  </r>
  <r>
    <n v="663"/>
    <x v="116"/>
    <s v="WHATS"/>
    <s v="97345 /103155"/>
    <n v="509.55"/>
    <m/>
    <m/>
    <m/>
    <x v="518"/>
    <m/>
  </r>
  <r>
    <n v="1971"/>
    <x v="29"/>
    <s v="WHATS"/>
    <n v="97483"/>
    <n v="389"/>
    <m/>
    <m/>
    <m/>
    <x v="518"/>
    <m/>
  </r>
  <r>
    <n v="2022"/>
    <x v="28"/>
    <s v="WHATS"/>
    <n v="96982"/>
    <n v="820.19"/>
    <m/>
    <m/>
    <m/>
    <x v="518"/>
    <m/>
  </r>
  <r>
    <n v="1533"/>
    <x v="50"/>
    <s v="WHATS"/>
    <n v="97422"/>
    <n v="785.08"/>
    <m/>
    <m/>
    <m/>
    <x v="518"/>
    <m/>
  </r>
  <r>
    <n v="1234"/>
    <x v="153"/>
    <s v="WHATS"/>
    <n v="97490"/>
    <n v="715.8"/>
    <m/>
    <m/>
    <m/>
    <x v="518"/>
    <m/>
  </r>
  <r>
    <n v="2702"/>
    <x v="73"/>
    <s v="WHATS"/>
    <n v="97381"/>
    <n v="550"/>
    <m/>
    <m/>
    <m/>
    <x v="518"/>
    <m/>
  </r>
  <r>
    <n v="500873"/>
    <x v="145"/>
    <s v="WHATS"/>
    <s v="103180/97499"/>
    <n v="481.62"/>
    <m/>
    <m/>
    <m/>
    <x v="518"/>
    <m/>
  </r>
  <r>
    <n v="412"/>
    <x v="90"/>
    <s v="WHATS"/>
    <n v="97515"/>
    <n v="720.46"/>
    <m/>
    <m/>
    <m/>
    <x v="518"/>
    <m/>
  </r>
  <r>
    <n v="708"/>
    <x v="56"/>
    <s v="WHATS"/>
    <n v="97376"/>
    <n v="2449.8000000000002"/>
    <m/>
    <m/>
    <m/>
    <x v="519"/>
    <m/>
  </r>
  <r>
    <n v="1026"/>
    <x v="7"/>
    <s v="WHATS"/>
    <n v="97563"/>
    <n v="1575.8"/>
    <m/>
    <m/>
    <m/>
    <x v="519"/>
    <m/>
  </r>
  <r>
    <n v="500243"/>
    <x v="110"/>
    <s v="WHATS"/>
    <n v="97548"/>
    <n v="809.3"/>
    <m/>
    <m/>
    <m/>
    <x v="519"/>
    <m/>
  </r>
  <r>
    <n v="761"/>
    <x v="24"/>
    <s v="WHATS"/>
    <s v="103179/97552"/>
    <n v="14566.45"/>
    <m/>
    <m/>
    <m/>
    <x v="519"/>
    <m/>
  </r>
  <r>
    <n v="2199"/>
    <x v="132"/>
    <s v="WHATS"/>
    <s v="103189/97580"/>
    <n v="1323.7"/>
    <m/>
    <m/>
    <m/>
    <x v="520"/>
    <m/>
  </r>
  <r>
    <n v="784"/>
    <x v="13"/>
    <s v="WHATS"/>
    <n v="97625"/>
    <n v="2520"/>
    <m/>
    <m/>
    <m/>
    <x v="521"/>
    <m/>
  </r>
  <r>
    <n v="500149"/>
    <x v="94"/>
    <s v="WHATS"/>
    <n v="97512"/>
    <n v="1234.42"/>
    <m/>
    <m/>
    <m/>
    <x v="521"/>
    <m/>
  </r>
  <r>
    <n v="475"/>
    <x v="23"/>
    <s v="EMAIL"/>
    <s v="103125/96906"/>
    <n v="18522.82"/>
    <m/>
    <m/>
    <m/>
    <x v="522"/>
    <m/>
  </r>
  <r>
    <n v="1122"/>
    <x v="87"/>
    <s v="WHATS"/>
    <n v="96702"/>
    <n v="2361.38"/>
    <m/>
    <m/>
    <m/>
    <x v="522"/>
    <m/>
  </r>
  <r>
    <n v="620"/>
    <x v="69"/>
    <s v="WHATS"/>
    <n v="97656"/>
    <n v="959.35"/>
    <m/>
    <m/>
    <m/>
    <x v="522"/>
    <m/>
  </r>
  <r>
    <n v="2199"/>
    <x v="132"/>
    <s v="WHATS"/>
    <n v="97684"/>
    <n v="3105.45"/>
    <m/>
    <m/>
    <m/>
    <x v="522"/>
    <s v="valor esta parcial"/>
  </r>
  <r>
    <n v="762"/>
    <x v="41"/>
    <s v="WHATS"/>
    <n v="97679"/>
    <n v="1641"/>
    <m/>
    <m/>
    <m/>
    <x v="522"/>
    <m/>
  </r>
  <r>
    <n v="2397"/>
    <x v="6"/>
    <s v="WHATS"/>
    <n v="97620"/>
    <n v="1335.3"/>
    <m/>
    <m/>
    <m/>
    <x v="522"/>
    <m/>
  </r>
  <r>
    <n v="1616"/>
    <x v="83"/>
    <s v="WHATS"/>
    <n v="103205"/>
    <n v="311"/>
    <m/>
    <m/>
    <m/>
    <x v="522"/>
    <m/>
  </r>
  <r>
    <n v="906"/>
    <x v="27"/>
    <s v="WHATS"/>
    <n v="97692"/>
    <n v="849.5"/>
    <m/>
    <m/>
    <m/>
    <x v="522"/>
    <s v="tem coluna"/>
  </r>
  <r>
    <n v="1164"/>
    <x v="58"/>
    <s v="WHATS"/>
    <s v="103206/97612"/>
    <n v="1356.79"/>
    <m/>
    <m/>
    <m/>
    <x v="523"/>
    <m/>
  </r>
  <r>
    <n v="708"/>
    <x v="56"/>
    <s v="EMAIL"/>
    <n v="97713"/>
    <n v="4740"/>
    <m/>
    <m/>
    <m/>
    <x v="523"/>
    <m/>
  </r>
  <r>
    <n v="50576"/>
    <x v="37"/>
    <s v="WHATS"/>
    <s v="103209/97660"/>
    <n v="867.1"/>
    <m/>
    <m/>
    <m/>
    <x v="523"/>
    <m/>
  </r>
  <r>
    <n v="1240"/>
    <x v="25"/>
    <s v="WHATS"/>
    <n v="97404"/>
    <n v="1075.5"/>
    <m/>
    <m/>
    <m/>
    <x v="523"/>
    <m/>
  </r>
  <r>
    <n v="731"/>
    <x v="4"/>
    <s v="WHATS"/>
    <n v="97726"/>
    <n v="83.25"/>
    <m/>
    <m/>
    <m/>
    <x v="523"/>
    <m/>
  </r>
  <r>
    <n v="1989"/>
    <x v="67"/>
    <s v="WHATS"/>
    <n v="97101"/>
    <n v="616"/>
    <m/>
    <m/>
    <m/>
    <x v="523"/>
    <m/>
  </r>
  <r>
    <n v="516"/>
    <x v="11"/>
    <s v="WHATS"/>
    <n v="96925"/>
    <n v="10278.4"/>
    <m/>
    <m/>
    <m/>
    <x v="523"/>
    <m/>
  </r>
  <r>
    <n v="500243"/>
    <x v="110"/>
    <s v="WHATS"/>
    <n v="97748"/>
    <n v="3019.23"/>
    <m/>
    <m/>
    <m/>
    <x v="524"/>
    <m/>
  </r>
  <r>
    <n v="50554"/>
    <x v="20"/>
    <s v="WHATS"/>
    <n v="97100"/>
    <n v="189"/>
    <m/>
    <m/>
    <m/>
    <x v="524"/>
    <m/>
  </r>
  <r>
    <n v="1533"/>
    <x v="50"/>
    <s v="WHATS"/>
    <n v="97791"/>
    <n v="1032.8"/>
    <m/>
    <m/>
    <m/>
    <x v="524"/>
    <m/>
  </r>
  <r>
    <n v="501054"/>
    <x v="155"/>
    <s v="WHATS"/>
    <n v="97163"/>
    <n v="452.7"/>
    <m/>
    <m/>
    <m/>
    <x v="525"/>
    <m/>
  </r>
  <r>
    <n v="501079"/>
    <x v="155"/>
    <s v="WHATS"/>
    <n v="97186"/>
    <n v="332.7"/>
    <m/>
    <m/>
    <m/>
    <x v="525"/>
    <m/>
  </r>
  <r>
    <n v="501078"/>
    <x v="155"/>
    <s v="WHATS"/>
    <n v="97194"/>
    <n v="111.9"/>
    <m/>
    <m/>
    <m/>
    <x v="525"/>
    <m/>
  </r>
  <r>
    <n v="1971"/>
    <x v="29"/>
    <s v="WHATS"/>
    <n v="97809"/>
    <n v="778"/>
    <m/>
    <m/>
    <m/>
    <x v="525"/>
    <m/>
  </r>
  <r>
    <n v="474"/>
    <x v="98"/>
    <s v="WHATS"/>
    <s v="103226/97816"/>
    <n v="360.05"/>
    <m/>
    <m/>
    <m/>
    <x v="525"/>
    <m/>
  </r>
  <r>
    <n v="823"/>
    <x v="17"/>
    <s v="WHATS"/>
    <s v="103071/96889"/>
    <n v="6631.98"/>
    <m/>
    <m/>
    <m/>
    <x v="525"/>
    <m/>
  </r>
  <r>
    <n v="690"/>
    <x v="19"/>
    <s v="WHATS"/>
    <n v="97694"/>
    <n v="880"/>
    <m/>
    <m/>
    <m/>
    <x v="525"/>
    <m/>
  </r>
  <r>
    <n v="761"/>
    <x v="24"/>
    <s v="WHATS"/>
    <s v="103225/97800"/>
    <n v="2906.25"/>
    <m/>
    <m/>
    <m/>
    <x v="525"/>
    <m/>
  </r>
  <r>
    <n v="311"/>
    <x v="46"/>
    <s v="WHATS"/>
    <n v="97853"/>
    <n v="7957.85"/>
    <m/>
    <m/>
    <m/>
    <x v="525"/>
    <m/>
  </r>
  <r>
    <n v="500845"/>
    <x v="160"/>
    <s v="WHATS"/>
    <n v="97859"/>
    <n v="9400"/>
    <m/>
    <m/>
    <m/>
    <x v="525"/>
    <m/>
  </r>
  <r>
    <n v="2752"/>
    <x v="120"/>
    <s v="WHATS"/>
    <n v="97833"/>
    <n v="407.55"/>
    <m/>
    <m/>
    <m/>
    <x v="525"/>
    <m/>
  </r>
  <r>
    <n v="3190"/>
    <x v="60"/>
    <s v="WHATS"/>
    <n v="97222"/>
    <n v="1442.8"/>
    <m/>
    <m/>
    <m/>
    <x v="526"/>
    <m/>
  </r>
  <r>
    <n v="501079"/>
    <x v="155"/>
    <s v="WHATS"/>
    <n v="97186"/>
    <n v="592.20000000000005"/>
    <m/>
    <m/>
    <m/>
    <x v="526"/>
    <m/>
  </r>
  <r>
    <n v="2702"/>
    <x v="73"/>
    <s v="WHATS"/>
    <n v="97832"/>
    <n v="1001"/>
    <m/>
    <m/>
    <m/>
    <x v="526"/>
    <m/>
  </r>
  <r>
    <n v="432"/>
    <x v="43"/>
    <s v="WHATS"/>
    <s v="97828/103218"/>
    <n v="981.15"/>
    <m/>
    <m/>
    <m/>
    <x v="526"/>
    <m/>
  </r>
  <r>
    <n v="463"/>
    <x v="32"/>
    <s v="WHATS"/>
    <n v="97900"/>
    <n v="544.9"/>
    <m/>
    <m/>
    <m/>
    <x v="526"/>
    <m/>
  </r>
  <r>
    <n v="50861"/>
    <x v="133"/>
    <s v="WHATS"/>
    <n v="97902"/>
    <n v="374.55"/>
    <m/>
    <m/>
    <m/>
    <x v="526"/>
    <m/>
  </r>
  <r>
    <n v="3557"/>
    <x v="139"/>
    <s v="WHATS"/>
    <n v="97931"/>
    <n v="7350"/>
    <m/>
    <m/>
    <m/>
    <x v="526"/>
    <m/>
  </r>
  <r>
    <n v="3105"/>
    <x v="161"/>
    <s v="WHATS"/>
    <n v="97348"/>
    <m/>
    <m/>
    <n v="4690"/>
    <m/>
    <x v="527"/>
    <m/>
  </r>
  <r>
    <n v="412"/>
    <x v="90"/>
    <s v="WHATS"/>
    <n v="97934"/>
    <n v="1668.26"/>
    <m/>
    <m/>
    <m/>
    <x v="527"/>
    <m/>
  </r>
  <r>
    <n v="705"/>
    <x v="1"/>
    <s v="WHATS"/>
    <n v="97956"/>
    <n v="400"/>
    <m/>
    <m/>
    <m/>
    <x v="527"/>
    <m/>
  </r>
  <r>
    <n v="1493"/>
    <x v="21"/>
    <s v="TELEFONE"/>
    <n v="97976"/>
    <n v="787.93"/>
    <m/>
    <m/>
    <m/>
    <x v="528"/>
    <m/>
  </r>
  <r>
    <n v="51175"/>
    <x v="79"/>
    <s v="WHATS"/>
    <n v="97977"/>
    <n v="78.5"/>
    <m/>
    <m/>
    <m/>
    <x v="528"/>
    <m/>
  </r>
  <r>
    <n v="572"/>
    <x v="51"/>
    <s v="WHATS"/>
    <n v="97987"/>
    <n v="710"/>
    <m/>
    <m/>
    <m/>
    <x v="528"/>
    <m/>
  </r>
  <r>
    <n v="1122"/>
    <x v="87"/>
    <s v="EMAIL"/>
    <n v="97663"/>
    <n v="3237.7"/>
    <m/>
    <m/>
    <m/>
    <x v="528"/>
    <m/>
  </r>
  <r>
    <n v="2911"/>
    <x v="15"/>
    <s v="TEANS"/>
    <s v="103250/98004"/>
    <n v="2406.86"/>
    <m/>
    <m/>
    <m/>
    <x v="528"/>
    <m/>
  </r>
  <r>
    <n v="3017"/>
    <x v="62"/>
    <s v="WHATS"/>
    <n v="98009"/>
    <n v="1115.44"/>
    <m/>
    <m/>
    <m/>
    <x v="528"/>
    <m/>
  </r>
  <r>
    <n v="3105"/>
    <x v="161"/>
    <s v="WHATS"/>
    <n v="98012"/>
    <n v="593.6"/>
    <m/>
    <m/>
    <m/>
    <x v="528"/>
    <m/>
  </r>
  <r>
    <n v="2415"/>
    <x v="63"/>
    <s v="WHATS"/>
    <n v="98015"/>
    <n v="1410"/>
    <m/>
    <m/>
    <m/>
    <x v="528"/>
    <m/>
  </r>
  <r>
    <n v="2199"/>
    <x v="132"/>
    <s v="WHATS"/>
    <n v="97878"/>
    <n v="4774.05"/>
    <m/>
    <m/>
    <m/>
    <x v="529"/>
    <m/>
  </r>
  <r>
    <n v="960"/>
    <x v="30"/>
    <s v="WHATS"/>
    <s v="98041/103257"/>
    <n v="397.9"/>
    <m/>
    <m/>
    <m/>
    <x v="529"/>
    <m/>
  </r>
  <r>
    <n v="500873"/>
    <x v="145"/>
    <s v="WHATS"/>
    <s v="103256/98035"/>
    <n v="2607.73"/>
    <m/>
    <m/>
    <m/>
    <x v="529"/>
    <m/>
  </r>
  <r>
    <n v="1813"/>
    <x v="48"/>
    <s v="WHATS"/>
    <n v="98090"/>
    <n v="986"/>
    <m/>
    <m/>
    <m/>
    <x v="530"/>
    <m/>
  </r>
  <r>
    <n v="724"/>
    <x v="42"/>
    <s v="WHATS"/>
    <s v="103263/97668"/>
    <n v="366.29"/>
    <m/>
    <m/>
    <m/>
    <x v="530"/>
    <m/>
  </r>
  <r>
    <n v="2163"/>
    <x v="36"/>
    <s v="WHATS"/>
    <s v="98099/103265"/>
    <n v="2515.35"/>
    <m/>
    <m/>
    <m/>
    <x v="530"/>
    <m/>
  </r>
  <r>
    <n v="687"/>
    <x v="16"/>
    <s v="WHATS"/>
    <n v="98101"/>
    <n v="838"/>
    <m/>
    <m/>
    <m/>
    <x v="530"/>
    <m/>
  </r>
  <r>
    <n v="761"/>
    <x v="24"/>
    <s v="WHATS"/>
    <s v="103254/98100"/>
    <n v="5380.55"/>
    <m/>
    <m/>
    <m/>
    <x v="530"/>
    <m/>
  </r>
  <r>
    <n v="51061"/>
    <x v="138"/>
    <s v="PLATAFORMA"/>
    <n v="98112"/>
    <n v="316"/>
    <m/>
    <m/>
    <m/>
    <x v="530"/>
    <m/>
  </r>
  <r>
    <n v="3492"/>
    <x v="132"/>
    <s v="WHATS"/>
    <n v="98115"/>
    <n v="978.6"/>
    <m/>
    <m/>
    <m/>
    <x v="530"/>
    <m/>
  </r>
  <r>
    <n v="408"/>
    <x v="142"/>
    <s v="EMAIL"/>
    <n v="98085"/>
    <n v="2600.1"/>
    <m/>
    <m/>
    <m/>
    <x v="531"/>
    <m/>
  </r>
  <r>
    <n v="50418"/>
    <x v="35"/>
    <s v="WHATS"/>
    <n v="98102"/>
    <n v="1391.28"/>
    <m/>
    <m/>
    <m/>
    <x v="531"/>
    <m/>
  </r>
  <r>
    <n v="50185"/>
    <x v="105"/>
    <s v="WHATS"/>
    <n v="98126"/>
    <n v="738.65"/>
    <m/>
    <m/>
    <m/>
    <x v="531"/>
    <m/>
  </r>
  <r>
    <n v="708"/>
    <x v="56"/>
    <s v="WHATS"/>
    <n v="103271"/>
    <n v="161.74"/>
    <m/>
    <m/>
    <m/>
    <x v="531"/>
    <m/>
  </r>
  <r>
    <n v="762"/>
    <x v="41"/>
    <s v="WHATS"/>
    <n v="98113"/>
    <n v="2796"/>
    <m/>
    <m/>
    <m/>
    <x v="531"/>
    <m/>
  </r>
  <r>
    <n v="2980"/>
    <x v="40"/>
    <s v="WHATS"/>
    <n v="98092"/>
    <n v="979.42"/>
    <m/>
    <m/>
    <m/>
    <x v="531"/>
    <m/>
  </r>
  <r>
    <n v="171"/>
    <x v="70"/>
    <s v="WHATS"/>
    <n v="97755"/>
    <n v="4465.58"/>
    <m/>
    <m/>
    <m/>
    <x v="531"/>
    <m/>
  </r>
  <r>
    <n v="1164"/>
    <x v="58"/>
    <s v="WHATS"/>
    <s v="98160/103275"/>
    <n v="1498.49"/>
    <m/>
    <m/>
    <m/>
    <x v="531"/>
    <m/>
  </r>
  <r>
    <n v="618"/>
    <x v="26"/>
    <s v="WHATS"/>
    <s v="98185/103219"/>
    <n v="463"/>
    <m/>
    <m/>
    <m/>
    <x v="531"/>
    <m/>
  </r>
  <r>
    <n v="50465"/>
    <x v="96"/>
    <s v="WHATS"/>
    <n v="98190"/>
    <n v="3054.55"/>
    <m/>
    <m/>
    <m/>
    <x v="532"/>
    <m/>
  </r>
  <r>
    <n v="501070"/>
    <x v="155"/>
    <s v="WHATS"/>
    <n v="98134"/>
    <n v="3426.64"/>
    <m/>
    <m/>
    <m/>
    <x v="532"/>
    <m/>
  </r>
  <r>
    <n v="500507"/>
    <x v="148"/>
    <s v="WHATS"/>
    <n v="98132"/>
    <n v="2106.9299999999998"/>
    <m/>
    <m/>
    <m/>
    <x v="532"/>
    <m/>
  </r>
  <r>
    <n v="501054"/>
    <x v="155"/>
    <s v="WHATS"/>
    <n v="98136"/>
    <n v="2466.7600000000002"/>
    <m/>
    <m/>
    <m/>
    <x v="532"/>
    <m/>
  </r>
  <r>
    <n v="501078"/>
    <x v="155"/>
    <s v="WHATS"/>
    <n v="98129"/>
    <n v="256"/>
    <m/>
    <m/>
    <m/>
    <x v="532"/>
    <m/>
  </r>
  <r>
    <n v="501079"/>
    <x v="155"/>
    <s v="WHATS"/>
    <n v="98128"/>
    <n v="1845.24"/>
    <m/>
    <m/>
    <m/>
    <x v="532"/>
    <m/>
  </r>
  <r>
    <n v="500982"/>
    <x v="152"/>
    <s v="WHATS"/>
    <n v="98209"/>
    <n v="1032.2"/>
    <m/>
    <m/>
    <m/>
    <x v="532"/>
    <m/>
  </r>
  <r>
    <n v="620"/>
    <x v="69"/>
    <s v="WHATS"/>
    <n v="97771"/>
    <n v="781.75"/>
    <m/>
    <m/>
    <m/>
    <x v="532"/>
    <m/>
  </r>
  <r>
    <n v="687"/>
    <x v="16"/>
    <s v="WHATS"/>
    <n v="98215"/>
    <n v="452.4"/>
    <m/>
    <m/>
    <m/>
    <x v="532"/>
    <m/>
  </r>
  <r>
    <n v="50554"/>
    <x v="20"/>
    <s v="WHATS"/>
    <n v="103215"/>
    <n v="67.2"/>
    <m/>
    <m/>
    <m/>
    <x v="532"/>
    <m/>
  </r>
  <r>
    <n v="434"/>
    <x v="134"/>
    <s v="WHATS"/>
    <n v="103282"/>
    <n v="481.65"/>
    <m/>
    <m/>
    <m/>
    <x v="532"/>
    <m/>
  </r>
  <r>
    <n v="412"/>
    <x v="90"/>
    <s v="WHATS"/>
    <n v="98229"/>
    <n v="1312.2"/>
    <m/>
    <m/>
    <m/>
    <x v="532"/>
    <m/>
  </r>
  <r>
    <n v="3017"/>
    <x v="62"/>
    <s v="WHATS"/>
    <n v="98242"/>
    <n v="904.95"/>
    <m/>
    <m/>
    <m/>
    <x v="532"/>
    <m/>
  </r>
  <r>
    <n v="500005"/>
    <x v="102"/>
    <s v="WHATS"/>
    <n v="98237"/>
    <n v="59.64"/>
    <m/>
    <m/>
    <m/>
    <x v="533"/>
    <m/>
  </r>
  <r>
    <n v="311"/>
    <x v="46"/>
    <s v="WHATS"/>
    <n v="98251"/>
    <n v="7200"/>
    <m/>
    <m/>
    <m/>
    <x v="532"/>
    <m/>
  </r>
  <r>
    <n v="3018"/>
    <x v="64"/>
    <s v="WHATS"/>
    <s v="98230/103284"/>
    <n v="446"/>
    <m/>
    <m/>
    <m/>
    <x v="532"/>
    <m/>
  </r>
  <r>
    <n v="3190"/>
    <x v="60"/>
    <s v="WHATS"/>
    <n v="98257"/>
    <n v="597.38"/>
    <m/>
    <m/>
    <m/>
    <x v="532"/>
    <m/>
  </r>
  <r>
    <n v="2702"/>
    <x v="73"/>
    <s v="WHATS"/>
    <n v="98272"/>
    <n v="2067"/>
    <m/>
    <m/>
    <m/>
    <x v="534"/>
    <m/>
  </r>
  <r>
    <n v="475"/>
    <x v="23"/>
    <s v="WHATS"/>
    <s v="103255/96605"/>
    <n v="11581.2"/>
    <m/>
    <m/>
    <m/>
    <x v="534"/>
    <m/>
  </r>
  <r>
    <n v="500005"/>
    <x v="102"/>
    <s v="WHATS"/>
    <n v="97883"/>
    <n v="4668.8500000000004"/>
    <m/>
    <m/>
    <m/>
    <x v="534"/>
    <m/>
  </r>
  <r>
    <n v="500005"/>
    <x v="102"/>
    <s v="WHATS"/>
    <n v="97922"/>
    <n v="5146.3999999999996"/>
    <m/>
    <m/>
    <m/>
    <x v="534"/>
    <m/>
  </r>
  <r>
    <n v="500005"/>
    <x v="102"/>
    <s v="WHATS"/>
    <n v="97866"/>
    <n v="2580"/>
    <m/>
    <m/>
    <m/>
    <x v="534"/>
    <m/>
  </r>
  <r>
    <n v="687"/>
    <x v="16"/>
    <s v="WHATS"/>
    <n v="98215"/>
    <n v="452.4"/>
    <m/>
    <m/>
    <m/>
    <x v="534"/>
    <m/>
  </r>
  <r>
    <n v="3153"/>
    <x v="12"/>
    <s v="WHATS"/>
    <n v="98284"/>
    <n v="3143.7"/>
    <m/>
    <m/>
    <m/>
    <x v="534"/>
    <m/>
  </r>
  <r>
    <n v="2199"/>
    <x v="132"/>
    <s v="PLATAFORMA"/>
    <n v="103190"/>
    <n v="688.7"/>
    <m/>
    <m/>
    <m/>
    <x v="534"/>
    <m/>
  </r>
  <r>
    <n v="311"/>
    <x v="46"/>
    <s v="WHATS"/>
    <n v="103285"/>
    <n v="1416.35"/>
    <m/>
    <m/>
    <m/>
    <x v="534"/>
    <m/>
  </r>
  <r>
    <n v="50219"/>
    <x v="14"/>
    <s v="WHATS"/>
    <n v="98300"/>
    <n v="2835.05"/>
    <m/>
    <m/>
    <m/>
    <x v="535"/>
    <m/>
  </r>
  <r>
    <n v="501079"/>
    <x v="155"/>
    <s v="WHATS"/>
    <n v="98313"/>
    <n v="2696.5"/>
    <m/>
    <m/>
    <m/>
    <x v="535"/>
    <m/>
  </r>
  <r>
    <n v="761"/>
    <x v="24"/>
    <s v="WHATS"/>
    <s v="103297/97617"/>
    <n v="19891.79"/>
    <m/>
    <m/>
    <m/>
    <x v="535"/>
    <m/>
  </r>
  <r>
    <n v="980"/>
    <x v="80"/>
    <s v="WHATS"/>
    <n v="98203"/>
    <n v="261.17"/>
    <m/>
    <m/>
    <m/>
    <x v="536"/>
    <m/>
  </r>
  <r>
    <n v="50861"/>
    <x v="133"/>
    <s v="WHATS"/>
    <n v="98426"/>
    <n v="778"/>
    <m/>
    <m/>
    <m/>
    <x v="536"/>
    <m/>
  </r>
  <r>
    <n v="705"/>
    <x v="1"/>
    <s v="WHATS"/>
    <s v="98409/103311"/>
    <n v="615.70000000000005"/>
    <m/>
    <m/>
    <m/>
    <x v="536"/>
    <m/>
  </r>
  <r>
    <n v="746"/>
    <x v="3"/>
    <s v="WHATS"/>
    <s v="103317/98416"/>
    <n v="2550.2600000000002"/>
    <m/>
    <m/>
    <m/>
    <x v="536"/>
    <m/>
  </r>
  <r>
    <n v="618"/>
    <x v="26"/>
    <s v="WHATS"/>
    <n v="103308"/>
    <n v="327.75"/>
    <m/>
    <m/>
    <m/>
    <x v="536"/>
    <m/>
  </r>
  <r>
    <n v="501153"/>
    <x v="162"/>
    <s v="WHATS"/>
    <s v="98343/103302"/>
    <n v="6418.89"/>
    <m/>
    <m/>
    <m/>
    <x v="537"/>
    <m/>
  </r>
  <r>
    <n v="1493"/>
    <x v="21"/>
    <s v="WHATS"/>
    <n v="98150"/>
    <n v="528.74"/>
    <m/>
    <m/>
    <m/>
    <x v="537"/>
    <m/>
  </r>
  <r>
    <n v="501079"/>
    <x v="155"/>
    <s v="WHATS"/>
    <n v="98451"/>
    <n v="827.75"/>
    <m/>
    <m/>
    <m/>
    <x v="537"/>
    <m/>
  </r>
  <r>
    <n v="3194"/>
    <x v="18"/>
    <s v="WHATS"/>
    <n v="98447"/>
    <n v="961.44"/>
    <m/>
    <m/>
    <m/>
    <x v="537"/>
    <m/>
  </r>
  <r>
    <n v="501153"/>
    <x v="162"/>
    <s v="WHATS"/>
    <n v="98464"/>
    <n v="559"/>
    <m/>
    <m/>
    <m/>
    <x v="537"/>
    <m/>
  </r>
  <r>
    <n v="690"/>
    <x v="19"/>
    <s v="WHATS"/>
    <s v="97693/103326"/>
    <n v="2946.43"/>
    <m/>
    <m/>
    <m/>
    <x v="537"/>
    <m/>
  </r>
  <r>
    <n v="480"/>
    <x v="39"/>
    <s v="WHATS"/>
    <n v="97942"/>
    <n v="1281"/>
    <m/>
    <m/>
    <m/>
    <x v="537"/>
    <m/>
  </r>
  <r>
    <n v="1533"/>
    <x v="50"/>
    <s v="WHATS"/>
    <s v="98445/103329"/>
    <n v="303"/>
    <m/>
    <m/>
    <m/>
    <x v="537"/>
    <m/>
  </r>
  <r>
    <n v="1016"/>
    <x v="101"/>
    <s v="WHATS"/>
    <s v="103328/98477"/>
    <n v="3564.45"/>
    <m/>
    <m/>
    <m/>
    <x v="537"/>
    <m/>
  </r>
  <r>
    <n v="432"/>
    <x v="43"/>
    <s v="WHATS"/>
    <n v="97828"/>
    <n v="804.35"/>
    <m/>
    <m/>
    <m/>
    <x v="537"/>
    <m/>
  </r>
  <r>
    <n v="1026"/>
    <x v="7"/>
    <s v="WHATS"/>
    <n v="98497"/>
    <n v="1954.78"/>
    <m/>
    <m/>
    <m/>
    <x v="537"/>
    <m/>
  </r>
  <r>
    <n v="2199"/>
    <x v="132"/>
    <s v="PLATAFORMA"/>
    <s v="98039/98496/103333"/>
    <n v="12118.25"/>
    <m/>
    <m/>
    <m/>
    <x v="538"/>
    <s v="ENVIADO PARCIAL"/>
  </r>
  <r>
    <n v="2199"/>
    <x v="132"/>
    <s v="PLATAFORMA"/>
    <n v="98319"/>
    <n v="890"/>
    <m/>
    <m/>
    <m/>
    <x v="538"/>
    <m/>
  </r>
  <r>
    <n v="2199"/>
    <x v="132"/>
    <s v="PLATAFORMA"/>
    <n v="98583"/>
    <n v="968"/>
    <m/>
    <m/>
    <m/>
    <x v="538"/>
    <m/>
  </r>
  <r>
    <n v="3017"/>
    <x v="62"/>
    <s v="WHATS"/>
    <n v="98016"/>
    <n v="1082.24"/>
    <m/>
    <m/>
    <m/>
    <x v="539"/>
    <m/>
  </r>
  <r>
    <n v="1277"/>
    <x v="94"/>
    <s v="WHATS"/>
    <n v="98526"/>
    <n v="2660"/>
    <m/>
    <m/>
    <m/>
    <x v="539"/>
    <m/>
  </r>
  <r>
    <n v="1616"/>
    <x v="83"/>
    <s v="WHATS"/>
    <n v="98533"/>
    <n v="440.4"/>
    <m/>
    <m/>
    <m/>
    <x v="539"/>
    <m/>
  </r>
  <r>
    <n v="725"/>
    <x v="65"/>
    <s v="WHATS"/>
    <n v="98534"/>
    <n v="366.95"/>
    <m/>
    <m/>
    <m/>
    <x v="540"/>
    <m/>
  </r>
  <r>
    <n v="434"/>
    <x v="134"/>
    <s v="WHATS"/>
    <n v="98530"/>
    <n v="2589.69"/>
    <m/>
    <m/>
    <m/>
    <x v="540"/>
    <m/>
  </r>
  <r>
    <n v="171"/>
    <x v="70"/>
    <s v="WHATS"/>
    <n v="97888"/>
    <n v="2888.4"/>
    <m/>
    <m/>
    <m/>
    <x v="540"/>
    <m/>
  </r>
  <r>
    <n v="501160"/>
    <x v="94"/>
    <s v="WHATS"/>
    <n v="98559"/>
    <n v="4662.6000000000004"/>
    <m/>
    <m/>
    <m/>
    <x v="540"/>
    <m/>
  </r>
  <r>
    <n v="708"/>
    <x v="56"/>
    <s v="WHATS"/>
    <n v="98563"/>
    <n v="1653.83"/>
    <m/>
    <m/>
    <m/>
    <x v="540"/>
    <m/>
  </r>
  <r>
    <n v="823"/>
    <x v="17"/>
    <s v="WHATS"/>
    <n v="97830"/>
    <n v="1368"/>
    <m/>
    <m/>
    <m/>
    <x v="540"/>
    <m/>
  </r>
  <r>
    <n v="1234"/>
    <x v="153"/>
    <s v="WHATS"/>
    <n v="98431"/>
    <n v="550.6"/>
    <m/>
    <m/>
    <m/>
    <x v="540"/>
    <m/>
  </r>
  <r>
    <n v="325"/>
    <x v="97"/>
    <s v="WHATS"/>
    <n v="98568"/>
    <n v="728"/>
    <m/>
    <m/>
    <m/>
    <x v="540"/>
    <m/>
  </r>
  <r>
    <n v="581"/>
    <x v="74"/>
    <s v="WHATS"/>
    <s v="103330/98579"/>
    <n v="2930.15"/>
    <m/>
    <m/>
    <m/>
    <x v="540"/>
    <m/>
  </r>
  <r>
    <n v="480"/>
    <x v="39"/>
    <s v="WHATS"/>
    <n v="98591"/>
    <n v="5346.67"/>
    <m/>
    <m/>
    <m/>
    <x v="538"/>
    <m/>
  </r>
  <r>
    <n v="1842"/>
    <x v="47"/>
    <s v="WHATS"/>
    <n v="98356"/>
    <n v="903.45"/>
    <m/>
    <m/>
    <m/>
    <x v="538"/>
    <m/>
  </r>
  <r>
    <n v="325"/>
    <x v="97"/>
    <s v="WHATS"/>
    <s v="103341/98589"/>
    <n v="1471.45"/>
    <m/>
    <m/>
    <m/>
    <x v="538"/>
    <m/>
  </r>
  <r>
    <n v="311"/>
    <x v="46"/>
    <s v="WHATS"/>
    <n v="98641"/>
    <n v="296"/>
    <m/>
    <m/>
    <m/>
    <x v="541"/>
    <m/>
  </r>
  <r>
    <n v="463"/>
    <x v="32"/>
    <s v="WHATS"/>
    <n v="98642"/>
    <n v="1059.75"/>
    <m/>
    <m/>
    <m/>
    <x v="541"/>
    <m/>
  </r>
  <r>
    <n v="311"/>
    <x v="46"/>
    <s v="WHATS"/>
    <n v="98685"/>
    <n v="320"/>
    <m/>
    <m/>
    <m/>
    <x v="541"/>
    <m/>
  </r>
  <r>
    <n v="501153"/>
    <x v="162"/>
    <s v="WHATS"/>
    <s v="103347/98393"/>
    <n v="378"/>
    <m/>
    <m/>
    <m/>
    <x v="542"/>
    <m/>
  </r>
  <r>
    <n v="1989"/>
    <x v="67"/>
    <s v="EMAIL"/>
    <n v="98392"/>
    <n v="616.03"/>
    <m/>
    <m/>
    <m/>
    <x v="542"/>
    <m/>
  </r>
  <r>
    <n v="761"/>
    <x v="24"/>
    <s v="WHATS"/>
    <n v="98704"/>
    <n v="6371.84"/>
    <m/>
    <m/>
    <m/>
    <x v="542"/>
    <m/>
  </r>
  <r>
    <n v="475"/>
    <x v="23"/>
    <s v="WHATS"/>
    <s v="103365/98695"/>
    <n v="12730.59"/>
    <m/>
    <m/>
    <m/>
    <x v="542"/>
    <m/>
  </r>
  <r>
    <n v="311"/>
    <x v="46"/>
    <s v="WHATS"/>
    <n v="98723"/>
    <m/>
    <m/>
    <n v="6480"/>
    <m/>
    <x v="543"/>
    <m/>
  </r>
  <r>
    <n v="500982"/>
    <x v="152"/>
    <s v="WHATS"/>
    <n v="98713"/>
    <n v="1189.95"/>
    <m/>
    <n v="6850"/>
    <m/>
    <x v="542"/>
    <s v="tem coluna"/>
  </r>
  <r>
    <n v="3190"/>
    <x v="60"/>
    <s v="WHATS"/>
    <s v="103349/98609"/>
    <n v="706.7"/>
    <m/>
    <m/>
    <m/>
    <x v="544"/>
    <m/>
  </r>
  <r>
    <n v="501156"/>
    <x v="163"/>
    <s v="EMAIL"/>
    <n v="98371"/>
    <n v="3920"/>
    <m/>
    <m/>
    <m/>
    <x v="544"/>
    <m/>
  </r>
  <r>
    <n v="3441"/>
    <x v="132"/>
    <s v="PLATAFORMA"/>
    <n v="98737"/>
    <n v="672"/>
    <m/>
    <m/>
    <m/>
    <x v="544"/>
    <m/>
  </r>
  <r>
    <n v="2415"/>
    <x v="63"/>
    <s v="WHATS"/>
    <n v="98745"/>
    <n v="648"/>
    <m/>
    <m/>
    <m/>
    <x v="544"/>
    <m/>
  </r>
  <r>
    <n v="2752"/>
    <x v="120"/>
    <s v="WHATS"/>
    <n v="98750"/>
    <n v="96"/>
    <m/>
    <m/>
    <m/>
    <x v="544"/>
    <m/>
  </r>
  <r>
    <n v="311"/>
    <x v="46"/>
    <s v="WHATS"/>
    <n v="103285"/>
    <n v="1732.95"/>
    <m/>
    <m/>
    <m/>
    <x v="544"/>
    <m/>
  </r>
  <r>
    <n v="663"/>
    <x v="116"/>
    <s v="WHATS"/>
    <s v="98756/103375"/>
    <n v="2539.4"/>
    <m/>
    <m/>
    <m/>
    <x v="544"/>
    <m/>
  </r>
  <r>
    <n v="50418"/>
    <x v="35"/>
    <s v="WHATS"/>
    <n v="98773"/>
    <n v="1282.8"/>
    <m/>
    <m/>
    <m/>
    <x v="544"/>
    <m/>
  </r>
  <r>
    <n v="51182"/>
    <x v="146"/>
    <s v="WHATS"/>
    <s v="98806/98786"/>
    <n v="557.79999999999995"/>
    <m/>
    <n v="1899"/>
    <m/>
    <x v="545"/>
    <m/>
  </r>
  <r>
    <n v="704"/>
    <x v="49"/>
    <s v="WHATS"/>
    <s v="96651/103299"/>
    <n v="1166.55"/>
    <m/>
    <m/>
    <m/>
    <x v="545"/>
    <m/>
  </r>
  <r>
    <n v="408"/>
    <x v="142"/>
    <s v="WHATS"/>
    <n v="98086"/>
    <n v="1540"/>
    <m/>
    <m/>
    <m/>
    <x v="546"/>
    <m/>
  </r>
  <r>
    <n v="1164"/>
    <x v="58"/>
    <s v="WHATS"/>
    <n v="98835"/>
    <n v="1714.09"/>
    <m/>
    <m/>
    <m/>
    <x v="546"/>
    <m/>
  </r>
  <r>
    <n v="761"/>
    <x v="24"/>
    <s v="WHATS"/>
    <n v="98297"/>
    <n v="3391.99"/>
    <m/>
    <m/>
    <m/>
    <x v="546"/>
    <m/>
  </r>
  <r>
    <n v="500243"/>
    <x v="110"/>
    <s v="WHATS"/>
    <n v="98443"/>
    <n v="922.11"/>
    <m/>
    <m/>
    <m/>
    <x v="547"/>
    <m/>
  </r>
  <r>
    <n v="2199"/>
    <x v="132"/>
    <s v="PLATAFORMA"/>
    <n v="98877"/>
    <m/>
    <m/>
    <n v="1450"/>
    <m/>
    <x v="547"/>
    <m/>
  </r>
  <r>
    <n v="874"/>
    <x v="53"/>
    <s v="WHATS"/>
    <n v="98891"/>
    <n v="3446.32"/>
    <m/>
    <m/>
    <m/>
    <x v="547"/>
    <m/>
  </r>
  <r>
    <n v="708"/>
    <x v="56"/>
    <s v="WHATS"/>
    <n v="98883"/>
    <n v="508"/>
    <m/>
    <m/>
    <m/>
    <x v="547"/>
    <m/>
  </r>
  <r>
    <n v="516"/>
    <x v="11"/>
    <s v="WHATS"/>
    <n v="98826"/>
    <n v="14222.29"/>
    <m/>
    <m/>
    <m/>
    <x v="547"/>
    <m/>
  </r>
  <r>
    <n v="620"/>
    <x v="69"/>
    <s v="WHATS"/>
    <s v="103398/98865"/>
    <n v="1449.15"/>
    <m/>
    <m/>
    <m/>
    <x v="547"/>
    <m/>
  </r>
  <r>
    <n v="3557"/>
    <x v="139"/>
    <s v="WHATS"/>
    <n v="98931"/>
    <n v="6250"/>
    <m/>
    <m/>
    <m/>
    <x v="548"/>
    <m/>
  </r>
  <r>
    <n v="412"/>
    <x v="90"/>
    <s v="WHATS"/>
    <n v="98931"/>
    <n v="655.07000000000005"/>
    <m/>
    <m/>
    <m/>
    <x v="548"/>
    <m/>
  </r>
  <r>
    <n v="2415"/>
    <x v="63"/>
    <s v="WHATS"/>
    <n v="98882"/>
    <n v="1118.2"/>
    <m/>
    <m/>
    <m/>
    <x v="548"/>
    <m/>
  </r>
  <r>
    <n v="2022"/>
    <x v="28"/>
    <s v="WHATS"/>
    <n v="98872"/>
    <n v="210.6"/>
    <m/>
    <m/>
    <m/>
    <x v="548"/>
    <m/>
  </r>
  <r>
    <n v="784"/>
    <x v="13"/>
    <s v="WHATS"/>
    <n v="98960"/>
    <n v="2948.2"/>
    <m/>
    <m/>
    <m/>
    <x v="548"/>
    <m/>
  </r>
  <r>
    <n v="761"/>
    <x v="24"/>
    <s v="WHATS"/>
    <n v="98988"/>
    <n v="21344.31"/>
    <m/>
    <m/>
    <m/>
    <x v="549"/>
    <m/>
  </r>
  <r>
    <n v="500982"/>
    <x v="152"/>
    <s v="WHATS"/>
    <n v="98982"/>
    <n v="1471.54"/>
    <m/>
    <m/>
    <m/>
    <x v="550"/>
    <m/>
  </r>
  <r>
    <n v="2199"/>
    <x v="132"/>
    <s v="WHATS"/>
    <n v="99012"/>
    <n v="2207"/>
    <m/>
    <m/>
    <m/>
    <x v="550"/>
    <m/>
  </r>
  <r>
    <n v="1493"/>
    <x v="21"/>
    <s v="WHATS"/>
    <n v="98456"/>
    <n v="712.8"/>
    <m/>
    <m/>
    <m/>
    <x v="551"/>
    <m/>
  </r>
  <r>
    <n v="2199"/>
    <x v="132"/>
    <s v="WHATS"/>
    <n v="99066"/>
    <n v="112"/>
    <m/>
    <m/>
    <m/>
    <x v="549"/>
    <m/>
  </r>
  <r>
    <n v="3492"/>
    <x v="132"/>
    <s v="PLATAFORMA"/>
    <s v="99073/99095"/>
    <n v="353.8"/>
    <m/>
    <m/>
    <m/>
    <x v="549"/>
    <m/>
  </r>
  <r>
    <n v="2199"/>
    <x v="132"/>
    <s v="WHATS"/>
    <n v="103437"/>
    <n v="115.5"/>
    <m/>
    <m/>
    <m/>
    <x v="549"/>
    <m/>
  </r>
  <r>
    <n v="1534"/>
    <x v="104"/>
    <s v="WHATS"/>
    <n v="99086"/>
    <n v="88"/>
    <m/>
    <m/>
    <m/>
    <x v="543"/>
    <m/>
  </r>
  <r>
    <n v="500005"/>
    <x v="102"/>
    <s v="WHATS"/>
    <n v="99102"/>
    <m/>
    <m/>
    <n v="4590"/>
    <m/>
    <x v="543"/>
    <m/>
  </r>
  <r>
    <n v="1813"/>
    <x v="48"/>
    <s v="WHATS"/>
    <n v="99109"/>
    <n v="1299.7"/>
    <m/>
    <m/>
    <m/>
    <x v="543"/>
    <m/>
  </r>
  <r>
    <n v="762"/>
    <x v="41"/>
    <s v="WHATS"/>
    <n v="98754"/>
    <n v="4121.1000000000004"/>
    <m/>
    <m/>
    <m/>
    <x v="552"/>
    <m/>
  </r>
  <r>
    <n v="50936"/>
    <x v="93"/>
    <s v="WHATS"/>
    <n v="99153"/>
    <n v="850"/>
    <m/>
    <m/>
    <m/>
    <x v="552"/>
    <m/>
  </r>
  <r>
    <n v="408"/>
    <x v="142"/>
    <s v="WHATS"/>
    <s v="103449/99149"/>
    <n v="2649.8"/>
    <m/>
    <m/>
    <m/>
    <x v="552"/>
    <m/>
  </r>
  <r>
    <n v="2911"/>
    <x v="15"/>
    <s v="WHATS"/>
    <s v="103435/99077"/>
    <n v="2532.1999999999998"/>
    <m/>
    <m/>
    <m/>
    <x v="553"/>
    <m/>
  </r>
  <r>
    <n v="1234"/>
    <x v="153"/>
    <s v="WHATS"/>
    <n v="99138"/>
    <n v="1049"/>
    <m/>
    <m/>
    <m/>
    <x v="552"/>
    <m/>
  </r>
  <r>
    <n v="1616"/>
    <x v="83"/>
    <s v="WHATS"/>
    <n v="99140"/>
    <n v="696"/>
    <m/>
    <m/>
    <m/>
    <x v="552"/>
    <m/>
  </r>
  <r>
    <n v="2980"/>
    <x v="40"/>
    <s v="WHATS"/>
    <s v="99143/103442"/>
    <n v="1494.17"/>
    <m/>
    <m/>
    <m/>
    <x v="552"/>
    <m/>
  </r>
  <r>
    <n v="906"/>
    <x v="27"/>
    <s v="WHATS"/>
    <s v="99104/103441"/>
    <n v="950.68"/>
    <m/>
    <m/>
    <m/>
    <x v="552"/>
    <m/>
  </r>
  <r>
    <n v="3240"/>
    <x v="75"/>
    <s v="WHATS"/>
    <s v="103446/99135"/>
    <n v="414"/>
    <m/>
    <m/>
    <m/>
    <x v="552"/>
    <m/>
  </r>
  <r>
    <n v="822"/>
    <x v="66"/>
    <s v="WHATS"/>
    <s v="99122/103445"/>
    <n v="3158.63"/>
    <m/>
    <m/>
    <m/>
    <x v="553"/>
    <m/>
  </r>
  <r>
    <n v="3492"/>
    <x v="132"/>
    <s v="WHATS"/>
    <n v="103434"/>
    <n v="96"/>
    <m/>
    <m/>
    <m/>
    <x v="553"/>
    <m/>
  </r>
  <r>
    <n v="2199"/>
    <x v="132"/>
    <s v="WHATS"/>
    <s v="103426/103461/99211"/>
    <n v="1306.3499999999999"/>
    <m/>
    <m/>
    <m/>
    <x v="553"/>
    <m/>
  </r>
  <r>
    <n v="3017"/>
    <x v="62"/>
    <s v="WHATS"/>
    <n v="99233"/>
    <n v="704.7"/>
    <m/>
    <m/>
    <m/>
    <x v="553"/>
    <m/>
  </r>
  <r>
    <n v="687"/>
    <x v="16"/>
    <s v="WHATS"/>
    <s v="99238/103468"/>
    <n v="924.3"/>
    <m/>
    <m/>
    <m/>
    <x v="553"/>
    <m/>
  </r>
  <r>
    <n v="50418"/>
    <x v="35"/>
    <s v="WHATS"/>
    <n v="99210"/>
    <n v="351.33"/>
    <m/>
    <m/>
    <m/>
    <x v="553"/>
    <m/>
  </r>
  <r>
    <n v="50861"/>
    <x v="133"/>
    <s v="WHATS"/>
    <n v="99231"/>
    <n v="647"/>
    <m/>
    <m/>
    <m/>
    <x v="553"/>
    <m/>
  </r>
  <r>
    <n v="960"/>
    <x v="30"/>
    <s v="WHATS"/>
    <s v="99245/103471"/>
    <n v="962.38"/>
    <m/>
    <m/>
    <m/>
    <x v="553"/>
    <m/>
  </r>
  <r>
    <n v="2415"/>
    <x v="63"/>
    <s v="WHATS"/>
    <n v="99253"/>
    <n v="912.8"/>
    <m/>
    <m/>
    <m/>
    <x v="554"/>
    <m/>
  </r>
  <r>
    <n v="3153"/>
    <x v="12"/>
    <s v="WHATS"/>
    <n v="99314"/>
    <n v="3424.8"/>
    <m/>
    <m/>
    <m/>
    <x v="555"/>
    <m/>
  </r>
  <r>
    <n v="50219"/>
    <x v="14"/>
    <s v="WHATS"/>
    <s v="99273/103472"/>
    <n v="1828.4"/>
    <m/>
    <m/>
    <m/>
    <x v="555"/>
    <m/>
  </r>
  <r>
    <n v="2702"/>
    <x v="73"/>
    <s v="WHATS"/>
    <n v="99288"/>
    <n v="3446.7"/>
    <m/>
    <m/>
    <m/>
    <x v="555"/>
    <m/>
  </r>
  <r>
    <n v="311"/>
    <x v="46"/>
    <s v="WHATS"/>
    <s v="103287/99341"/>
    <n v="1226.4000000000001"/>
    <m/>
    <m/>
    <m/>
    <x v="555"/>
    <m/>
  </r>
  <r>
    <n v="50558"/>
    <x v="2"/>
    <s v="WHATS"/>
    <n v="99017"/>
    <n v="811.96"/>
    <m/>
    <m/>
    <m/>
    <x v="555"/>
    <m/>
  </r>
  <r>
    <n v="2022"/>
    <x v="28"/>
    <s v="EMAIL"/>
    <n v="99081"/>
    <n v="741.19"/>
    <m/>
    <m/>
    <m/>
    <x v="555"/>
    <m/>
  </r>
  <r>
    <n v="3153"/>
    <x v="12"/>
    <s v="WHATS"/>
    <n v="99368"/>
    <n v="1530"/>
    <m/>
    <m/>
    <m/>
    <x v="556"/>
    <m/>
  </r>
  <r>
    <n v="2199"/>
    <x v="132"/>
    <s v="PLATAFORMA"/>
    <n v="99190"/>
    <n v="672"/>
    <m/>
    <m/>
    <m/>
    <x v="556"/>
    <m/>
  </r>
  <r>
    <n v="50465"/>
    <x v="96"/>
    <s v="WHATS"/>
    <n v="99369"/>
    <n v="1717.63"/>
    <m/>
    <m/>
    <m/>
    <x v="556"/>
    <m/>
  </r>
  <r>
    <n v="620"/>
    <x v="69"/>
    <s v="WHATS"/>
    <n v="98145"/>
    <n v="1082.56"/>
    <m/>
    <m/>
    <m/>
    <x v="556"/>
    <m/>
  </r>
  <r>
    <n v="2022"/>
    <x v="28"/>
    <s v="WHATS"/>
    <n v="99390"/>
    <n v="120"/>
    <m/>
    <m/>
    <m/>
    <x v="556"/>
    <m/>
  </r>
  <r>
    <n v="2415"/>
    <x v="63"/>
    <s v="WHATS"/>
    <n v="99398"/>
    <n v="375.6"/>
    <m/>
    <m/>
    <m/>
    <x v="556"/>
    <m/>
  </r>
  <r>
    <n v="516"/>
    <x v="11"/>
    <s v="WHATS"/>
    <n v="99289"/>
    <n v="493.45"/>
    <m/>
    <m/>
    <m/>
    <x v="556"/>
    <m/>
  </r>
  <r>
    <n v="1164"/>
    <x v="58"/>
    <s v="WHATS"/>
    <s v="103502/99411"/>
    <n v="466.59"/>
    <m/>
    <m/>
    <m/>
    <x v="556"/>
    <s v="ENVIAR AMANHA"/>
  </r>
  <r>
    <n v="432"/>
    <x v="43"/>
    <s v="WHATS"/>
    <n v="99429"/>
    <n v="110.25"/>
    <m/>
    <m/>
    <m/>
    <x v="556"/>
    <m/>
  </r>
  <r>
    <n v="1371"/>
    <x v="119"/>
    <s v="WHATS"/>
    <n v="99426"/>
    <n v="1172.8"/>
    <m/>
    <m/>
    <m/>
    <x v="557"/>
    <m/>
  </r>
  <r>
    <n v="501153"/>
    <x v="162"/>
    <s v="WHATS"/>
    <s v="99342/103490"/>
    <n v="7635.08"/>
    <m/>
    <m/>
    <m/>
    <x v="557"/>
    <m/>
  </r>
  <r>
    <n v="1616"/>
    <x v="83"/>
    <s v="WHATS"/>
    <s v="103484/99331"/>
    <n v="1150.9000000000001"/>
    <m/>
    <m/>
    <m/>
    <x v="557"/>
    <m/>
  </r>
  <r>
    <n v="761"/>
    <x v="24"/>
    <s v="WHATS"/>
    <n v="99460"/>
    <n v="1286.8"/>
    <m/>
    <m/>
    <m/>
    <x v="557"/>
    <m/>
  </r>
  <r>
    <n v="1971"/>
    <x v="29"/>
    <s v="WHATS"/>
    <n v="99481"/>
    <n v="333.6"/>
    <m/>
    <m/>
    <m/>
    <x v="558"/>
    <m/>
  </r>
  <r>
    <n v="708"/>
    <x v="56"/>
    <s v="WHATS"/>
    <n v="99484"/>
    <n v="8348"/>
    <m/>
    <m/>
    <m/>
    <x v="558"/>
    <m/>
  </r>
  <r>
    <n v="2199"/>
    <x v="132"/>
    <s v="WHATS"/>
    <n v="99471"/>
    <n v="672"/>
    <m/>
    <m/>
    <m/>
    <x v="558"/>
    <s v="ENVIAR SEGUNDA FEIRA"/>
  </r>
  <r>
    <n v="500888"/>
    <x v="164"/>
    <s v="WHATS"/>
    <n v="99380"/>
    <m/>
    <m/>
    <n v="5500"/>
    <m/>
    <x v="558"/>
    <s v="PAGO-  AGUARDANDO VIR RETIRAR "/>
  </r>
  <r>
    <n v="500507"/>
    <x v="148"/>
    <s v="WHATS"/>
    <n v="99274"/>
    <n v="607.65"/>
    <m/>
    <m/>
    <m/>
    <x v="558"/>
    <m/>
  </r>
  <r>
    <n v="501070"/>
    <x v="155"/>
    <s v="WHATS"/>
    <n v="99326"/>
    <n v="451.2"/>
    <m/>
    <m/>
    <m/>
    <x v="558"/>
    <m/>
  </r>
  <r>
    <n v="501078"/>
    <x v="155"/>
    <s v="WHATS"/>
    <n v="99323"/>
    <n v="420.65"/>
    <m/>
    <m/>
    <m/>
    <x v="558"/>
    <m/>
  </r>
  <r>
    <n v="501054"/>
    <x v="155"/>
    <s v="WHATS"/>
    <n v="99277"/>
    <n v="1984.75"/>
    <m/>
    <m/>
    <m/>
    <x v="558"/>
    <m/>
  </r>
  <r>
    <n v="501079"/>
    <x v="155"/>
    <s v="WHATS"/>
    <n v="99324"/>
    <n v="2251.88"/>
    <m/>
    <m/>
    <m/>
    <x v="558"/>
    <m/>
  </r>
  <r>
    <n v="475"/>
    <x v="23"/>
    <s v="WHATS"/>
    <s v="98378/103370"/>
    <n v="5387.46"/>
    <m/>
    <m/>
    <m/>
    <x v="558"/>
    <m/>
  </r>
  <r>
    <n v="412"/>
    <x v="90"/>
    <s v="WHATS"/>
    <n v="99539"/>
    <n v="834"/>
    <m/>
    <m/>
    <m/>
    <x v="559"/>
    <m/>
  </r>
  <r>
    <n v="1616"/>
    <x v="83"/>
    <s v="WHATS"/>
    <n v="99534"/>
    <n v="605.6"/>
    <m/>
    <m/>
    <m/>
    <x v="559"/>
    <m/>
  </r>
  <r>
    <n v="2022"/>
    <x v="28"/>
    <s v="WHATS"/>
    <n v="99419"/>
    <n v="281.38"/>
    <m/>
    <m/>
    <m/>
    <x v="560"/>
    <m/>
  </r>
  <r>
    <n v="1905"/>
    <x v="107"/>
    <s v="WHATS"/>
    <n v="99581"/>
    <n v="813.1"/>
    <m/>
    <m/>
    <m/>
    <x v="560"/>
    <m/>
  </r>
  <r>
    <n v="3194"/>
    <x v="18"/>
    <s v="WHATS"/>
    <n v="99538"/>
    <n v="862"/>
    <m/>
    <m/>
    <m/>
    <x v="560"/>
    <m/>
  </r>
  <r>
    <n v="197"/>
    <x v="99"/>
    <s v="WHATS"/>
    <n v="99590"/>
    <n v="682.1"/>
    <m/>
    <m/>
    <m/>
    <x v="560"/>
    <m/>
  </r>
  <r>
    <n v="501153"/>
    <x v="162"/>
    <s v="WHATS"/>
    <n v="98945"/>
    <n v="189"/>
    <m/>
    <m/>
    <m/>
    <x v="560"/>
    <m/>
  </r>
  <r>
    <n v="1989"/>
    <x v="67"/>
    <s v="WHATS"/>
    <n v="98946"/>
    <n v="616.03"/>
    <m/>
    <m/>
    <m/>
    <x v="560"/>
    <m/>
  </r>
  <r>
    <n v="690"/>
    <x v="19"/>
    <s v="WHATS"/>
    <s v="103524/99523"/>
    <n v="2970.7"/>
    <m/>
    <m/>
    <m/>
    <x v="560"/>
    <m/>
  </r>
  <r>
    <n v="581"/>
    <x v="74"/>
    <s v="WHATS"/>
    <n v="99467"/>
    <n v="735.35"/>
    <m/>
    <m/>
    <m/>
    <x v="561"/>
    <m/>
  </r>
  <r>
    <n v="311"/>
    <x v="46"/>
    <s v="WHATS"/>
    <n v="99620"/>
    <n v="386"/>
    <m/>
    <m/>
    <m/>
    <x v="561"/>
    <m/>
  </r>
  <r>
    <n v="761"/>
    <x v="24"/>
    <s v="WHATS"/>
    <n v="98852"/>
    <n v="2356.12"/>
    <m/>
    <m/>
    <m/>
    <x v="561"/>
    <m/>
  </r>
  <r>
    <n v="1493"/>
    <x v="21"/>
    <s v="WHATS"/>
    <n v="99592"/>
    <n v="589.96"/>
    <m/>
    <m/>
    <m/>
    <x v="561"/>
    <m/>
  </r>
  <r>
    <n v="874"/>
    <x v="53"/>
    <s v="WHATS"/>
    <n v="99641"/>
    <n v="2094.1999999999998"/>
    <m/>
    <m/>
    <m/>
    <x v="561"/>
    <m/>
  </r>
  <r>
    <n v="1240"/>
    <x v="25"/>
    <s v="WHATS"/>
    <n v="99552"/>
    <n v="2023.8"/>
    <m/>
    <m/>
    <m/>
    <x v="561"/>
    <m/>
  </r>
  <r>
    <n v="1122"/>
    <x v="87"/>
    <s v="WHATS"/>
    <n v="99656"/>
    <n v="2030"/>
    <m/>
    <m/>
    <m/>
    <x v="561"/>
    <m/>
  </r>
  <r>
    <n v="823"/>
    <x v="17"/>
    <s v="WHATS"/>
    <n v="99537"/>
    <n v="6740.32"/>
    <m/>
    <m/>
    <m/>
    <x v="562"/>
    <m/>
  </r>
  <r>
    <n v="2199"/>
    <x v="132"/>
    <s v="WHATS"/>
    <s v="103552/99685"/>
    <n v="3201.9"/>
    <m/>
    <m/>
    <m/>
    <x v="562"/>
    <m/>
  </r>
  <r>
    <n v="500982"/>
    <x v="152"/>
    <s v="WHATS"/>
    <n v="99695"/>
    <n v="1934.6"/>
    <m/>
    <m/>
    <m/>
    <x v="562"/>
    <m/>
  </r>
  <r>
    <n v="501070"/>
    <x v="155"/>
    <s v="WHATS"/>
    <n v="99731"/>
    <n v="1238.05"/>
    <m/>
    <m/>
    <m/>
    <x v="563"/>
    <m/>
  </r>
  <r>
    <n v="501033"/>
    <x v="155"/>
    <s v="WHATS"/>
    <n v="99565"/>
    <n v="1167"/>
    <m/>
    <m/>
    <m/>
    <x v="563"/>
    <m/>
  </r>
  <r>
    <n v="501035"/>
    <x v="155"/>
    <s v="WHATS"/>
    <n v="99727"/>
    <n v="1008"/>
    <m/>
    <m/>
    <m/>
    <x v="563"/>
    <m/>
  </r>
  <r>
    <n v="2199"/>
    <x v="132"/>
    <s v="WHATS"/>
    <s v="98838/99667"/>
    <n v="4865.25"/>
    <m/>
    <m/>
    <m/>
    <x v="563"/>
    <s v="ENVIAR SEGUNDA FEIRA URGENCIA "/>
  </r>
  <r>
    <n v="1234"/>
    <x v="153"/>
    <s v="WHATS"/>
    <n v="99748"/>
    <n v="1232"/>
    <m/>
    <m/>
    <m/>
    <x v="563"/>
    <m/>
  </r>
  <r>
    <n v="784"/>
    <x v="13"/>
    <s v="WHATS"/>
    <n v="99756"/>
    <n v="58"/>
    <m/>
    <m/>
    <m/>
    <x v="563"/>
    <m/>
  </r>
  <r>
    <n v="1277"/>
    <x v="94"/>
    <s v="WHATS"/>
    <n v="99758"/>
    <n v="1751.8"/>
    <m/>
    <m/>
    <m/>
    <x v="563"/>
    <m/>
  </r>
  <r>
    <n v="1016"/>
    <x v="101"/>
    <s v="WHATS"/>
    <n v="99767"/>
    <n v="2182.5"/>
    <m/>
    <m/>
    <m/>
    <x v="563"/>
    <m/>
  </r>
  <r>
    <n v="3492"/>
    <x v="132"/>
    <s v="PLATAFORMA"/>
    <s v="99718/99670"/>
    <n v="510.5"/>
    <m/>
    <m/>
    <m/>
    <x v="563"/>
    <m/>
  </r>
  <r>
    <n v="501173"/>
    <x v="165"/>
    <s v="WHATS"/>
    <n v="98623"/>
    <n v="499"/>
    <m/>
    <m/>
    <m/>
    <x v="564"/>
    <m/>
  </r>
  <r>
    <n v="501160"/>
    <x v="94"/>
    <s v="WHATS"/>
    <n v="99778"/>
    <n v="410.78"/>
    <m/>
    <m/>
    <m/>
    <x v="564"/>
    <m/>
  </r>
  <r>
    <n v="3557"/>
    <x v="139"/>
    <s v="WHATS"/>
    <n v="99470"/>
    <n v="5000"/>
    <m/>
    <m/>
    <m/>
    <x v="564"/>
    <m/>
  </r>
  <r>
    <n v="432"/>
    <x v="43"/>
    <s v="WHATS"/>
    <n v="103546"/>
    <n v="534.75"/>
    <m/>
    <m/>
    <m/>
    <x v="564"/>
    <m/>
  </r>
  <r>
    <n v="500202"/>
    <x v="132"/>
    <s v="WHATS"/>
    <n v="99676"/>
    <n v="540"/>
    <m/>
    <m/>
    <m/>
    <x v="564"/>
    <m/>
  </r>
  <r>
    <n v="51061"/>
    <x v="138"/>
    <s v="WHATS"/>
    <n v="99768"/>
    <n v="592.5"/>
    <m/>
    <m/>
    <m/>
    <x v="564"/>
    <m/>
  </r>
  <r>
    <n v="51175"/>
    <x v="79"/>
    <s v="WHATS"/>
    <n v="99804"/>
    <m/>
    <m/>
    <n v="1731.5"/>
    <m/>
    <x v="564"/>
    <m/>
  </r>
  <r>
    <n v="50185"/>
    <x v="105"/>
    <s v="WHATS"/>
    <n v="99810"/>
    <n v="143.35"/>
    <m/>
    <m/>
    <m/>
    <x v="564"/>
    <m/>
  </r>
  <r>
    <n v="705"/>
    <x v="1"/>
    <s v="WHATS"/>
    <n v="99829"/>
    <n v="1334"/>
    <m/>
    <m/>
    <m/>
    <x v="565"/>
    <m/>
  </r>
  <r>
    <n v="50558"/>
    <x v="2"/>
    <s v="WHATS"/>
    <n v="99362"/>
    <n v="1623.92"/>
    <m/>
    <m/>
    <m/>
    <x v="565"/>
    <m/>
  </r>
  <r>
    <n v="516"/>
    <x v="11"/>
    <s v="EMAIL"/>
    <n v="97747"/>
    <n v="6270.14"/>
    <m/>
    <m/>
    <m/>
    <x v="566"/>
    <m/>
  </r>
  <r>
    <n v="3017"/>
    <x v="62"/>
    <s v="WHATS"/>
    <n v="99861"/>
    <n v="705.8"/>
    <m/>
    <m/>
    <m/>
    <x v="566"/>
    <m/>
  </r>
  <r>
    <n v="572"/>
    <x v="51"/>
    <s v="WHATS"/>
    <n v="97985"/>
    <n v="915.05"/>
    <m/>
    <m/>
    <m/>
    <x v="566"/>
    <m/>
  </r>
  <r>
    <n v="1652"/>
    <x v="61"/>
    <s v="WHATS"/>
    <n v="103539"/>
    <n v="733.57"/>
    <m/>
    <m/>
    <m/>
    <x v="567"/>
    <m/>
  </r>
  <r>
    <n v="480"/>
    <x v="39"/>
    <s v="WHATS"/>
    <s v="103585/99874"/>
    <n v="1255.75"/>
    <m/>
    <m/>
    <m/>
    <x v="567"/>
    <m/>
  </r>
  <r>
    <n v="761"/>
    <x v="24"/>
    <s v="WHATS"/>
    <s v="99792/103578"/>
    <n v="1371.83"/>
    <m/>
    <m/>
    <m/>
    <x v="567"/>
    <m/>
  </r>
  <r>
    <n v="2415"/>
    <x v="63"/>
    <s v="WHATS"/>
    <n v="99357"/>
    <n v="487.5"/>
    <m/>
    <m/>
    <m/>
    <x v="567"/>
    <m/>
  </r>
  <r>
    <n v="1164"/>
    <x v="58"/>
    <s v="WHATS"/>
    <s v="99683/103556"/>
    <n v="1452.19"/>
    <m/>
    <m/>
    <m/>
    <x v="567"/>
    <m/>
  </r>
  <r>
    <n v="906"/>
    <x v="27"/>
    <s v="WHATS"/>
    <s v="103529/98823"/>
    <n v="1648.53"/>
    <m/>
    <m/>
    <m/>
    <x v="568"/>
    <m/>
  </r>
  <r>
    <n v="822"/>
    <x v="66"/>
    <s v="WHATS"/>
    <s v="99937/103587"/>
    <n v="702.85"/>
    <m/>
    <m/>
    <m/>
    <x v="568"/>
    <m/>
  </r>
  <r>
    <n v="1813"/>
    <x v="48"/>
    <s v="EMAIL"/>
    <n v="99993"/>
    <n v="934.61"/>
    <m/>
    <m/>
    <m/>
    <x v="568"/>
    <m/>
  </r>
  <r>
    <n v="690"/>
    <x v="19"/>
    <s v="WHATS"/>
    <s v="99524/103525"/>
    <n v="2331.5"/>
    <m/>
    <m/>
    <m/>
    <x v="568"/>
    <m/>
  </r>
  <r>
    <n v="475"/>
    <x v="23"/>
    <s v="WHATS"/>
    <s v="103520/99497"/>
    <n v="7600.66"/>
    <m/>
    <m/>
    <m/>
    <x v="568"/>
    <m/>
  </r>
  <r>
    <n v="501266"/>
    <x v="166"/>
    <s v="WHATS"/>
    <n v="99900"/>
    <n v="12152.27"/>
    <m/>
    <m/>
    <m/>
    <x v="568"/>
    <m/>
  </r>
  <r>
    <n v="2199"/>
    <x v="132"/>
    <s v="PLATAFORMA"/>
    <s v="100012/99771"/>
    <n v="4628"/>
    <m/>
    <m/>
    <m/>
    <x v="568"/>
    <m/>
  </r>
  <r>
    <n v="761"/>
    <x v="24"/>
    <s v="WHATS"/>
    <n v="99945"/>
    <n v="16564.53"/>
    <m/>
    <m/>
    <m/>
    <x v="568"/>
    <m/>
  </r>
  <r>
    <n v="500005"/>
    <x v="102"/>
    <s v="WHATS"/>
    <n v="99352"/>
    <n v="634.11"/>
    <m/>
    <m/>
    <m/>
    <x v="568"/>
    <m/>
  </r>
  <r>
    <n v="432"/>
    <x v="43"/>
    <s v="WHATS"/>
    <n v="100015"/>
    <n v="189"/>
    <m/>
    <m/>
    <m/>
    <x v="568"/>
    <m/>
  </r>
  <r>
    <n v="905"/>
    <x v="72"/>
    <s v="WHATS"/>
    <n v="98823"/>
    <n v="1678.06"/>
    <m/>
    <m/>
    <m/>
    <x v="568"/>
    <m/>
  </r>
  <r>
    <n v="51042"/>
    <x v="106"/>
    <s v="WHATS"/>
    <s v="103571/99788"/>
    <n v="317.10000000000002"/>
    <m/>
    <m/>
    <m/>
    <x v="568"/>
    <m/>
  </r>
  <r>
    <n v="708"/>
    <x v="56"/>
    <s v="WHATS"/>
    <n v="99855"/>
    <n v="2067.31"/>
    <m/>
    <m/>
    <m/>
    <x v="569"/>
    <m/>
  </r>
  <r>
    <n v="500873"/>
    <x v="145"/>
    <s v="WHATS"/>
    <s v="103575/99824"/>
    <n v="2008.05"/>
    <m/>
    <m/>
    <m/>
    <x v="569"/>
    <m/>
  </r>
  <r>
    <n v="2199"/>
    <x v="132"/>
    <s v="WHATS"/>
    <s v="100054/103611"/>
    <n v="1180"/>
    <m/>
    <m/>
    <m/>
    <x v="569"/>
    <m/>
  </r>
  <r>
    <n v="762"/>
    <x v="41"/>
    <s v="PLATAFORMA"/>
    <s v="98818/99146"/>
    <n v="2820.45"/>
    <m/>
    <m/>
    <m/>
    <x v="569"/>
    <m/>
  </r>
  <r>
    <n v="1234"/>
    <x v="153"/>
    <s v="WHATS"/>
    <n v="100085"/>
    <n v="861.45"/>
    <m/>
    <m/>
    <m/>
    <x v="570"/>
    <m/>
  </r>
  <r>
    <n v="501070"/>
    <x v="155"/>
    <s v="WHATS"/>
    <n v="98166"/>
    <n v="1670.75"/>
    <m/>
    <m/>
    <m/>
    <x v="570"/>
    <m/>
  </r>
  <r>
    <n v="501078"/>
    <x v="155"/>
    <s v="WHATS"/>
    <n v="99504"/>
    <n v="2037.49"/>
    <m/>
    <m/>
    <m/>
    <x v="570"/>
    <m/>
  </r>
  <r>
    <n v="501054"/>
    <x v="155"/>
    <s v="WHATS"/>
    <n v="98165"/>
    <n v="1881.2"/>
    <m/>
    <m/>
    <m/>
    <x v="570"/>
    <m/>
  </r>
  <r>
    <n v="500507"/>
    <x v="148"/>
    <s v="WHATS"/>
    <n v="98163"/>
    <n v="2155.5700000000002"/>
    <m/>
    <m/>
    <m/>
    <x v="570"/>
    <m/>
  </r>
  <r>
    <n v="501079"/>
    <x v="155"/>
    <s v="WHATS"/>
    <n v="98164"/>
    <n v="5131.3900000000003"/>
    <m/>
    <m/>
    <m/>
    <x v="570"/>
    <m/>
  </r>
  <r>
    <n v="772"/>
    <x v="71"/>
    <s v="WHATS"/>
    <s v="103613/100058"/>
    <n v="1096"/>
    <m/>
    <m/>
    <m/>
    <x v="570"/>
    <m/>
  </r>
  <r>
    <n v="50558"/>
    <x v="2"/>
    <s v="WHATS"/>
    <n v="98459"/>
    <n v="1868"/>
    <m/>
    <m/>
    <m/>
    <x v="570"/>
    <m/>
  </r>
  <r>
    <n v="50418"/>
    <x v="35"/>
    <s v="WHATS"/>
    <n v="100099"/>
    <n v="1382.14"/>
    <m/>
    <m/>
    <m/>
    <x v="570"/>
    <m/>
  </r>
  <r>
    <n v="1164"/>
    <x v="58"/>
    <s v="WHATS"/>
    <s v="99963/103621"/>
    <n v="1031.6400000000001"/>
    <m/>
    <m/>
    <m/>
    <x v="570"/>
    <m/>
  </r>
  <r>
    <n v="2911"/>
    <x v="15"/>
    <s v="WHATS"/>
    <s v="103616/100083"/>
    <n v="1163.3"/>
    <m/>
    <m/>
    <m/>
    <x v="571"/>
    <m/>
  </r>
  <r>
    <n v="474"/>
    <x v="98"/>
    <s v="WHATS"/>
    <s v=" 99776/103572"/>
    <n v="490.21"/>
    <m/>
    <m/>
    <m/>
    <x v="571"/>
    <m/>
  </r>
  <r>
    <n v="572"/>
    <x v="51"/>
    <s v="WHATS"/>
    <n v="100113"/>
    <n v="976.3"/>
    <m/>
    <m/>
    <m/>
    <x v="571"/>
    <m/>
  </r>
  <r>
    <n v="823"/>
    <x v="17"/>
    <s v="WHATS"/>
    <s v="99682/103627"/>
    <n v="2087.85"/>
    <m/>
    <m/>
    <m/>
    <x v="571"/>
    <m/>
  </r>
  <r>
    <n v="3557"/>
    <x v="139"/>
    <s v="PLATAFORMA"/>
    <n v="99798"/>
    <n v="4559.45"/>
    <m/>
    <m/>
    <m/>
    <x v="571"/>
    <m/>
  </r>
  <r>
    <n v="2199"/>
    <x v="132"/>
    <s v="PLATAFORMA"/>
    <n v="99688"/>
    <n v="676"/>
    <m/>
    <m/>
    <m/>
    <x v="571"/>
    <m/>
  </r>
  <r>
    <n v="762"/>
    <x v="41"/>
    <s v="WHATS"/>
    <n v="99418"/>
    <n v="1448.5"/>
    <m/>
    <m/>
    <m/>
    <x v="571"/>
    <m/>
  </r>
  <r>
    <n v="761"/>
    <x v="24"/>
    <s v="WHATS"/>
    <s v="99627/103625"/>
    <n v="17115.82"/>
    <m/>
    <m/>
    <m/>
    <x v="572"/>
    <m/>
  </r>
  <r>
    <n v="3018"/>
    <x v="64"/>
    <s v="WHATS"/>
    <s v="99694/103634"/>
    <n v="1385.33"/>
    <m/>
    <m/>
    <m/>
    <x v="572"/>
    <m/>
  </r>
  <r>
    <n v="50558"/>
    <x v="2"/>
    <s v="WHATS"/>
    <n v="98459"/>
    <n v="1988"/>
    <m/>
    <m/>
    <m/>
    <x v="572"/>
    <m/>
  </r>
  <r>
    <n v="784"/>
    <x v="13"/>
    <s v="WHATS"/>
    <n v="100061"/>
    <n v="2980.94"/>
    <m/>
    <m/>
    <m/>
    <x v="572"/>
    <m/>
  </r>
  <r>
    <n v="618"/>
    <x v="26"/>
    <s v="WHATS"/>
    <s v="103640/100171"/>
    <n v="1261.77"/>
    <m/>
    <m/>
    <m/>
    <x v="572"/>
    <m/>
  </r>
  <r>
    <n v="1206"/>
    <x v="33"/>
    <s v="EMAIL"/>
    <n v="100176"/>
    <n v="1651"/>
    <m/>
    <m/>
    <m/>
    <x v="572"/>
    <m/>
  </r>
  <r>
    <n v="832"/>
    <x v="55"/>
    <s v="WHATS"/>
    <n v="100168"/>
    <n v="2078.14"/>
    <m/>
    <m/>
    <m/>
    <x v="572"/>
    <m/>
  </r>
  <r>
    <n v="500005"/>
    <x v="102"/>
    <s v="WHATS"/>
    <n v="100198"/>
    <n v="2329.85"/>
    <m/>
    <m/>
    <m/>
    <x v="573"/>
    <m/>
  </r>
  <r>
    <n v="761"/>
    <x v="24"/>
    <s v="WHATS"/>
    <n v="100223"/>
    <n v="8684.64"/>
    <m/>
    <m/>
    <m/>
    <x v="573"/>
    <m/>
  </r>
  <r>
    <n v="2163"/>
    <x v="36"/>
    <s v="WHATS"/>
    <n v="100228"/>
    <n v="1362.8"/>
    <m/>
    <m/>
    <m/>
    <x v="573"/>
    <m/>
  </r>
  <r>
    <n v="575"/>
    <x v="45"/>
    <s v="WHATS"/>
    <n v="100237"/>
    <n v="566.05999999999995"/>
    <m/>
    <m/>
    <m/>
    <x v="573"/>
    <m/>
  </r>
  <r>
    <n v="311"/>
    <x v="46"/>
    <s v="WHATS"/>
    <s v="100252/103657"/>
    <n v="1330.55"/>
    <m/>
    <m/>
    <m/>
    <x v="573"/>
    <m/>
  </r>
  <r>
    <n v="3153"/>
    <x v="12"/>
    <s v="WHATS"/>
    <n v="100255"/>
    <n v="1826.9"/>
    <m/>
    <m/>
    <m/>
    <x v="574"/>
    <m/>
  </r>
  <r>
    <n v="325"/>
    <x v="97"/>
    <s v="WHATS"/>
    <s v="103554/99669"/>
    <n v="1469.4"/>
    <m/>
    <m/>
    <m/>
    <x v="574"/>
    <m/>
  </r>
  <r>
    <n v="746"/>
    <x v="3"/>
    <s v="WHATS"/>
    <s v="103665/100271"/>
    <n v="788.56"/>
    <m/>
    <m/>
    <m/>
    <x v="574"/>
    <m/>
  </r>
  <r>
    <n v="3017"/>
    <x v="62"/>
    <s v="WHATS"/>
    <n v="100278"/>
    <n v="1597.14"/>
    <m/>
    <m/>
    <m/>
    <x v="574"/>
    <m/>
  </r>
  <r>
    <n v="960"/>
    <x v="30"/>
    <s v="WHATS"/>
    <s v=" 100310/103674"/>
    <n v="1327.55"/>
    <m/>
    <m/>
    <m/>
    <x v="574"/>
    <m/>
  </r>
  <r>
    <n v="620"/>
    <x v="69"/>
    <s v="WHATS"/>
    <s v="103677/99383"/>
    <n v="471.85"/>
    <m/>
    <m/>
    <m/>
    <x v="575"/>
    <m/>
  </r>
  <r>
    <n v="500243"/>
    <x v="110"/>
    <s v="WHATS"/>
    <n v="99996"/>
    <n v="695.3"/>
    <m/>
    <m/>
    <m/>
    <x v="575"/>
    <m/>
  </r>
  <r>
    <n v="475"/>
    <x v="23"/>
    <s v="WHATS"/>
    <s v="99998/103680"/>
    <n v="15586.8"/>
    <m/>
    <m/>
    <m/>
    <x v="575"/>
    <m/>
  </r>
  <r>
    <n v="1616"/>
    <x v="83"/>
    <s v="WHATS"/>
    <n v="100337"/>
    <n v="388.3"/>
    <m/>
    <m/>
    <m/>
    <x v="575"/>
    <m/>
  </r>
  <r>
    <n v="3019"/>
    <x v="132"/>
    <s v="PLATAFORMA"/>
    <n v="100318"/>
    <n v="844.6"/>
    <m/>
    <m/>
    <m/>
    <x v="575"/>
    <m/>
  </r>
  <r>
    <n v="434"/>
    <x v="134"/>
    <s v="WHATS"/>
    <n v="100361"/>
    <n v="3101.2"/>
    <m/>
    <m/>
    <m/>
    <x v="576"/>
    <m/>
  </r>
  <r>
    <n v="581"/>
    <x v="74"/>
    <s v="WHATS"/>
    <s v="100349/100349"/>
    <n v="3197.08"/>
    <m/>
    <m/>
    <m/>
    <x v="575"/>
    <m/>
  </r>
  <r>
    <n v="761"/>
    <x v="24"/>
    <s v="WHATS"/>
    <n v="100166"/>
    <n v="4562.08"/>
    <m/>
    <m/>
    <m/>
    <x v="576"/>
    <m/>
  </r>
  <r>
    <n v="50219"/>
    <x v="14"/>
    <s v="WHATS"/>
    <s v="103658/100251"/>
    <n v="1608.55"/>
    <m/>
    <m/>
    <m/>
    <x v="576"/>
    <m/>
  </r>
  <r>
    <n v="516"/>
    <x v="11"/>
    <s v="WHATS"/>
    <n v="100388"/>
    <n v="3597.6"/>
    <m/>
    <m/>
    <m/>
    <x v="576"/>
    <m/>
  </r>
  <r>
    <n v="500005"/>
    <x v="102"/>
    <s v="WHATS"/>
    <n v="99654"/>
    <m/>
    <m/>
    <n v="6580"/>
    <m/>
    <x v="576"/>
    <m/>
  </r>
  <r>
    <n v="311"/>
    <x v="46"/>
    <s v="WHATS"/>
    <s v="97583/100394"/>
    <n v="1489.9"/>
    <m/>
    <n v="1340"/>
    <m/>
    <x v="576"/>
    <m/>
  </r>
  <r>
    <n v="51182"/>
    <x v="146"/>
    <s v="WHATS"/>
    <n v="100102"/>
    <n v="999.12"/>
    <m/>
    <m/>
    <m/>
    <x v="576"/>
    <m/>
  </r>
  <r>
    <n v="50961"/>
    <x v="109"/>
    <s v="WHATS"/>
    <n v="100400"/>
    <n v="332.8"/>
    <m/>
    <m/>
    <m/>
    <x v="576"/>
    <m/>
  </r>
  <r>
    <n v="408"/>
    <x v="142"/>
    <s v="WHATS"/>
    <s v="100264/103661"/>
    <n v="1857.8"/>
    <m/>
    <m/>
    <m/>
    <x v="576"/>
    <m/>
  </r>
  <r>
    <n v="500507"/>
    <x v="148"/>
    <s v="WHATS"/>
    <n v="100355"/>
    <n v="2096.67"/>
    <m/>
    <m/>
    <m/>
    <x v="576"/>
    <m/>
  </r>
  <r>
    <n v="501070"/>
    <x v="155"/>
    <s v="WHATS"/>
    <n v="100364"/>
    <n v="1423.75"/>
    <m/>
    <m/>
    <m/>
    <x v="576"/>
    <m/>
  </r>
  <r>
    <n v="501078"/>
    <x v="155"/>
    <s v="WHATS"/>
    <n v="100344"/>
    <n v="1830.57"/>
    <m/>
    <m/>
    <m/>
    <x v="576"/>
    <m/>
  </r>
  <r>
    <n v="501054"/>
    <x v="155"/>
    <s v="WHATS"/>
    <n v="100086"/>
    <n v="1391.7"/>
    <m/>
    <m/>
    <m/>
    <x v="576"/>
    <m/>
  </r>
  <r>
    <n v="501079"/>
    <x v="155"/>
    <s v="WHATS"/>
    <n v="100369"/>
    <n v="4573.24"/>
    <m/>
    <m/>
    <m/>
    <x v="576"/>
    <m/>
  </r>
  <r>
    <n v="501153"/>
    <x v="162"/>
    <s v="WHATS"/>
    <s v="103686/99441"/>
    <n v="4987.79"/>
    <m/>
    <m/>
    <m/>
    <x v="576"/>
    <m/>
  </r>
  <r>
    <n v="690"/>
    <x v="19"/>
    <s v="WHATS"/>
    <s v="103691/99960 "/>
    <n v="4273.04"/>
    <m/>
    <m/>
    <m/>
    <x v="577"/>
    <m/>
  </r>
  <r>
    <n v="2199"/>
    <x v="132"/>
    <s v="WHATS"/>
    <s v="103664/99771/100037"/>
    <n v="1831.8"/>
    <m/>
    <m/>
    <m/>
    <x v="578"/>
    <m/>
  </r>
  <r>
    <n v="501160"/>
    <x v="94"/>
    <s v="WHATS"/>
    <n v="100034"/>
    <n v="1543.2"/>
    <m/>
    <m/>
    <m/>
    <x v="578"/>
    <m/>
  </r>
  <r>
    <n v="51042"/>
    <x v="106"/>
    <s v="WHATS"/>
    <n v="100372"/>
    <n v="246"/>
    <m/>
    <m/>
    <m/>
    <x v="578"/>
    <m/>
  </r>
  <r>
    <n v="663"/>
    <x v="116"/>
    <s v="WHATS"/>
    <n v="100417"/>
    <n v="1938.8"/>
    <m/>
    <m/>
    <m/>
    <x v="578"/>
    <m/>
  </r>
  <r>
    <n v="762"/>
    <x v="41"/>
    <s v="WHATS"/>
    <s v="100392/100389"/>
    <n v="4321.6099999999997"/>
    <m/>
    <m/>
    <m/>
    <x v="578"/>
    <m/>
  </r>
  <r>
    <n v="500873"/>
    <x v="145"/>
    <s v="WHATS"/>
    <s v="103608/98037"/>
    <n v="729.2"/>
    <m/>
    <m/>
    <m/>
    <x v="578"/>
    <m/>
  </r>
  <r>
    <n v="501035"/>
    <x v="155"/>
    <s v="WHATS"/>
    <n v="100467"/>
    <n v="3174.44"/>
    <m/>
    <m/>
    <m/>
    <x v="578"/>
    <m/>
  </r>
  <r>
    <n v="500507"/>
    <x v="148"/>
    <s v="WHATS"/>
    <n v="100468"/>
    <n v="1424.85"/>
    <m/>
    <m/>
    <m/>
    <x v="578"/>
    <m/>
  </r>
  <r>
    <n v="501033"/>
    <x v="155"/>
    <s v="WHATS"/>
    <n v="100469"/>
    <n v="554.11"/>
    <m/>
    <m/>
    <m/>
    <x v="578"/>
    <m/>
  </r>
  <r>
    <n v="50465"/>
    <x v="96"/>
    <s v="WHATS"/>
    <n v="99370"/>
    <n v="2415.98"/>
    <m/>
    <m/>
    <m/>
    <x v="578"/>
    <m/>
  </r>
  <r>
    <n v="480"/>
    <x v="39"/>
    <s v="WHATS"/>
    <n v="100493"/>
    <n v="3258.5"/>
    <m/>
    <m/>
    <m/>
    <x v="579"/>
    <m/>
  </r>
  <r>
    <n v="1277"/>
    <x v="94"/>
    <s v="WHATS"/>
    <n v="100491"/>
    <n v="1886.7"/>
    <m/>
    <m/>
    <m/>
    <x v="579"/>
    <m/>
  </r>
  <r>
    <n v="3557"/>
    <x v="139"/>
    <s v="PLATAFORMA"/>
    <n v="100415"/>
    <n v="5730.55"/>
    <m/>
    <m/>
    <m/>
    <x v="579"/>
    <m/>
  </r>
  <r>
    <n v="2572"/>
    <x v="115"/>
    <s v="WHATS"/>
    <n v="99841"/>
    <n v="3380.62"/>
    <m/>
    <m/>
    <m/>
    <x v="579"/>
    <m/>
  </r>
  <r>
    <n v="2022"/>
    <x v="28"/>
    <s v="WHATS"/>
    <n v="100498"/>
    <n v="574.6"/>
    <m/>
    <m/>
    <m/>
    <x v="579"/>
    <m/>
  </r>
  <r>
    <n v="2955"/>
    <x v="82"/>
    <s v="WHATS"/>
    <n v="100501"/>
    <n v="3931.1"/>
    <m/>
    <m/>
    <m/>
    <x v="579"/>
    <m/>
  </r>
  <r>
    <n v="3475"/>
    <x v="59"/>
    <s v="WHATS"/>
    <n v="100146"/>
    <n v="1378.66"/>
    <m/>
    <m/>
    <m/>
    <x v="580"/>
    <m/>
  </r>
  <r>
    <n v="3105"/>
    <x v="161"/>
    <s v="WHATS"/>
    <n v="100482"/>
    <n v="446.5"/>
    <m/>
    <m/>
    <m/>
    <x v="580"/>
    <m/>
  </r>
  <r>
    <n v="1533"/>
    <x v="50"/>
    <s v="WHATS"/>
    <n v="100494"/>
    <n v="445.6"/>
    <m/>
    <m/>
    <m/>
    <x v="580"/>
    <m/>
  </r>
  <r>
    <n v="500005"/>
    <x v="102"/>
    <s v="WHATS"/>
    <n v="98798"/>
    <n v="1617.25"/>
    <m/>
    <m/>
    <m/>
    <x v="580"/>
    <m/>
  </r>
  <r>
    <n v="500969"/>
    <x v="151"/>
    <s v="WHATS"/>
    <n v="100545"/>
    <n v="113.7"/>
    <m/>
    <m/>
    <m/>
    <x v="580"/>
    <m/>
  </r>
  <r>
    <n v="501153"/>
    <x v="162"/>
    <s v="WHATS"/>
    <n v="100239"/>
    <n v="432.6"/>
    <m/>
    <m/>
    <m/>
    <x v="580"/>
    <m/>
  </r>
  <r>
    <n v="1989"/>
    <x v="67"/>
    <s v="WHATS"/>
    <n v="100238"/>
    <n v="616.03"/>
    <m/>
    <m/>
    <m/>
    <x v="581"/>
    <m/>
  </r>
  <r>
    <n v="3190"/>
    <x v="60"/>
    <s v="WHATS"/>
    <s v="103720/100407"/>
    <n v="1053.1500000000001"/>
    <m/>
    <m/>
    <m/>
    <x v="581"/>
    <m/>
  </r>
  <r>
    <n v="325"/>
    <x v="97"/>
    <s v="WHATS"/>
    <s v="100547/103721"/>
    <n v="2226.0500000000002"/>
    <m/>
    <m/>
    <m/>
    <x v="581"/>
    <m/>
  </r>
  <r>
    <n v="463"/>
    <x v="32"/>
    <s v="WHATS"/>
    <n v="100581"/>
    <n v="1181.8"/>
    <m/>
    <m/>
    <m/>
    <x v="581"/>
    <m/>
  </r>
  <r>
    <n v="432"/>
    <x v="43"/>
    <s v="WHATS"/>
    <n v="103547"/>
    <n v="308.85000000000002"/>
    <m/>
    <m/>
    <m/>
    <x v="581"/>
    <m/>
  </r>
  <r>
    <n v="1971"/>
    <x v="29"/>
    <s v="WHATS"/>
    <n v="100591"/>
    <n v="752"/>
    <m/>
    <m/>
    <m/>
    <x v="581"/>
    <m/>
  </r>
  <r>
    <n v="1813"/>
    <x v="48"/>
    <s v="WHATS"/>
    <n v="100586"/>
    <n v="1192.06"/>
    <m/>
    <m/>
    <m/>
    <x v="582"/>
    <m/>
  </r>
  <r>
    <n v="784"/>
    <x v="13"/>
    <s v="WHATS"/>
    <n v="100283"/>
    <n v="777.84"/>
    <m/>
    <m/>
    <m/>
    <x v="582"/>
    <m/>
  </r>
  <r>
    <n v="762"/>
    <x v="41"/>
    <s v="EMAIL"/>
    <n v="100569"/>
    <n v="3090"/>
    <m/>
    <m/>
    <m/>
    <x v="582"/>
    <m/>
  </r>
  <r>
    <n v="50728"/>
    <x v="84"/>
    <s v="WHATS"/>
    <n v="100615"/>
    <n v="1280.5899999999999"/>
    <m/>
    <m/>
    <m/>
    <x v="582"/>
    <m/>
  </r>
  <r>
    <n v="620"/>
    <x v="69"/>
    <s v="WHATS"/>
    <s v="103692/100612"/>
    <n v="944.25"/>
    <m/>
    <m/>
    <m/>
    <x v="58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5EBD66-07AC-46B4-B698-D05660987384}" name="ped-insu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2:F3" firstHeaderRow="1" firstDataRow="1" firstDataCol="0"/>
  <pivotFields count="13"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4" showAll="0">
      <items count="589">
        <item x="0"/>
        <item x="1"/>
        <item x="2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3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4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5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6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7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8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9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0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11"/>
        <item x="203"/>
        <item x="204"/>
        <item x="205"/>
        <item x="206"/>
        <item x="207"/>
        <item x="208"/>
        <item x="12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1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14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15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80"/>
        <item x="279"/>
        <item x="281"/>
        <item x="282"/>
        <item x="283"/>
        <item x="284"/>
        <item x="285"/>
        <item x="16"/>
        <item x="287"/>
        <item x="286"/>
        <item x="288"/>
        <item x="291"/>
        <item x="289"/>
        <item x="292"/>
        <item x="290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17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18"/>
        <item x="321"/>
        <item x="322"/>
        <item x="323"/>
        <item x="324"/>
        <item x="325"/>
        <item x="326"/>
        <item x="328"/>
        <item x="327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19"/>
        <item x="341"/>
        <item x="343"/>
        <item x="342"/>
        <item x="344"/>
        <item x="345"/>
        <item x="346"/>
        <item x="347"/>
        <item x="348"/>
        <item x="349"/>
        <item x="350"/>
        <item x="351"/>
        <item x="353"/>
        <item x="354"/>
        <item x="356"/>
        <item x="355"/>
        <item x="352"/>
        <item x="357"/>
        <item x="358"/>
        <item x="359"/>
        <item x="360"/>
        <item x="2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21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3"/>
        <item x="392"/>
        <item x="394"/>
        <item x="395"/>
        <item x="396"/>
        <item x="397"/>
        <item x="398"/>
        <item x="399"/>
        <item x="400"/>
        <item x="401"/>
        <item x="22"/>
        <item x="402"/>
        <item x="403"/>
        <item x="404"/>
        <item x="405"/>
        <item x="407"/>
        <item x="406"/>
        <item x="408"/>
        <item x="409"/>
        <item x="410"/>
        <item x="411"/>
        <item x="412"/>
        <item x="413"/>
        <item x="414"/>
        <item x="415"/>
        <item x="417"/>
        <item x="416"/>
        <item x="418"/>
        <item x="419"/>
        <item x="23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2"/>
        <item x="443"/>
        <item x="444"/>
        <item x="445"/>
        <item x="446"/>
        <item x="448"/>
        <item x="450"/>
        <item x="449"/>
        <item x="451"/>
        <item x="447"/>
        <item x="452"/>
        <item x="441"/>
        <item x="453"/>
        <item x="454"/>
        <item x="457"/>
        <item x="458"/>
        <item x="459"/>
        <item x="460"/>
        <item x="461"/>
        <item x="462"/>
        <item x="463"/>
        <item x="464"/>
        <item x="456"/>
        <item x="465"/>
        <item x="466"/>
        <item x="467"/>
        <item x="468"/>
        <item x="470"/>
        <item x="469"/>
        <item x="471"/>
        <item x="455"/>
        <item x="472"/>
        <item x="473"/>
        <item x="474"/>
        <item x="475"/>
        <item x="477"/>
        <item x="476"/>
        <item x="478"/>
        <item x="479"/>
        <item x="480"/>
        <item x="481"/>
        <item x="483"/>
        <item x="482"/>
        <item x="484"/>
        <item x="541"/>
        <item x="542"/>
        <item x="485"/>
        <item x="486"/>
        <item x="487"/>
        <item x="488"/>
        <item x="489"/>
        <item x="491"/>
        <item x="490"/>
        <item x="492"/>
        <item x="543"/>
        <item x="493"/>
        <item x="494"/>
        <item x="495"/>
        <item x="496"/>
        <item x="497"/>
        <item x="498"/>
        <item x="576"/>
        <item x="499"/>
        <item x="500"/>
        <item x="501"/>
        <item x="502"/>
        <item x="503"/>
        <item x="505"/>
        <item x="506"/>
        <item x="507"/>
        <item x="508"/>
        <item x="509"/>
        <item x="504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9"/>
        <item x="540"/>
        <item x="538"/>
        <item m="1" x="587"/>
        <item m="1" x="586"/>
        <item x="544"/>
        <item x="545"/>
        <item x="546"/>
        <item x="547"/>
        <item x="548"/>
        <item x="550"/>
        <item x="551"/>
        <item x="549"/>
        <item m="1" x="585"/>
        <item x="553"/>
        <item x="552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1"/>
        <item x="570"/>
        <item m="1" x="584"/>
        <item x="572"/>
        <item x="573"/>
        <item x="574"/>
        <item x="575"/>
        <item x="577"/>
        <item x="578"/>
        <item x="579"/>
        <item x="580"/>
        <item x="581"/>
        <item x="582"/>
        <item x="583"/>
        <item t="default"/>
      </items>
    </pivotField>
    <pivotField showAll="0"/>
    <pivotField showAll="0">
      <items count="15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5"/>
        <item x="0"/>
        <item t="default"/>
      </items>
    </pivotField>
    <pivotField showAll="0">
      <items count="9">
        <item h="1" x="1"/>
        <item h="1" x="2"/>
        <item x="3"/>
        <item h="1" x="4"/>
        <item h="1" x="5"/>
        <item h="1" x="6"/>
        <item h="1" x="7"/>
        <item h="1" x="0"/>
        <item t="default"/>
      </items>
    </pivotField>
  </pivotFields>
  <rowItems count="1">
    <i/>
  </rowItems>
  <colItems count="1">
    <i/>
  </colItems>
  <dataFields count="1">
    <dataField name="Contagem de PEDIDO INSUMOS" fld="3" subtotal="countNums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FAE235-1453-4416-81DC-AEB5301350AC}" name="totais-equip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2:D3" firstHeaderRow="1" firstDataRow="1" firstDataCol="0"/>
  <pivotFields count="13"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4" showAll="0">
      <items count="589">
        <item x="0"/>
        <item x="1"/>
        <item x="2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3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4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5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6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7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8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9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0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11"/>
        <item x="203"/>
        <item x="204"/>
        <item x="205"/>
        <item x="206"/>
        <item x="207"/>
        <item x="208"/>
        <item x="12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1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14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15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80"/>
        <item x="279"/>
        <item x="281"/>
        <item x="282"/>
        <item x="283"/>
        <item x="284"/>
        <item x="285"/>
        <item x="16"/>
        <item x="287"/>
        <item x="286"/>
        <item x="288"/>
        <item x="291"/>
        <item x="289"/>
        <item x="292"/>
        <item x="290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17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18"/>
        <item x="321"/>
        <item x="322"/>
        <item x="323"/>
        <item x="324"/>
        <item x="325"/>
        <item x="326"/>
        <item x="328"/>
        <item x="327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19"/>
        <item x="341"/>
        <item x="343"/>
        <item x="342"/>
        <item x="344"/>
        <item x="345"/>
        <item x="346"/>
        <item x="347"/>
        <item x="348"/>
        <item x="349"/>
        <item x="350"/>
        <item x="351"/>
        <item x="353"/>
        <item x="354"/>
        <item x="356"/>
        <item x="355"/>
        <item x="352"/>
        <item x="357"/>
        <item x="358"/>
        <item x="359"/>
        <item x="360"/>
        <item x="2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21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3"/>
        <item x="392"/>
        <item x="394"/>
        <item x="395"/>
        <item x="396"/>
        <item x="397"/>
        <item x="398"/>
        <item x="399"/>
        <item x="400"/>
        <item x="401"/>
        <item x="22"/>
        <item x="402"/>
        <item x="403"/>
        <item x="404"/>
        <item x="405"/>
        <item x="407"/>
        <item x="406"/>
        <item x="408"/>
        <item x="409"/>
        <item x="410"/>
        <item x="411"/>
        <item x="412"/>
        <item x="413"/>
        <item x="414"/>
        <item x="415"/>
        <item x="417"/>
        <item x="416"/>
        <item x="418"/>
        <item x="419"/>
        <item x="23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2"/>
        <item x="443"/>
        <item x="444"/>
        <item x="445"/>
        <item x="446"/>
        <item x="448"/>
        <item x="450"/>
        <item x="449"/>
        <item x="451"/>
        <item x="447"/>
        <item x="452"/>
        <item x="441"/>
        <item x="453"/>
        <item x="454"/>
        <item x="457"/>
        <item x="458"/>
        <item x="459"/>
        <item x="460"/>
        <item x="461"/>
        <item x="462"/>
        <item x="463"/>
        <item x="464"/>
        <item x="456"/>
        <item x="465"/>
        <item x="466"/>
        <item x="467"/>
        <item x="468"/>
        <item x="470"/>
        <item x="469"/>
        <item x="471"/>
        <item x="455"/>
        <item x="472"/>
        <item x="473"/>
        <item x="474"/>
        <item x="475"/>
        <item x="477"/>
        <item x="476"/>
        <item x="478"/>
        <item x="479"/>
        <item x="480"/>
        <item x="481"/>
        <item x="483"/>
        <item x="482"/>
        <item x="484"/>
        <item x="541"/>
        <item x="542"/>
        <item x="485"/>
        <item x="486"/>
        <item x="487"/>
        <item x="488"/>
        <item x="489"/>
        <item x="491"/>
        <item x="490"/>
        <item x="492"/>
        <item x="543"/>
        <item x="493"/>
        <item x="494"/>
        <item x="495"/>
        <item x="496"/>
        <item x="497"/>
        <item x="498"/>
        <item x="576"/>
        <item x="499"/>
        <item x="500"/>
        <item x="501"/>
        <item x="502"/>
        <item x="503"/>
        <item x="505"/>
        <item x="506"/>
        <item x="507"/>
        <item x="508"/>
        <item x="509"/>
        <item x="504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9"/>
        <item x="540"/>
        <item x="538"/>
        <item m="1" x="587"/>
        <item m="1" x="586"/>
        <item x="544"/>
        <item x="545"/>
        <item x="546"/>
        <item x="547"/>
        <item x="548"/>
        <item x="550"/>
        <item x="551"/>
        <item x="549"/>
        <item m="1" x="585"/>
        <item x="553"/>
        <item x="552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1"/>
        <item x="570"/>
        <item m="1" x="584"/>
        <item x="572"/>
        <item x="573"/>
        <item x="574"/>
        <item x="575"/>
        <item x="577"/>
        <item x="578"/>
        <item x="579"/>
        <item x="580"/>
        <item x="581"/>
        <item x="582"/>
        <item x="583"/>
        <item t="default"/>
      </items>
    </pivotField>
    <pivotField showAll="0"/>
    <pivotField showAll="0">
      <items count="15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5"/>
        <item x="0"/>
        <item t="default"/>
      </items>
    </pivotField>
    <pivotField showAll="0">
      <items count="9">
        <item h="1" x="1"/>
        <item h="1" x="2"/>
        <item x="3"/>
        <item h="1" x="4"/>
        <item h="1" x="5"/>
        <item h="1" x="6"/>
        <item h="1" x="7"/>
        <item h="1" x="0"/>
        <item t="default"/>
      </items>
    </pivotField>
  </pivotFields>
  <rowItems count="1">
    <i/>
  </rowItems>
  <colItems count="1">
    <i/>
  </colItems>
  <dataFields count="1">
    <dataField name="Soma de VALOR EQUIPAMENTO" fld="6" baseField="0" baseItem="0" numFmtId="44"/>
  </dataFields>
  <formats count="1">
    <format dxfId="5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B5C154-EBED-461A-959A-7BB4687527AD}" name="totais-insu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:B3" firstHeaderRow="1" firstDataRow="1" firstDataCol="0"/>
  <pivotFields count="13"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>
      <items count="589">
        <item x="0"/>
        <item x="1"/>
        <item x="2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3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4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5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6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7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8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9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0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11"/>
        <item x="203"/>
        <item x="204"/>
        <item x="205"/>
        <item x="206"/>
        <item x="207"/>
        <item x="208"/>
        <item x="12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1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14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15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80"/>
        <item x="279"/>
        <item x="281"/>
        <item x="282"/>
        <item x="283"/>
        <item x="284"/>
        <item x="285"/>
        <item x="16"/>
        <item x="287"/>
        <item x="286"/>
        <item x="288"/>
        <item x="291"/>
        <item x="289"/>
        <item x="292"/>
        <item x="290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17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18"/>
        <item x="321"/>
        <item x="322"/>
        <item x="323"/>
        <item x="324"/>
        <item x="325"/>
        <item x="326"/>
        <item x="328"/>
        <item x="327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19"/>
        <item x="341"/>
        <item x="343"/>
        <item x="342"/>
        <item x="344"/>
        <item x="345"/>
        <item x="346"/>
        <item x="347"/>
        <item x="348"/>
        <item x="349"/>
        <item x="350"/>
        <item x="351"/>
        <item x="353"/>
        <item x="354"/>
        <item x="356"/>
        <item x="355"/>
        <item x="352"/>
        <item x="357"/>
        <item x="358"/>
        <item x="359"/>
        <item x="360"/>
        <item x="2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21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3"/>
        <item x="392"/>
        <item x="394"/>
        <item x="395"/>
        <item x="396"/>
        <item x="397"/>
        <item x="398"/>
        <item x="399"/>
        <item x="400"/>
        <item x="401"/>
        <item x="22"/>
        <item x="402"/>
        <item x="403"/>
        <item x="404"/>
        <item x="405"/>
        <item x="407"/>
        <item x="406"/>
        <item x="408"/>
        <item x="409"/>
        <item x="410"/>
        <item x="411"/>
        <item x="412"/>
        <item x="413"/>
        <item x="414"/>
        <item x="415"/>
        <item x="417"/>
        <item x="416"/>
        <item x="418"/>
        <item x="419"/>
        <item x="23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2"/>
        <item x="443"/>
        <item x="444"/>
        <item x="445"/>
        <item x="446"/>
        <item x="448"/>
        <item x="450"/>
        <item x="449"/>
        <item x="451"/>
        <item x="447"/>
        <item x="452"/>
        <item x="441"/>
        <item x="453"/>
        <item x="454"/>
        <item x="457"/>
        <item x="458"/>
        <item x="459"/>
        <item x="460"/>
        <item x="461"/>
        <item x="462"/>
        <item x="463"/>
        <item x="464"/>
        <item x="456"/>
        <item x="465"/>
        <item x="466"/>
        <item x="467"/>
        <item x="468"/>
        <item x="470"/>
        <item x="469"/>
        <item x="471"/>
        <item x="455"/>
        <item x="472"/>
        <item x="473"/>
        <item x="474"/>
        <item x="475"/>
        <item x="477"/>
        <item x="476"/>
        <item x="478"/>
        <item x="479"/>
        <item x="480"/>
        <item x="481"/>
        <item x="483"/>
        <item x="482"/>
        <item x="484"/>
        <item x="541"/>
        <item x="542"/>
        <item x="485"/>
        <item x="486"/>
        <item x="487"/>
        <item x="488"/>
        <item x="489"/>
        <item x="491"/>
        <item x="490"/>
        <item x="492"/>
        <item x="543"/>
        <item x="493"/>
        <item x="494"/>
        <item x="495"/>
        <item x="496"/>
        <item x="497"/>
        <item x="498"/>
        <item x="576"/>
        <item x="499"/>
        <item x="500"/>
        <item x="501"/>
        <item x="502"/>
        <item x="503"/>
        <item x="505"/>
        <item x="506"/>
        <item x="507"/>
        <item x="508"/>
        <item x="509"/>
        <item x="504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9"/>
        <item x="540"/>
        <item x="538"/>
        <item m="1" x="587"/>
        <item m="1" x="586"/>
        <item x="544"/>
        <item x="545"/>
        <item x="546"/>
        <item x="547"/>
        <item x="548"/>
        <item x="550"/>
        <item x="551"/>
        <item x="549"/>
        <item m="1" x="585"/>
        <item x="553"/>
        <item x="552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1"/>
        <item x="570"/>
        <item m="1" x="584"/>
        <item x="572"/>
        <item x="573"/>
        <item x="574"/>
        <item x="575"/>
        <item x="577"/>
        <item x="578"/>
        <item x="579"/>
        <item x="580"/>
        <item x="581"/>
        <item x="582"/>
        <item x="583"/>
        <item t="default"/>
      </items>
    </pivotField>
    <pivotField showAll="0"/>
    <pivotField showAll="0">
      <items count="15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sd="0" x="8"/>
        <item h="1" sd="0" x="9"/>
        <item h="1" sd="0" x="10"/>
        <item h="1" sd="0" x="11"/>
        <item h="1" sd="0" x="12"/>
        <item h="1" sd="0" x="13"/>
        <item t="default"/>
      </items>
    </pivotField>
    <pivotField showAll="0">
      <items count="7">
        <item sd="0" x="1"/>
        <item sd="0" x="2"/>
        <item sd="0" x="3"/>
        <item sd="0" x="4"/>
        <item x="5"/>
        <item x="0"/>
        <item t="default"/>
      </items>
    </pivotField>
    <pivotField showAll="0">
      <items count="9">
        <item h="1" sd="0" x="1"/>
        <item h="1" sd="0" x="2"/>
        <item sd="0" x="3"/>
        <item h="1" x="4"/>
        <item h="1" x="5"/>
        <item h="1" x="6"/>
        <item h="1" x="7"/>
        <item h="1" x="0"/>
        <item t="default"/>
      </items>
    </pivotField>
  </pivotFields>
  <rowItems count="1">
    <i/>
  </rowItems>
  <colItems count="1">
    <i/>
  </colItems>
  <dataFields count="1">
    <dataField name="Soma de VALOR INSUMOS" fld="4" baseField="0" baseItem="0" numFmtId="44"/>
  </dataFields>
  <formats count="1">
    <format dxfId="5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6E067A-F5AE-4AA7-B5F9-4B8272A3B5B9}" name="ped-equip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2:H3" firstHeaderRow="1" firstDataRow="1" firstDataCol="0"/>
  <pivotFields count="13"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>
      <items count="589">
        <item x="0"/>
        <item x="1"/>
        <item x="2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3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4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5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6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7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8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9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0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11"/>
        <item x="203"/>
        <item x="204"/>
        <item x="205"/>
        <item x="206"/>
        <item x="207"/>
        <item x="208"/>
        <item x="12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1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14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15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80"/>
        <item x="279"/>
        <item x="281"/>
        <item x="282"/>
        <item x="283"/>
        <item x="284"/>
        <item x="285"/>
        <item x="16"/>
        <item x="287"/>
        <item x="286"/>
        <item x="288"/>
        <item x="291"/>
        <item x="289"/>
        <item x="292"/>
        <item x="290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17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18"/>
        <item x="321"/>
        <item x="322"/>
        <item x="323"/>
        <item x="324"/>
        <item x="325"/>
        <item x="326"/>
        <item x="328"/>
        <item x="327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19"/>
        <item x="341"/>
        <item x="343"/>
        <item x="342"/>
        <item x="344"/>
        <item x="345"/>
        <item x="346"/>
        <item x="347"/>
        <item x="348"/>
        <item x="349"/>
        <item x="350"/>
        <item x="351"/>
        <item x="353"/>
        <item x="354"/>
        <item x="356"/>
        <item x="355"/>
        <item x="352"/>
        <item x="357"/>
        <item x="358"/>
        <item x="359"/>
        <item x="360"/>
        <item x="2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21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3"/>
        <item x="392"/>
        <item x="394"/>
        <item x="395"/>
        <item x="396"/>
        <item x="397"/>
        <item x="398"/>
        <item x="399"/>
        <item x="400"/>
        <item x="401"/>
        <item x="22"/>
        <item x="402"/>
        <item x="403"/>
        <item x="404"/>
        <item x="405"/>
        <item x="407"/>
        <item x="406"/>
        <item x="408"/>
        <item x="409"/>
        <item x="410"/>
        <item x="411"/>
        <item x="412"/>
        <item x="413"/>
        <item x="414"/>
        <item x="415"/>
        <item x="417"/>
        <item x="416"/>
        <item x="418"/>
        <item x="419"/>
        <item x="23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2"/>
        <item x="443"/>
        <item x="444"/>
        <item x="445"/>
        <item x="446"/>
        <item x="448"/>
        <item x="450"/>
        <item x="449"/>
        <item x="451"/>
        <item x="447"/>
        <item x="452"/>
        <item x="441"/>
        <item x="453"/>
        <item x="454"/>
        <item x="457"/>
        <item x="458"/>
        <item x="459"/>
        <item x="460"/>
        <item x="461"/>
        <item x="462"/>
        <item x="463"/>
        <item x="464"/>
        <item x="456"/>
        <item x="465"/>
        <item x="466"/>
        <item x="467"/>
        <item x="468"/>
        <item x="470"/>
        <item x="469"/>
        <item x="471"/>
        <item x="455"/>
        <item x="472"/>
        <item x="473"/>
        <item x="474"/>
        <item x="475"/>
        <item x="477"/>
        <item x="476"/>
        <item x="478"/>
        <item x="479"/>
        <item x="480"/>
        <item x="481"/>
        <item x="483"/>
        <item x="482"/>
        <item x="484"/>
        <item x="541"/>
        <item x="542"/>
        <item x="485"/>
        <item x="486"/>
        <item x="487"/>
        <item x="488"/>
        <item x="489"/>
        <item x="491"/>
        <item x="490"/>
        <item x="492"/>
        <item x="543"/>
        <item x="493"/>
        <item x="494"/>
        <item x="495"/>
        <item x="496"/>
        <item x="497"/>
        <item x="498"/>
        <item x="576"/>
        <item x="499"/>
        <item x="500"/>
        <item x="501"/>
        <item x="502"/>
        <item x="503"/>
        <item x="505"/>
        <item x="506"/>
        <item x="507"/>
        <item x="508"/>
        <item x="509"/>
        <item x="504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9"/>
        <item x="540"/>
        <item x="538"/>
        <item m="1" x="587"/>
        <item m="1" x="586"/>
        <item x="544"/>
        <item x="545"/>
        <item x="546"/>
        <item x="547"/>
        <item x="548"/>
        <item x="550"/>
        <item x="551"/>
        <item x="549"/>
        <item m="1" x="585"/>
        <item x="553"/>
        <item x="552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1"/>
        <item x="570"/>
        <item m="1" x="584"/>
        <item x="572"/>
        <item x="573"/>
        <item x="574"/>
        <item x="575"/>
        <item x="577"/>
        <item x="578"/>
        <item x="579"/>
        <item x="580"/>
        <item x="581"/>
        <item x="582"/>
        <item x="583"/>
        <item t="default"/>
      </items>
    </pivotField>
    <pivotField showAll="0"/>
    <pivotField showAll="0">
      <items count="15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5"/>
        <item x="0"/>
        <item t="default"/>
      </items>
    </pivotField>
    <pivotField showAll="0">
      <items count="9">
        <item h="1" x="1"/>
        <item h="1" x="2"/>
        <item x="3"/>
        <item h="1" x="4"/>
        <item h="1" x="5"/>
        <item h="1" x="6"/>
        <item h="1" x="7"/>
        <item h="1" x="0"/>
        <item t="default"/>
      </items>
    </pivotField>
  </pivotFields>
  <rowItems count="1">
    <i/>
  </rowItems>
  <colItems count="1">
    <i/>
  </colItems>
  <dataFields count="1">
    <dataField name="Contagem de PEDIDO EQUIPAMENTO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6F5A7-1849-4FBD-9492-99673D60DEA0}" name="tTOP2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NOME">
  <location ref="I3:K24" firstHeaderRow="0" firstDataRow="1" firstDataCol="1"/>
  <pivotFields count="13">
    <pivotField showAll="0"/>
    <pivotField axis="axisRow" showAll="0" measureFilter="1" sortType="descending">
      <items count="169">
        <item m="1" x="167"/>
        <item x="81"/>
        <item x="107"/>
        <item x="40"/>
        <item x="37"/>
        <item x="105"/>
        <item x="108"/>
        <item x="76"/>
        <item x="55"/>
        <item x="102"/>
        <item x="82"/>
        <item x="36"/>
        <item x="15"/>
        <item x="48"/>
        <item x="60"/>
        <item x="10"/>
        <item x="21"/>
        <item x="46"/>
        <item x="18"/>
        <item x="104"/>
        <item x="79"/>
        <item x="106"/>
        <item x="74"/>
        <item x="111"/>
        <item x="77"/>
        <item x="45"/>
        <item x="78"/>
        <item x="24"/>
        <item x="97"/>
        <item x="117"/>
        <item x="44"/>
        <item x="2"/>
        <item x="87"/>
        <item x="70"/>
        <item x="89"/>
        <item x="56"/>
        <item x="62"/>
        <item x="113"/>
        <item x="121"/>
        <item x="34"/>
        <item x="1"/>
        <item x="72"/>
        <item x="16"/>
        <item x="6"/>
        <item x="103"/>
        <item x="39"/>
        <item x="115"/>
        <item x="5"/>
        <item x="65"/>
        <item x="85"/>
        <item x="42"/>
        <item x="26"/>
        <item x="58"/>
        <item x="80"/>
        <item x="28"/>
        <item x="116"/>
        <item x="49"/>
        <item x="61"/>
        <item x="53"/>
        <item x="13"/>
        <item x="57"/>
        <item x="101"/>
        <item x="3"/>
        <item x="99"/>
        <item x="90"/>
        <item x="69"/>
        <item x="8"/>
        <item x="86"/>
        <item x="98"/>
        <item x="27"/>
        <item x="50"/>
        <item x="92"/>
        <item x="95"/>
        <item x="93"/>
        <item x="54"/>
        <item x="23"/>
        <item x="96"/>
        <item x="114"/>
        <item x="52"/>
        <item x="51"/>
        <item x="43"/>
        <item x="29"/>
        <item x="33"/>
        <item x="22"/>
        <item x="35"/>
        <item x="47"/>
        <item x="9"/>
        <item x="75"/>
        <item x="7"/>
        <item x="59"/>
        <item x="30"/>
        <item x="32"/>
        <item x="88"/>
        <item x="71"/>
        <item x="119"/>
        <item x="122"/>
        <item x="25"/>
        <item x="38"/>
        <item x="118"/>
        <item x="83"/>
        <item x="64"/>
        <item x="100"/>
        <item x="63"/>
        <item x="120"/>
        <item x="123"/>
        <item x="73"/>
        <item x="67"/>
        <item x="66"/>
        <item x="20"/>
        <item x="19"/>
        <item x="84"/>
        <item x="109"/>
        <item x="41"/>
        <item x="11"/>
        <item x="4"/>
        <item x="110"/>
        <item x="12"/>
        <item x="14"/>
        <item x="31"/>
        <item x="91"/>
        <item x="0"/>
        <item x="124"/>
        <item x="125"/>
        <item x="126"/>
        <item x="127"/>
        <item x="128"/>
        <item x="129"/>
        <item x="94"/>
        <item x="130"/>
        <item x="131"/>
        <item x="17"/>
        <item x="68"/>
        <item x="136"/>
        <item x="137"/>
        <item x="138"/>
        <item x="139"/>
        <item x="132"/>
        <item x="134"/>
        <item x="140"/>
        <item x="141"/>
        <item x="133"/>
        <item x="142"/>
        <item x="143"/>
        <item x="144"/>
        <item x="135"/>
        <item x="145"/>
        <item x="146"/>
        <item x="147"/>
        <item x="148"/>
        <item x="149"/>
        <item x="150"/>
        <item x="112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dataField="1" showAll="0"/>
    <pivotField showAll="0"/>
    <pivotField numFmtId="14" showAll="0">
      <items count="589">
        <item x="0"/>
        <item x="1"/>
        <item x="2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3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4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5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6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7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8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9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0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11"/>
        <item x="203"/>
        <item x="204"/>
        <item x="205"/>
        <item x="206"/>
        <item x="207"/>
        <item x="208"/>
        <item x="12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1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14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15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80"/>
        <item x="279"/>
        <item x="281"/>
        <item x="282"/>
        <item x="283"/>
        <item x="284"/>
        <item x="285"/>
        <item x="16"/>
        <item x="287"/>
        <item x="286"/>
        <item x="288"/>
        <item x="291"/>
        <item x="289"/>
        <item x="292"/>
        <item x="290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17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18"/>
        <item x="321"/>
        <item x="322"/>
        <item x="323"/>
        <item x="324"/>
        <item x="325"/>
        <item x="326"/>
        <item x="328"/>
        <item x="327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19"/>
        <item x="341"/>
        <item x="343"/>
        <item x="342"/>
        <item x="344"/>
        <item x="345"/>
        <item x="346"/>
        <item x="347"/>
        <item x="348"/>
        <item x="349"/>
        <item x="350"/>
        <item x="351"/>
        <item x="353"/>
        <item x="354"/>
        <item x="356"/>
        <item x="355"/>
        <item x="352"/>
        <item x="357"/>
        <item x="358"/>
        <item x="359"/>
        <item x="360"/>
        <item x="2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21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3"/>
        <item x="392"/>
        <item x="394"/>
        <item x="395"/>
        <item x="396"/>
        <item x="397"/>
        <item x="398"/>
        <item x="399"/>
        <item x="400"/>
        <item x="401"/>
        <item x="22"/>
        <item x="402"/>
        <item x="403"/>
        <item x="404"/>
        <item x="405"/>
        <item x="407"/>
        <item x="406"/>
        <item x="408"/>
        <item x="409"/>
        <item x="410"/>
        <item x="411"/>
        <item x="412"/>
        <item x="413"/>
        <item x="414"/>
        <item x="415"/>
        <item x="417"/>
        <item x="416"/>
        <item x="418"/>
        <item x="419"/>
        <item x="23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2"/>
        <item x="443"/>
        <item x="444"/>
        <item x="445"/>
        <item x="446"/>
        <item x="448"/>
        <item x="450"/>
        <item x="449"/>
        <item x="451"/>
        <item x="447"/>
        <item x="452"/>
        <item x="441"/>
        <item x="453"/>
        <item x="454"/>
        <item x="457"/>
        <item x="458"/>
        <item x="459"/>
        <item x="460"/>
        <item x="461"/>
        <item x="462"/>
        <item x="463"/>
        <item x="464"/>
        <item x="456"/>
        <item x="465"/>
        <item x="466"/>
        <item x="467"/>
        <item x="468"/>
        <item x="470"/>
        <item x="469"/>
        <item x="471"/>
        <item x="455"/>
        <item x="472"/>
        <item x="473"/>
        <item x="474"/>
        <item x="475"/>
        <item x="477"/>
        <item x="476"/>
        <item x="478"/>
        <item x="479"/>
        <item x="480"/>
        <item x="481"/>
        <item x="483"/>
        <item x="482"/>
        <item x="484"/>
        <item x="541"/>
        <item x="542"/>
        <item x="485"/>
        <item x="486"/>
        <item x="487"/>
        <item x="488"/>
        <item x="489"/>
        <item x="491"/>
        <item x="490"/>
        <item x="492"/>
        <item x="543"/>
        <item x="493"/>
        <item x="494"/>
        <item x="495"/>
        <item x="496"/>
        <item x="497"/>
        <item x="498"/>
        <item x="576"/>
        <item x="499"/>
        <item x="500"/>
        <item x="501"/>
        <item x="502"/>
        <item x="503"/>
        <item x="505"/>
        <item x="506"/>
        <item x="507"/>
        <item x="508"/>
        <item x="509"/>
        <item x="504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9"/>
        <item x="540"/>
        <item x="538"/>
        <item m="1" x="587"/>
        <item m="1" x="586"/>
        <item x="544"/>
        <item x="545"/>
        <item x="546"/>
        <item x="547"/>
        <item x="548"/>
        <item x="550"/>
        <item x="551"/>
        <item x="549"/>
        <item m="1" x="585"/>
        <item x="553"/>
        <item x="552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1"/>
        <item x="570"/>
        <item m="1" x="584"/>
        <item x="572"/>
        <item x="573"/>
        <item x="574"/>
        <item x="575"/>
        <item x="577"/>
        <item x="578"/>
        <item x="579"/>
        <item x="580"/>
        <item x="581"/>
        <item x="582"/>
        <item x="583"/>
        <item t="default"/>
      </items>
    </pivotField>
    <pivotField showAll="0"/>
    <pivotField showAll="0">
      <items count="15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5"/>
        <item x="0"/>
        <item t="default"/>
      </items>
    </pivotField>
    <pivotField showAll="0">
      <items count="9">
        <item h="1" x="1"/>
        <item h="1" x="2"/>
        <item x="3"/>
        <item h="1" x="4"/>
        <item h="1" x="5"/>
        <item h="1" x="6"/>
        <item h="1" x="7"/>
        <item h="1" x="0"/>
        <item t="default"/>
      </items>
    </pivotField>
  </pivotFields>
  <rowFields count="1">
    <field x="1"/>
  </rowFields>
  <rowItems count="21">
    <i>
      <x v="75"/>
    </i>
    <i>
      <x v="27"/>
    </i>
    <i>
      <x v="156"/>
    </i>
    <i>
      <x v="112"/>
    </i>
    <i>
      <x v="135"/>
    </i>
    <i>
      <x v="163"/>
    </i>
    <i>
      <x v="109"/>
    </i>
    <i>
      <x v="9"/>
    </i>
    <i>
      <x v="10"/>
    </i>
    <i>
      <x v="28"/>
    </i>
    <i>
      <x v="113"/>
    </i>
    <i>
      <x v="148"/>
    </i>
    <i>
      <x v="127"/>
    </i>
    <i>
      <x v="46"/>
    </i>
    <i>
      <x v="45"/>
    </i>
    <i>
      <x v="22"/>
    </i>
    <i>
      <x v="137"/>
    </i>
    <i>
      <x v="17"/>
    </i>
    <i>
      <x v="136"/>
    </i>
    <i>
      <x v="76"/>
    </i>
    <i t="grand">
      <x/>
    </i>
  </rowItems>
  <colFields count="1">
    <field x="-2"/>
  </colFields>
  <colItems count="2">
    <i>
      <x/>
    </i>
    <i i="1">
      <x v="1"/>
    </i>
  </colItems>
  <dataFields count="2">
    <dataField name="VALORES INSUMOS" fld="4" baseField="0" baseItem="0" numFmtId="44"/>
    <dataField name="VALORES EQUIPAMENTOS" fld="6" baseField="0" baseItem="0"/>
  </dataFields>
  <formats count="11">
    <format dxfId="31">
      <pivotArea outline="0" collapsedLevelsAreSubtotals="1" fieldPosition="0"/>
    </format>
    <format dxfId="30">
      <pivotArea dataOnly="0" labelOnly="1" outline="0" axis="axisValues" fieldPosition="0"/>
    </format>
    <format dxfId="29">
      <pivotArea dataOnly="0" labelOnly="1" outline="0" axis="axisValues" fieldPosition="0"/>
    </format>
    <format dxfId="28">
      <pivotArea field="1" type="button" dataOnly="0" labelOnly="1" outline="0" axis="axisRow" fieldPosition="0"/>
    </format>
    <format dxfId="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19">
            <x v="4"/>
            <x v="14"/>
            <x v="31"/>
            <x v="32"/>
            <x v="35"/>
            <x v="45"/>
            <x v="51"/>
            <x v="52"/>
            <x v="59"/>
            <x v="62"/>
            <x v="66"/>
            <x v="75"/>
            <x v="80"/>
            <x v="108"/>
            <x v="109"/>
            <x v="112"/>
            <x v="113"/>
            <x v="114"/>
            <x v="116"/>
          </reference>
        </references>
      </pivotArea>
    </format>
    <format dxfId="22">
      <pivotArea dataOnly="0" labelOnly="1" grandRow="1" outline="0" fieldPosition="0"/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s__DATA" xr10:uid="{993C64C1-B242-43D5-BC58-0C68AD936EF6}" sourceName="Anos (DATA)">
  <pivotTables>
    <pivotTable tabId="6" name="totais-insu"/>
    <pivotTable tabId="5" name="tTOP20"/>
    <pivotTable tabId="6" name="ped-equip"/>
    <pivotTable tabId="6" name="ped-insu"/>
    <pivotTable tabId="6" name="totais-equip"/>
  </pivotTables>
  <data>
    <tabular pivotCacheId="1720379860">
      <items count="8">
        <i x="1"/>
        <i x="2"/>
        <i x="3" s="1"/>
        <i x="0" nd="1"/>
        <i x="7" nd="1"/>
        <i x="4" nd="1"/>
        <i x="5" nd="1"/>
        <i x="6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ses__DATA" xr10:uid="{344F46E7-3D34-4502-907B-CAC8CA5E65EE}" sourceName="Meses (DATA)">
  <pivotTables>
    <pivotTable tabId="6" name="totais-insu"/>
    <pivotTable tabId="5" name="tTOP20"/>
    <pivotTable tabId="6" name="ped-equip"/>
    <pivotTable tabId="6" name="ped-insu"/>
    <pivotTable tabId="6" name="totais-equip"/>
  </pivotTables>
  <data>
    <tabular pivotCacheId="1720379860" showMissing="0">
      <items count="14">
        <i x="1"/>
        <i x="2"/>
        <i x="3"/>
        <i x="4"/>
        <i x="5"/>
        <i x="6"/>
        <i x="7"/>
        <i x="8" s="1"/>
        <i x="9" nd="1"/>
        <i x="10" nd="1"/>
        <i x="11" nd="1"/>
        <i x="12" nd="1"/>
        <i x="0" nd="1"/>
        <i x="13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s (DATA)" xr10:uid="{B1DD1935-DF63-4729-BEEA-6D1FE64D01BB}" cache="SegmentaçãodeDados_Anos__DATA" caption="Anos (DATA)" rowHeight="241300"/>
  <slicer name="Meses (DATA)" xr10:uid="{2023CEDE-3AB9-43BE-BE46-F0B19CCD0EE6}" cache="SegmentaçãodeDados_Meses__DATA" caption="Meses (DATA)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s (DATA) 1" xr10:uid="{698E54BD-8056-4B67-9406-00F8B6256818}" cache="SegmentaçãodeDados_Anos__DATA" caption="Anos (DATA)" rowHeight="241300"/>
  <slicer name="Meses (DATA) 1" xr10:uid="{4A22BCA9-2CE4-4A87-818E-AA6CF78AA82C}" cache="SegmentaçãodeDados_Meses__DATA" caption="Meses (DATA)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8F7F69-6EA3-4206-96E5-DD0667C4DF40}" name="LIG" displayName="LIG" ref="A1:I2" totalsRowShown="0" headerRowDxfId="50" headerRowBorderDxfId="49" tableBorderDxfId="48">
  <autoFilter ref="A1:I2" xr:uid="{298F7F69-6EA3-4206-96E5-DD0667C4DF40}"/>
  <tableColumns count="9">
    <tableColumn id="1" xr3:uid="{27AEFBB0-F7D3-46C6-B76D-453CA6ACA2BD}" name="CLIENTE"/>
    <tableColumn id="2" xr3:uid="{D932BBBB-6D07-4A0D-8196-7834C4660237}" name="NOME">
      <calculatedColumnFormula>IFERROR(VLOOKUP(A2,CLIENTES!A:D,2,0),"CADASTRAR CLIENTE")</calculatedColumnFormula>
    </tableColumn>
    <tableColumn id="3" xr3:uid="{7BED3286-D25C-4EE0-BFF4-4032731262F1}" name="RESPONSÁVEL"/>
    <tableColumn id="4" xr3:uid="{2C1FB025-1CF4-4E40-9B25-79ADA2A9BCA6}" name="DATA" dataDxfId="47"/>
    <tableColumn id="5" xr3:uid="{7A88052B-54F6-4448-A7CF-FAFAB96508F7}" name="HORA" dataDxfId="46"/>
    <tableColumn id="6" xr3:uid="{C274668A-E36D-4F2F-A0D5-2EAF787300C8}" name="ATENDEU"/>
    <tableColumn id="7" xr3:uid="{BDE6DE29-391C-485B-907E-04BB3D43C93F}" name="OBSERVAÇÃO"/>
    <tableColumn id="8" xr3:uid="{9080AC18-54CD-4BF3-9315-69A924B1F1C1}" name="VISITA"/>
    <tableColumn id="9" xr3:uid="{900E3664-F457-4A03-B798-2002422C2102}" name="MOTIVO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E84CEA-9C5F-49F9-962D-FE7ECFE62A26}" name="CLI" displayName="CLI" ref="A1:J251" totalsRowShown="0" headerRowDxfId="14" dataDxfId="13" headerRowBorderDxfId="11" tableBorderDxfId="12" totalsRowBorderDxfId="10">
  <autoFilter ref="A1:J251" xr:uid="{74E84CEA-9C5F-49F9-962D-FE7ECFE62A26}"/>
  <tableColumns count="10">
    <tableColumn id="1" xr3:uid="{9C6E8D59-47DD-46BF-9269-0B685DF95931}" name="SKU" dataDxfId="9"/>
    <tableColumn id="2" xr3:uid="{5489E9DC-3D74-4EFA-84E7-CD4F5C3F0F7A}" name="NOME" dataDxfId="8"/>
    <tableColumn id="3" xr3:uid="{73625F97-E74F-48B0-B4DF-5C9DCCDB73AE}" name="EMAIL" dataDxfId="7"/>
    <tableColumn id="5" xr3:uid="{3A443CD7-4FCA-4BD2-AC31-06FEDEF4A07D}" name="CIDADE" dataDxfId="6"/>
    <tableColumn id="10" xr3:uid="{5B7C7F8F-C303-4875-ADFA-1D50CF3B407D}" name="SEGMENTO" dataDxfId="5" dataCellStyle="Hiperlink"/>
    <tableColumn id="6" xr3:uid="{2DF2A923-D2F1-44F3-9ED0-939801F74E14}" name="PRIMEIRA COMPRA" dataDxfId="4"/>
    <tableColumn id="7" xr3:uid="{7998C5A4-87C1-45B5-9378-F291D9B941EF}" name="ULTIMA COMPRA" dataDxfId="3"/>
    <tableColumn id="8" xr3:uid="{B8FD1CF7-5E34-490B-81FE-73E0CC653A54}" name="INAT(DIAS)" dataDxfId="2"/>
    <tableColumn id="9" xr3:uid="{C95EB2A0-B64E-4EF7-9B80-A1BF4AB8E70A}" name="EMAIL " dataDxfId="1" dataCellStyle="Hiperlink"/>
    <tableColumn id="11" xr3:uid="{203C8B9F-98B0-43AE-9243-18744001D602}" name="OBSERVAÇÃO" dataDxfId="0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02EB8A-F10F-4CD4-83FA-62D01FD8FC77}" name="tVendas" displayName="tVendas" ref="A1:I535" totalsRowShown="0" headerRowDxfId="45" dataDxfId="43" headerRowBorderDxfId="44" tableBorderDxfId="42" totalsRowBorderDxfId="41">
  <autoFilter ref="A1:I535" xr:uid="{FF02EB8A-F10F-4CD4-83FA-62D01FD8FC77}"/>
  <tableColumns count="9">
    <tableColumn id="1" xr3:uid="{3BB643D8-6CAD-48D2-9E3A-4871E6440795}" name="CLIENTE" dataDxfId="40"/>
    <tableColumn id="2" xr3:uid="{383C322A-82D2-4DCA-A6FC-81D8E50AA590}" name="NOME" dataDxfId="39">
      <calculatedColumnFormula>IFERROR(VLOOKUP(A2,CLIENTES!A:E,2,0),"CADASTRAR CLIENTE")</calculatedColumnFormula>
    </tableColumn>
    <tableColumn id="3" xr3:uid="{817BBA6F-A47C-4856-9922-8147FDB75DDE}" name="ENVIO" dataDxfId="38"/>
    <tableColumn id="4" xr3:uid="{05CCEA0A-09FF-4BB6-A5CB-7FDF1D1C8D06}" name="PEDIDO INSUMOS" dataDxfId="37"/>
    <tableColumn id="6" xr3:uid="{448BD062-BE3C-4767-B43B-04A73245A11D}" name="VALOR INSUMOS" dataDxfId="36"/>
    <tableColumn id="5" xr3:uid="{1A33E653-9A54-456B-9852-8FD0AEC4569F}" name="PEDIDO EQUIPAMENTO2" dataDxfId="35" dataCellStyle="Moeda"/>
    <tableColumn id="7" xr3:uid="{108C1FD2-52BA-475F-BD16-8E4D5B130D4D}" name="VALOR EQUIPAMENTO" dataDxfId="34"/>
    <tableColumn id="8" xr3:uid="{F847CAA3-AF59-43DC-91B7-B73343BD9845}" name="LOCAÇÃO" dataDxfId="33"/>
    <tableColumn id="10" xr3:uid="{17A3B7B8-E95E-44A0-BD5D-186179BFE973}" name="DATA" dataDxfId="32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6FFB3-C98F-405D-879F-881CB653B5D9}">
  <dimension ref="A1:G13"/>
  <sheetViews>
    <sheetView zoomScaleNormal="100" workbookViewId="0">
      <selection activeCell="B4" sqref="B4"/>
    </sheetView>
  </sheetViews>
  <sheetFormatPr defaultRowHeight="15" x14ac:dyDescent="0.25"/>
  <cols>
    <col min="2" max="2" width="13.85546875" bestFit="1" customWidth="1"/>
    <col min="5" max="5" width="10.7109375" bestFit="1" customWidth="1"/>
    <col min="6" max="6" width="41.140625" bestFit="1" customWidth="1"/>
    <col min="7" max="7" width="21.85546875" bestFit="1" customWidth="1"/>
  </cols>
  <sheetData>
    <row r="1" spans="1:7" x14ac:dyDescent="0.25">
      <c r="A1" t="s">
        <v>52</v>
      </c>
      <c r="E1" s="1">
        <f ca="1">TODAY()</f>
        <v>46253</v>
      </c>
      <c r="G1" s="2" t="s">
        <v>53</v>
      </c>
    </row>
    <row r="2" spans="1:7" x14ac:dyDescent="0.25">
      <c r="A2" t="s">
        <v>54</v>
      </c>
      <c r="B2" s="3" t="s">
        <v>55</v>
      </c>
      <c r="G2" s="4"/>
    </row>
    <row r="3" spans="1:7" x14ac:dyDescent="0.25">
      <c r="B3" s="5">
        <v>288000</v>
      </c>
      <c r="G3" t="s">
        <v>71</v>
      </c>
    </row>
    <row r="4" spans="1:7" x14ac:dyDescent="0.25">
      <c r="B4" s="37"/>
    </row>
    <row r="5" spans="1:7" x14ac:dyDescent="0.25">
      <c r="A5" t="s">
        <v>56</v>
      </c>
    </row>
    <row r="7" spans="1:7" x14ac:dyDescent="0.25">
      <c r="B7" t="s">
        <v>93</v>
      </c>
    </row>
    <row r="8" spans="1:7" x14ac:dyDescent="0.25">
      <c r="B8" t="s">
        <v>92</v>
      </c>
    </row>
    <row r="9" spans="1:7" x14ac:dyDescent="0.25">
      <c r="B9" t="s">
        <v>91</v>
      </c>
    </row>
    <row r="10" spans="1:7" x14ac:dyDescent="0.25">
      <c r="B10" t="s">
        <v>90</v>
      </c>
    </row>
    <row r="11" spans="1:7" x14ac:dyDescent="0.25">
      <c r="B11" t="s">
        <v>94</v>
      </c>
    </row>
    <row r="12" spans="1:7" x14ac:dyDescent="0.25">
      <c r="B12" t="s">
        <v>95</v>
      </c>
    </row>
    <row r="13" spans="1:7" x14ac:dyDescent="0.25">
      <c r="B13" t="s">
        <v>96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2D4EB-EC39-4228-BD07-C55A952DA704}">
  <dimension ref="B1:H3"/>
  <sheetViews>
    <sheetView workbookViewId="0">
      <selection activeCell="B3552" sqref="B3552"/>
    </sheetView>
  </sheetViews>
  <sheetFormatPr defaultRowHeight="15" x14ac:dyDescent="0.25"/>
  <cols>
    <col min="2" max="3" width="24.5703125" bestFit="1" customWidth="1"/>
    <col min="4" max="4" width="29.7109375" bestFit="1" customWidth="1"/>
    <col min="6" max="6" width="29.7109375" bestFit="1" customWidth="1"/>
    <col min="8" max="8" width="34.7109375" bestFit="1" customWidth="1"/>
  </cols>
  <sheetData>
    <row r="1" spans="2:8" x14ac:dyDescent="0.25">
      <c r="B1" s="7">
        <f>GETPIVOTDATA("VALOR INSUMOS",$B$2)</f>
        <v>135392.18000000002</v>
      </c>
      <c r="D1" s="7">
        <f>GETPIVOTDATA("VALOR EQUIPAMENTO",$D$2)</f>
        <v>7920</v>
      </c>
      <c r="F1">
        <f>GETPIVOTDATA("PEDIDO INSUMOS",$F$2)</f>
        <v>47</v>
      </c>
      <c r="H1">
        <f>GETPIVOTDATA("PEDIDO EQUIPAMENTO",$H$2)</f>
        <v>0</v>
      </c>
    </row>
    <row r="2" spans="2:8" x14ac:dyDescent="0.25">
      <c r="B2" t="s">
        <v>74</v>
      </c>
      <c r="D2" t="s">
        <v>77</v>
      </c>
      <c r="F2" t="s">
        <v>83</v>
      </c>
      <c r="H2" t="s">
        <v>84</v>
      </c>
    </row>
    <row r="3" spans="2:8" x14ac:dyDescent="0.25">
      <c r="B3" s="8">
        <v>135392.18000000002</v>
      </c>
      <c r="D3" s="8">
        <v>7920</v>
      </c>
      <c r="F3">
        <v>47</v>
      </c>
    </row>
  </sheetData>
  <pageMargins left="0.511811024" right="0.511811024" top="0.78740157499999996" bottom="0.78740157499999996" header="0.31496062000000002" footer="0.31496062000000002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8F2CB-DD9A-4EBB-AC05-A19C0898FE67}">
  <dimension ref="A1:I2"/>
  <sheetViews>
    <sheetView zoomScale="98" zoomScaleNormal="98" workbookViewId="0">
      <selection activeCell="A3" sqref="A3"/>
    </sheetView>
  </sheetViews>
  <sheetFormatPr defaultRowHeight="15" x14ac:dyDescent="0.25"/>
  <cols>
    <col min="1" max="1" width="10.140625" customWidth="1"/>
    <col min="2" max="2" width="45" bestFit="1" customWidth="1"/>
    <col min="3" max="3" width="15.7109375" customWidth="1"/>
    <col min="4" max="4" width="10.7109375" bestFit="1" customWidth="1"/>
    <col min="5" max="5" width="12" bestFit="1" customWidth="1"/>
    <col min="6" max="6" width="11.5703125" customWidth="1"/>
    <col min="7" max="7" width="23.42578125" bestFit="1" customWidth="1"/>
    <col min="8" max="8" width="11.28515625" bestFit="1" customWidth="1"/>
    <col min="9" max="9" width="13.140625" bestFit="1" customWidth="1"/>
  </cols>
  <sheetData>
    <row r="1" spans="1:9" s="17" customFormat="1" x14ac:dyDescent="0.25">
      <c r="A1" s="10" t="s">
        <v>57</v>
      </c>
      <c r="B1" s="10" t="s">
        <v>1</v>
      </c>
      <c r="C1" s="10" t="s">
        <v>64</v>
      </c>
      <c r="D1" s="10" t="s">
        <v>63</v>
      </c>
      <c r="E1" s="11" t="s">
        <v>65</v>
      </c>
      <c r="F1" s="10" t="s">
        <v>66</v>
      </c>
      <c r="G1" s="11" t="s">
        <v>67</v>
      </c>
      <c r="H1" s="10" t="s">
        <v>68</v>
      </c>
      <c r="I1" s="12" t="s">
        <v>69</v>
      </c>
    </row>
    <row r="2" spans="1:9" x14ac:dyDescent="0.25">
      <c r="A2">
        <v>704</v>
      </c>
      <c r="B2" t="str">
        <f>IFERROR(VLOOKUP(A2,CLIENTES!A:D,2,0),"CADASTRAR CLIENTE")</f>
        <v>CADASTRAR CLIENTE</v>
      </c>
      <c r="C2" t="s">
        <v>99</v>
      </c>
      <c r="D2" s="1">
        <v>45723</v>
      </c>
      <c r="E2" s="6">
        <v>0.4375</v>
      </c>
    </row>
  </sheetData>
  <conditionalFormatting sqref="B1:B1048576">
    <cfRule type="containsText" dxfId="20" priority="1" operator="containsText" text="CADASTRAR CLIENTE">
      <formula>NOT(ISERROR(SEARCH("CADASTRAR CLIENTE",B1)))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542B0-031A-4413-BE95-410716EF0270}">
  <dimension ref="A1:K430"/>
  <sheetViews>
    <sheetView showGridLines="0" zoomScale="73" zoomScaleNormal="73" workbookViewId="0">
      <pane ySplit="1" topLeftCell="A230" activePane="bottomLeft" state="frozen"/>
      <selection pane="bottomLeft" activeCell="A252" sqref="A252"/>
    </sheetView>
  </sheetViews>
  <sheetFormatPr defaultRowHeight="15.75" x14ac:dyDescent="0.25"/>
  <cols>
    <col min="1" max="1" width="8.5703125" style="32" bestFit="1" customWidth="1"/>
    <col min="2" max="2" width="77.28515625" style="32" bestFit="1" customWidth="1"/>
    <col min="3" max="3" width="44.7109375" style="32" customWidth="1"/>
    <col min="4" max="4" width="33.85546875" style="32" bestFit="1" customWidth="1"/>
    <col min="5" max="5" width="16.7109375" style="32" customWidth="1"/>
    <col min="6" max="6" width="20.85546875" style="33" bestFit="1" customWidth="1"/>
    <col min="7" max="7" width="19" style="33" bestFit="1" customWidth="1"/>
    <col min="8" max="8" width="13.28515625" style="33" bestFit="1" customWidth="1"/>
    <col min="9" max="9" width="15.85546875" style="32" customWidth="1"/>
    <col min="10" max="10" width="15.5703125" style="32" bestFit="1" customWidth="1"/>
    <col min="11" max="11" width="15.5703125" bestFit="1" customWidth="1"/>
  </cols>
  <sheetData>
    <row r="1" spans="1:10" s="14" customFormat="1" x14ac:dyDescent="0.25">
      <c r="A1" s="26" t="s">
        <v>0</v>
      </c>
      <c r="B1" s="27" t="s">
        <v>1</v>
      </c>
      <c r="C1" s="27" t="s">
        <v>2</v>
      </c>
      <c r="D1" s="28" t="s">
        <v>3</v>
      </c>
      <c r="E1" s="29" t="s">
        <v>89</v>
      </c>
      <c r="F1" s="27" t="s">
        <v>4</v>
      </c>
      <c r="G1" s="28" t="s">
        <v>5</v>
      </c>
      <c r="H1" s="27" t="s">
        <v>72</v>
      </c>
      <c r="I1" s="30" t="s">
        <v>70</v>
      </c>
      <c r="J1" s="31" t="s">
        <v>67</v>
      </c>
    </row>
    <row r="2" spans="1:10" ht="15" x14ac:dyDescent="0.25">
      <c r="A2" s="49"/>
      <c r="B2" s="49"/>
      <c r="C2" s="49"/>
      <c r="D2" s="49"/>
      <c r="E2" s="49"/>
      <c r="F2" s="50"/>
      <c r="G2" s="50"/>
      <c r="H2" s="9"/>
      <c r="I2" s="51"/>
      <c r="J2" s="52"/>
    </row>
    <row r="3" spans="1:10" ht="15" x14ac:dyDescent="0.25">
      <c r="A3" s="49"/>
      <c r="B3" s="49"/>
      <c r="C3" s="49"/>
      <c r="D3" s="49"/>
      <c r="E3" s="49"/>
      <c r="F3" s="50"/>
      <c r="G3" s="50"/>
      <c r="H3" s="9"/>
      <c r="I3" s="51"/>
      <c r="J3" s="52"/>
    </row>
    <row r="4" spans="1:10" ht="15" x14ac:dyDescent="0.25">
      <c r="A4" s="49"/>
      <c r="B4" s="49"/>
      <c r="C4" s="49"/>
      <c r="D4" s="49"/>
      <c r="E4" s="49"/>
      <c r="F4" s="50"/>
      <c r="G4" s="50"/>
      <c r="H4" s="9"/>
      <c r="I4" s="51"/>
      <c r="J4" s="52"/>
    </row>
    <row r="5" spans="1:10" ht="15" x14ac:dyDescent="0.25">
      <c r="A5" s="49"/>
      <c r="B5" s="49"/>
      <c r="C5" s="49"/>
      <c r="D5" s="49"/>
      <c r="E5" s="49"/>
      <c r="F5" s="50"/>
      <c r="G5" s="50"/>
      <c r="H5" s="9"/>
      <c r="I5" s="51"/>
      <c r="J5" s="52"/>
    </row>
    <row r="6" spans="1:10" ht="15" x14ac:dyDescent="0.25">
      <c r="A6" s="49"/>
      <c r="B6" s="49"/>
      <c r="C6" s="49"/>
      <c r="D6" s="49"/>
      <c r="E6" s="49"/>
      <c r="F6" s="50"/>
      <c r="G6" s="50"/>
      <c r="H6" s="9"/>
      <c r="I6" s="51"/>
      <c r="J6" s="52"/>
    </row>
    <row r="7" spans="1:10" ht="15" x14ac:dyDescent="0.25">
      <c r="A7" s="49"/>
      <c r="B7" s="49"/>
      <c r="C7" s="49"/>
      <c r="D7" s="49"/>
      <c r="E7" s="49"/>
      <c r="F7" s="50"/>
      <c r="G7" s="50"/>
      <c r="H7" s="9"/>
      <c r="I7" s="51"/>
      <c r="J7" s="52"/>
    </row>
    <row r="8" spans="1:10" ht="15" x14ac:dyDescent="0.25">
      <c r="A8" s="49"/>
      <c r="B8" s="49"/>
      <c r="C8" s="49"/>
      <c r="D8" s="49"/>
      <c r="E8" s="49"/>
      <c r="F8" s="50"/>
      <c r="G8" s="50"/>
      <c r="H8" s="9"/>
      <c r="I8" s="51"/>
      <c r="J8" s="52"/>
    </row>
    <row r="9" spans="1:10" ht="15" x14ac:dyDescent="0.25">
      <c r="A9" s="49"/>
      <c r="B9" s="49"/>
      <c r="C9" s="49"/>
      <c r="D9" s="49"/>
      <c r="E9" s="49"/>
      <c r="F9" s="50"/>
      <c r="G9" s="50"/>
      <c r="H9" s="9"/>
      <c r="I9" s="51"/>
      <c r="J9" s="52"/>
    </row>
    <row r="10" spans="1:10" ht="15" x14ac:dyDescent="0.25">
      <c r="A10" s="49"/>
      <c r="B10" s="49"/>
      <c r="C10" s="49"/>
      <c r="D10" s="49"/>
      <c r="E10" s="49"/>
      <c r="F10" s="50"/>
      <c r="G10" s="50"/>
      <c r="H10" s="9"/>
      <c r="I10" s="51"/>
      <c r="J10" s="52"/>
    </row>
    <row r="11" spans="1:10" ht="15" x14ac:dyDescent="0.25">
      <c r="A11" s="49"/>
      <c r="B11" s="49"/>
      <c r="C11" s="49"/>
      <c r="D11" s="49"/>
      <c r="E11" s="49"/>
      <c r="F11" s="50"/>
      <c r="G11" s="50"/>
      <c r="H11" s="9"/>
      <c r="I11" s="51"/>
      <c r="J11" s="52"/>
    </row>
    <row r="12" spans="1:10" ht="15" x14ac:dyDescent="0.25">
      <c r="A12" s="49"/>
      <c r="B12" s="49"/>
      <c r="C12" s="49"/>
      <c r="D12" s="49"/>
      <c r="E12" s="49"/>
      <c r="F12" s="50"/>
      <c r="G12" s="50"/>
      <c r="H12" s="9"/>
      <c r="I12" s="51"/>
      <c r="J12" s="52"/>
    </row>
    <row r="13" spans="1:10" ht="15" x14ac:dyDescent="0.25">
      <c r="A13" s="49"/>
      <c r="B13" s="49"/>
      <c r="C13" s="49"/>
      <c r="D13" s="49"/>
      <c r="E13" s="49"/>
      <c r="F13" s="50"/>
      <c r="G13" s="50"/>
      <c r="H13" s="9"/>
      <c r="I13" s="51"/>
      <c r="J13" s="52"/>
    </row>
    <row r="14" spans="1:10" ht="15" x14ac:dyDescent="0.25">
      <c r="A14" s="49">
        <v>869</v>
      </c>
      <c r="B14" s="49" t="s">
        <v>108</v>
      </c>
      <c r="C14" s="49"/>
      <c r="D14" s="49" t="s">
        <v>109</v>
      </c>
      <c r="E14" s="49" t="s">
        <v>110</v>
      </c>
      <c r="F14" s="50"/>
      <c r="G14" s="50"/>
      <c r="H14" s="9"/>
      <c r="I14" s="51"/>
      <c r="J14" s="52"/>
    </row>
    <row r="15" spans="1:10" ht="15" x14ac:dyDescent="0.25">
      <c r="A15" s="49">
        <v>1742</v>
      </c>
      <c r="B15" s="49" t="s">
        <v>38</v>
      </c>
      <c r="C15" s="49"/>
      <c r="D15" s="49" t="s">
        <v>39</v>
      </c>
      <c r="E15" s="49" t="s">
        <v>111</v>
      </c>
      <c r="F15" s="50"/>
      <c r="G15" s="50"/>
      <c r="H15" s="9"/>
      <c r="I15" s="51"/>
      <c r="J15" s="52"/>
    </row>
    <row r="16" spans="1:10" ht="15" x14ac:dyDescent="0.25">
      <c r="A16" s="49">
        <v>500972</v>
      </c>
      <c r="B16" s="49" t="s">
        <v>112</v>
      </c>
      <c r="C16" s="49"/>
      <c r="D16" s="49" t="s">
        <v>113</v>
      </c>
      <c r="E16" s="49" t="s">
        <v>111</v>
      </c>
      <c r="F16" s="50"/>
      <c r="G16" s="50"/>
      <c r="H16" s="9"/>
      <c r="I16" s="51"/>
      <c r="J16" s="52"/>
    </row>
    <row r="17" spans="1:10" ht="15" x14ac:dyDescent="0.25">
      <c r="A17" s="49">
        <v>500992</v>
      </c>
      <c r="B17" s="49" t="s">
        <v>114</v>
      </c>
      <c r="C17" s="49"/>
      <c r="D17" s="49" t="s">
        <v>35</v>
      </c>
      <c r="E17" s="49" t="s">
        <v>115</v>
      </c>
      <c r="F17" s="50"/>
      <c r="G17" s="50"/>
      <c r="H17" s="9"/>
      <c r="I17" s="51"/>
      <c r="J17" s="52"/>
    </row>
    <row r="18" spans="1:10" ht="15" x14ac:dyDescent="0.25">
      <c r="A18" s="49">
        <v>51196</v>
      </c>
      <c r="B18" s="49" t="s">
        <v>116</v>
      </c>
      <c r="C18" s="49"/>
      <c r="D18" s="49" t="s">
        <v>6</v>
      </c>
      <c r="E18" s="49" t="s">
        <v>117</v>
      </c>
      <c r="F18" s="50"/>
      <c r="G18" s="50"/>
      <c r="H18" s="9"/>
      <c r="I18" s="51"/>
      <c r="J18" s="52"/>
    </row>
    <row r="19" spans="1:10" ht="15" x14ac:dyDescent="0.25">
      <c r="A19" s="49">
        <v>51010</v>
      </c>
      <c r="B19" s="49" t="s">
        <v>118</v>
      </c>
      <c r="C19" s="49"/>
      <c r="D19" s="49" t="s">
        <v>33</v>
      </c>
      <c r="E19" s="49" t="s">
        <v>111</v>
      </c>
      <c r="F19" s="50"/>
      <c r="G19" s="50"/>
      <c r="H19" s="9"/>
      <c r="I19" s="51"/>
      <c r="J19" s="52"/>
    </row>
    <row r="20" spans="1:10" ht="15" x14ac:dyDescent="0.25">
      <c r="A20" s="49">
        <v>500987</v>
      </c>
      <c r="B20" s="49" t="s">
        <v>119</v>
      </c>
      <c r="C20" s="49"/>
      <c r="D20" s="49" t="s">
        <v>120</v>
      </c>
      <c r="E20" s="49" t="s">
        <v>110</v>
      </c>
      <c r="F20" s="50"/>
      <c r="G20" s="50"/>
      <c r="H20" s="9"/>
      <c r="I20" s="51"/>
      <c r="J20" s="52"/>
    </row>
    <row r="21" spans="1:10" ht="15" x14ac:dyDescent="0.25">
      <c r="A21" s="49">
        <v>1283</v>
      </c>
      <c r="B21" s="49" t="s">
        <v>121</v>
      </c>
      <c r="C21" s="49"/>
      <c r="D21" s="49" t="s">
        <v>48</v>
      </c>
      <c r="E21" s="49" t="s">
        <v>111</v>
      </c>
      <c r="F21" s="50"/>
      <c r="G21" s="50"/>
      <c r="H21" s="9"/>
      <c r="I21" s="51"/>
      <c r="J21" s="52"/>
    </row>
    <row r="22" spans="1:10" ht="15" x14ac:dyDescent="0.25">
      <c r="A22" s="49">
        <v>681</v>
      </c>
      <c r="B22" s="49" t="s">
        <v>122</v>
      </c>
      <c r="C22" s="49"/>
      <c r="D22" s="49" t="s">
        <v>123</v>
      </c>
      <c r="E22" s="49" t="s">
        <v>111</v>
      </c>
      <c r="F22" s="50"/>
      <c r="G22" s="50"/>
      <c r="H22" s="9"/>
      <c r="I22" s="51"/>
      <c r="J22" s="52"/>
    </row>
    <row r="23" spans="1:10" ht="15" x14ac:dyDescent="0.25">
      <c r="A23" s="49">
        <v>501304</v>
      </c>
      <c r="B23" s="49" t="s">
        <v>124</v>
      </c>
      <c r="C23" s="49"/>
      <c r="D23" s="49" t="s">
        <v>125</v>
      </c>
      <c r="E23" s="49" t="s">
        <v>111</v>
      </c>
      <c r="F23" s="50"/>
      <c r="G23" s="50"/>
      <c r="H23" s="9"/>
      <c r="I23" s="51"/>
      <c r="J23" s="52"/>
    </row>
    <row r="24" spans="1:10" ht="15" x14ac:dyDescent="0.25">
      <c r="A24" s="49">
        <v>1848</v>
      </c>
      <c r="B24" s="49" t="s">
        <v>126</v>
      </c>
      <c r="C24" s="49"/>
      <c r="D24" s="49" t="s">
        <v>25</v>
      </c>
      <c r="E24" s="49" t="s">
        <v>127</v>
      </c>
      <c r="F24" s="50"/>
      <c r="G24" s="50"/>
      <c r="H24" s="9"/>
      <c r="I24" s="51"/>
      <c r="J24" s="52"/>
    </row>
    <row r="25" spans="1:10" ht="15" x14ac:dyDescent="0.25">
      <c r="A25" s="49">
        <v>500403</v>
      </c>
      <c r="B25" s="49" t="s">
        <v>128</v>
      </c>
      <c r="C25" s="49"/>
      <c r="D25" s="49" t="s">
        <v>45</v>
      </c>
      <c r="E25" s="49" t="s">
        <v>111</v>
      </c>
      <c r="F25" s="50"/>
      <c r="G25" s="50"/>
      <c r="H25" s="9"/>
      <c r="I25" s="51"/>
      <c r="J25" s="52"/>
    </row>
    <row r="26" spans="1:10" ht="15" x14ac:dyDescent="0.25">
      <c r="A26" s="49">
        <v>1378</v>
      </c>
      <c r="B26" s="49" t="s">
        <v>129</v>
      </c>
      <c r="C26" s="49"/>
      <c r="D26" s="49" t="s">
        <v>130</v>
      </c>
      <c r="E26" s="49" t="s">
        <v>115</v>
      </c>
      <c r="F26" s="50"/>
      <c r="G26" s="50"/>
      <c r="H26" s="9"/>
      <c r="I26" s="51"/>
      <c r="J26" s="52"/>
    </row>
    <row r="27" spans="1:10" ht="15" x14ac:dyDescent="0.25">
      <c r="A27" s="49">
        <v>501030</v>
      </c>
      <c r="B27" s="49" t="s">
        <v>131</v>
      </c>
      <c r="C27" s="49"/>
      <c r="D27" s="49" t="s">
        <v>47</v>
      </c>
      <c r="E27" s="49" t="s">
        <v>115</v>
      </c>
      <c r="F27" s="50"/>
      <c r="G27" s="50"/>
      <c r="H27" s="9"/>
      <c r="I27" s="51"/>
      <c r="J27" s="52"/>
    </row>
    <row r="28" spans="1:10" ht="15" x14ac:dyDescent="0.25">
      <c r="A28" s="49">
        <v>500029</v>
      </c>
      <c r="B28" s="49" t="s">
        <v>132</v>
      </c>
      <c r="C28" s="49"/>
      <c r="D28" s="49" t="s">
        <v>6</v>
      </c>
      <c r="E28" s="49" t="s">
        <v>115</v>
      </c>
      <c r="F28" s="50"/>
      <c r="G28" s="50"/>
      <c r="H28" s="9"/>
      <c r="I28" s="51"/>
      <c r="J28" s="52"/>
    </row>
    <row r="29" spans="1:10" ht="15" x14ac:dyDescent="0.25">
      <c r="A29" s="49">
        <v>500491</v>
      </c>
      <c r="B29" s="49" t="s">
        <v>133</v>
      </c>
      <c r="C29" s="49"/>
      <c r="D29" s="49" t="s">
        <v>45</v>
      </c>
      <c r="E29" s="49" t="s">
        <v>117</v>
      </c>
      <c r="F29" s="50"/>
      <c r="G29" s="50"/>
      <c r="H29" s="9"/>
      <c r="I29" s="51"/>
      <c r="J29" s="52"/>
    </row>
    <row r="30" spans="1:10" ht="15" x14ac:dyDescent="0.25">
      <c r="A30" s="49">
        <v>3149</v>
      </c>
      <c r="B30" s="49" t="s">
        <v>134</v>
      </c>
      <c r="C30" s="49"/>
      <c r="D30" s="49" t="s">
        <v>22</v>
      </c>
      <c r="E30" s="49" t="s">
        <v>115</v>
      </c>
      <c r="F30" s="50"/>
      <c r="G30" s="50"/>
      <c r="H30" s="9"/>
      <c r="I30" s="51"/>
      <c r="J30" s="52"/>
    </row>
    <row r="31" spans="1:10" ht="15" x14ac:dyDescent="0.25">
      <c r="A31" s="49">
        <v>500597</v>
      </c>
      <c r="B31" s="49" t="s">
        <v>135</v>
      </c>
      <c r="C31" s="49"/>
      <c r="D31" s="49" t="s">
        <v>136</v>
      </c>
      <c r="E31" s="49" t="s">
        <v>117</v>
      </c>
      <c r="F31" s="50"/>
      <c r="G31" s="50"/>
      <c r="H31" s="9"/>
      <c r="I31" s="51"/>
      <c r="J31" s="52"/>
    </row>
    <row r="32" spans="1:10" ht="15" x14ac:dyDescent="0.25">
      <c r="A32" s="49">
        <v>696</v>
      </c>
      <c r="B32" s="49" t="s">
        <v>137</v>
      </c>
      <c r="C32" s="49"/>
      <c r="D32" s="49" t="s">
        <v>138</v>
      </c>
      <c r="E32" s="49" t="s">
        <v>111</v>
      </c>
      <c r="F32" s="50"/>
      <c r="G32" s="50"/>
      <c r="H32" s="9"/>
      <c r="I32" s="51"/>
      <c r="J32" s="52"/>
    </row>
    <row r="33" spans="1:10" ht="15" x14ac:dyDescent="0.25">
      <c r="A33" s="49">
        <v>500607</v>
      </c>
      <c r="B33" s="49" t="s">
        <v>139</v>
      </c>
      <c r="C33" s="49"/>
      <c r="D33" s="49" t="s">
        <v>140</v>
      </c>
      <c r="E33" s="49" t="s">
        <v>111</v>
      </c>
      <c r="F33" s="50"/>
      <c r="G33" s="50"/>
      <c r="H33" s="9"/>
      <c r="I33" s="51"/>
      <c r="J33" s="52"/>
    </row>
    <row r="34" spans="1:10" ht="15" x14ac:dyDescent="0.25">
      <c r="A34" s="49">
        <v>2968</v>
      </c>
      <c r="B34" s="49" t="s">
        <v>141</v>
      </c>
      <c r="C34" s="49"/>
      <c r="D34" s="49" t="s">
        <v>142</v>
      </c>
      <c r="E34" s="49" t="s">
        <v>111</v>
      </c>
      <c r="F34" s="50"/>
      <c r="G34" s="50"/>
      <c r="H34" s="9"/>
      <c r="I34" s="51"/>
      <c r="J34" s="52"/>
    </row>
    <row r="35" spans="1:10" ht="15" x14ac:dyDescent="0.25">
      <c r="A35" s="49">
        <v>1327</v>
      </c>
      <c r="B35" s="49" t="s">
        <v>143</v>
      </c>
      <c r="C35" s="49"/>
      <c r="D35" s="49" t="s">
        <v>144</v>
      </c>
      <c r="E35" s="49" t="s">
        <v>111</v>
      </c>
      <c r="F35" s="50"/>
      <c r="G35" s="50"/>
      <c r="H35" s="9"/>
      <c r="I35" s="51"/>
      <c r="J35" s="52"/>
    </row>
    <row r="36" spans="1:10" ht="15" x14ac:dyDescent="0.25">
      <c r="A36" s="49">
        <v>50600</v>
      </c>
      <c r="B36" s="49" t="s">
        <v>145</v>
      </c>
      <c r="C36" s="49"/>
      <c r="D36" s="49" t="s">
        <v>22</v>
      </c>
      <c r="E36" s="49" t="s">
        <v>111</v>
      </c>
      <c r="F36" s="50"/>
      <c r="G36" s="50"/>
      <c r="H36" s="9"/>
      <c r="I36" s="51"/>
      <c r="J36" s="52"/>
    </row>
    <row r="37" spans="1:10" ht="15" x14ac:dyDescent="0.25">
      <c r="A37" s="49">
        <v>3103</v>
      </c>
      <c r="B37" s="49" t="s">
        <v>146</v>
      </c>
      <c r="C37" s="49"/>
      <c r="D37" s="49" t="s">
        <v>28</v>
      </c>
      <c r="E37" s="49" t="s">
        <v>117</v>
      </c>
      <c r="F37" s="50"/>
      <c r="G37" s="50"/>
      <c r="H37" s="9"/>
      <c r="I37" s="51"/>
      <c r="J37" s="52"/>
    </row>
    <row r="38" spans="1:10" ht="15" x14ac:dyDescent="0.25">
      <c r="A38" s="49">
        <v>1981</v>
      </c>
      <c r="B38" s="49" t="s">
        <v>147</v>
      </c>
      <c r="C38" s="49"/>
      <c r="D38" s="49" t="s">
        <v>42</v>
      </c>
      <c r="E38" s="49" t="s">
        <v>115</v>
      </c>
      <c r="F38" s="50"/>
      <c r="G38" s="50"/>
      <c r="H38" s="9"/>
      <c r="I38" s="51"/>
      <c r="J38" s="52"/>
    </row>
    <row r="39" spans="1:10" ht="15" x14ac:dyDescent="0.25">
      <c r="A39" s="49">
        <v>780</v>
      </c>
      <c r="B39" s="49" t="s">
        <v>148</v>
      </c>
      <c r="C39" s="49"/>
      <c r="D39" s="49" t="s">
        <v>149</v>
      </c>
      <c r="E39" s="49" t="s">
        <v>115</v>
      </c>
      <c r="F39" s="50"/>
      <c r="G39" s="50"/>
      <c r="H39" s="9"/>
      <c r="I39" s="51"/>
      <c r="J39" s="52"/>
    </row>
    <row r="40" spans="1:10" ht="15" x14ac:dyDescent="0.25">
      <c r="A40" s="49">
        <v>2192</v>
      </c>
      <c r="B40" s="49" t="s">
        <v>150</v>
      </c>
      <c r="C40" s="49"/>
      <c r="D40" s="49" t="s">
        <v>151</v>
      </c>
      <c r="E40" s="49" t="s">
        <v>111</v>
      </c>
      <c r="F40" s="50"/>
      <c r="G40" s="50"/>
      <c r="H40" s="9"/>
      <c r="I40" s="51"/>
      <c r="J40" s="52"/>
    </row>
    <row r="41" spans="1:10" ht="15" x14ac:dyDescent="0.25">
      <c r="A41" s="49">
        <v>50371</v>
      </c>
      <c r="B41" s="49" t="s">
        <v>152</v>
      </c>
      <c r="C41" s="49"/>
      <c r="D41" s="49" t="s">
        <v>33</v>
      </c>
      <c r="E41" s="49" t="s">
        <v>115</v>
      </c>
      <c r="F41" s="50"/>
      <c r="G41" s="50"/>
      <c r="H41" s="9"/>
      <c r="I41" s="51"/>
      <c r="J41" s="52"/>
    </row>
    <row r="42" spans="1:10" ht="15" x14ac:dyDescent="0.25">
      <c r="A42" s="49">
        <v>500868</v>
      </c>
      <c r="B42" s="49" t="s">
        <v>153</v>
      </c>
      <c r="C42" s="49"/>
      <c r="D42" s="49" t="s">
        <v>6</v>
      </c>
      <c r="E42" s="49" t="s">
        <v>111</v>
      </c>
      <c r="F42" s="50"/>
      <c r="G42" s="50"/>
      <c r="H42" s="9"/>
      <c r="I42" s="51"/>
      <c r="J42" s="52"/>
    </row>
    <row r="43" spans="1:10" ht="15" x14ac:dyDescent="0.25">
      <c r="A43" s="49">
        <v>717</v>
      </c>
      <c r="B43" s="49" t="s">
        <v>154</v>
      </c>
      <c r="C43" s="49"/>
      <c r="D43" s="49" t="s">
        <v>22</v>
      </c>
      <c r="E43" s="49" t="s">
        <v>111</v>
      </c>
      <c r="F43" s="50"/>
      <c r="G43" s="50"/>
      <c r="H43" s="9"/>
      <c r="I43" s="51"/>
      <c r="J43" s="52"/>
    </row>
    <row r="44" spans="1:10" ht="15" x14ac:dyDescent="0.25">
      <c r="A44" s="49">
        <v>500993</v>
      </c>
      <c r="B44" s="49" t="s">
        <v>155</v>
      </c>
      <c r="C44" s="49"/>
      <c r="D44" s="49" t="s">
        <v>156</v>
      </c>
      <c r="E44" s="49" t="s">
        <v>117</v>
      </c>
      <c r="F44" s="50"/>
      <c r="G44" s="50"/>
      <c r="H44" s="9"/>
      <c r="I44" s="51"/>
      <c r="J44" s="52"/>
    </row>
    <row r="45" spans="1:10" ht="15" x14ac:dyDescent="0.25">
      <c r="A45" s="49">
        <v>1362</v>
      </c>
      <c r="B45" s="49" t="s">
        <v>157</v>
      </c>
      <c r="C45" s="49"/>
      <c r="D45" s="49" t="s">
        <v>109</v>
      </c>
      <c r="E45" s="49" t="s">
        <v>111</v>
      </c>
      <c r="F45" s="50"/>
      <c r="G45" s="50"/>
      <c r="H45" s="9"/>
      <c r="I45" s="51"/>
      <c r="J45" s="52"/>
    </row>
    <row r="46" spans="1:10" ht="15" x14ac:dyDescent="0.25">
      <c r="A46" s="49">
        <v>500800</v>
      </c>
      <c r="B46" s="49" t="s">
        <v>158</v>
      </c>
      <c r="C46" s="49"/>
      <c r="D46" s="49" t="s">
        <v>6</v>
      </c>
      <c r="E46" s="49" t="s">
        <v>117</v>
      </c>
      <c r="F46" s="50"/>
      <c r="G46" s="50"/>
      <c r="H46" s="9"/>
      <c r="I46" s="51"/>
      <c r="J46" s="52"/>
    </row>
    <row r="47" spans="1:10" ht="15" x14ac:dyDescent="0.25">
      <c r="A47" s="49">
        <v>500997</v>
      </c>
      <c r="B47" s="49" t="s">
        <v>159</v>
      </c>
      <c r="C47" s="49"/>
      <c r="D47" s="49" t="s">
        <v>160</v>
      </c>
      <c r="E47" s="49" t="s">
        <v>111</v>
      </c>
      <c r="F47" s="50"/>
      <c r="G47" s="50"/>
      <c r="H47" s="9"/>
      <c r="I47" s="51"/>
      <c r="J47" s="52"/>
    </row>
    <row r="48" spans="1:10" ht="15" x14ac:dyDescent="0.25">
      <c r="A48" s="49">
        <v>501295</v>
      </c>
      <c r="B48" s="49" t="s">
        <v>161</v>
      </c>
      <c r="C48" s="49"/>
      <c r="D48" s="49" t="s">
        <v>22</v>
      </c>
      <c r="E48" s="49" t="s">
        <v>111</v>
      </c>
      <c r="F48" s="50"/>
      <c r="G48" s="50"/>
      <c r="H48" s="9"/>
      <c r="I48" s="51"/>
      <c r="J48" s="52"/>
    </row>
    <row r="49" spans="1:10" ht="15" x14ac:dyDescent="0.25">
      <c r="A49" s="49">
        <v>501137</v>
      </c>
      <c r="B49" s="49" t="s">
        <v>162</v>
      </c>
      <c r="C49" s="49"/>
      <c r="D49" s="49" t="s">
        <v>7</v>
      </c>
      <c r="E49" s="49" t="s">
        <v>111</v>
      </c>
      <c r="F49" s="50"/>
      <c r="G49" s="50"/>
      <c r="H49" s="9"/>
      <c r="I49" s="51"/>
      <c r="J49" s="52"/>
    </row>
    <row r="50" spans="1:10" ht="15" x14ac:dyDescent="0.25">
      <c r="A50" s="49">
        <v>501061</v>
      </c>
      <c r="B50" s="49" t="s">
        <v>163</v>
      </c>
      <c r="C50" s="49"/>
      <c r="D50" s="49" t="s">
        <v>164</v>
      </c>
      <c r="E50" s="49" t="s">
        <v>111</v>
      </c>
      <c r="F50" s="50"/>
      <c r="G50" s="50"/>
      <c r="H50" s="9"/>
      <c r="I50" s="51"/>
      <c r="J50" s="52"/>
    </row>
    <row r="51" spans="1:10" ht="15" x14ac:dyDescent="0.25">
      <c r="A51" s="49">
        <v>500904</v>
      </c>
      <c r="B51" s="49" t="s">
        <v>165</v>
      </c>
      <c r="C51" s="49"/>
      <c r="D51" s="49" t="s">
        <v>166</v>
      </c>
      <c r="E51" s="49" t="s">
        <v>117</v>
      </c>
      <c r="F51" s="50"/>
      <c r="G51" s="50"/>
      <c r="H51" s="9"/>
      <c r="I51" s="51"/>
      <c r="J51" s="52"/>
    </row>
    <row r="52" spans="1:10" ht="15" x14ac:dyDescent="0.25">
      <c r="A52" s="49">
        <v>3095</v>
      </c>
      <c r="B52" s="49" t="s">
        <v>167</v>
      </c>
      <c r="C52" s="49"/>
      <c r="D52" s="49" t="s">
        <v>23</v>
      </c>
      <c r="E52" s="49" t="s">
        <v>111</v>
      </c>
      <c r="F52" s="50"/>
      <c r="G52" s="50"/>
      <c r="H52" s="9"/>
      <c r="I52" s="51"/>
      <c r="J52" s="52"/>
    </row>
    <row r="53" spans="1:10" ht="15" x14ac:dyDescent="0.25">
      <c r="A53" s="49">
        <v>2367</v>
      </c>
      <c r="B53" s="49" t="s">
        <v>168</v>
      </c>
      <c r="C53" s="49"/>
      <c r="D53" s="49" t="s">
        <v>169</v>
      </c>
      <c r="E53" s="49" t="s">
        <v>111</v>
      </c>
      <c r="F53" s="50"/>
      <c r="G53" s="50"/>
      <c r="H53" s="9"/>
      <c r="I53" s="51"/>
      <c r="J53" s="52"/>
    </row>
    <row r="54" spans="1:10" ht="15" x14ac:dyDescent="0.25">
      <c r="A54" s="49">
        <v>500366</v>
      </c>
      <c r="B54" s="49" t="s">
        <v>170</v>
      </c>
      <c r="C54" s="49"/>
      <c r="D54" s="49" t="s">
        <v>13</v>
      </c>
      <c r="E54" s="49" t="s">
        <v>111</v>
      </c>
      <c r="F54" s="50"/>
      <c r="G54" s="50"/>
      <c r="H54" s="9"/>
      <c r="I54" s="51"/>
      <c r="J54" s="52"/>
    </row>
    <row r="55" spans="1:10" ht="15" x14ac:dyDescent="0.25">
      <c r="A55" s="49">
        <v>500645</v>
      </c>
      <c r="B55" s="49" t="s">
        <v>171</v>
      </c>
      <c r="C55" s="49"/>
      <c r="D55" s="49" t="s">
        <v>172</v>
      </c>
      <c r="E55" s="49" t="s">
        <v>111</v>
      </c>
      <c r="F55" s="50"/>
      <c r="G55" s="50"/>
      <c r="H55" s="9"/>
      <c r="I55" s="51"/>
      <c r="J55" s="52"/>
    </row>
    <row r="56" spans="1:10" ht="15" x14ac:dyDescent="0.25">
      <c r="A56" s="49">
        <v>500418</v>
      </c>
      <c r="B56" s="49" t="s">
        <v>173</v>
      </c>
      <c r="C56" s="49"/>
      <c r="D56" s="49" t="s">
        <v>7</v>
      </c>
      <c r="E56" s="49" t="s">
        <v>111</v>
      </c>
      <c r="F56" s="50"/>
      <c r="G56" s="50"/>
      <c r="H56" s="9"/>
      <c r="I56" s="51"/>
      <c r="J56" s="52"/>
    </row>
    <row r="57" spans="1:10" ht="15" x14ac:dyDescent="0.25">
      <c r="A57" s="49">
        <v>2527</v>
      </c>
      <c r="B57" s="49" t="s">
        <v>174</v>
      </c>
      <c r="C57" s="49"/>
      <c r="D57" s="49" t="s">
        <v>16</v>
      </c>
      <c r="E57" s="49" t="s">
        <v>117</v>
      </c>
      <c r="F57" s="50"/>
      <c r="G57" s="50"/>
      <c r="H57" s="9"/>
      <c r="I57" s="51"/>
      <c r="J57" s="52"/>
    </row>
    <row r="58" spans="1:10" ht="15" x14ac:dyDescent="0.25">
      <c r="A58" s="49">
        <v>500940</v>
      </c>
      <c r="B58" s="49" t="s">
        <v>175</v>
      </c>
      <c r="C58" s="49"/>
      <c r="D58" s="49" t="s">
        <v>50</v>
      </c>
      <c r="E58" s="49" t="s">
        <v>117</v>
      </c>
      <c r="F58" s="50"/>
      <c r="G58" s="50"/>
      <c r="H58" s="9"/>
      <c r="I58" s="51"/>
      <c r="J58" s="52"/>
    </row>
    <row r="59" spans="1:10" ht="15" x14ac:dyDescent="0.25">
      <c r="A59" s="49">
        <v>500964</v>
      </c>
      <c r="B59" s="49" t="s">
        <v>176</v>
      </c>
      <c r="C59" s="49"/>
      <c r="D59" s="49" t="s">
        <v>9</v>
      </c>
      <c r="E59" s="49" t="s">
        <v>111</v>
      </c>
      <c r="F59" s="50"/>
      <c r="G59" s="50"/>
      <c r="H59" s="9"/>
      <c r="I59" s="51"/>
      <c r="J59" s="52"/>
    </row>
    <row r="60" spans="1:10" ht="15" x14ac:dyDescent="0.25">
      <c r="A60" s="49">
        <v>50797</v>
      </c>
      <c r="B60" s="49" t="s">
        <v>177</v>
      </c>
      <c r="C60" s="49"/>
      <c r="D60" s="49" t="s">
        <v>22</v>
      </c>
      <c r="E60" s="49" t="s">
        <v>117</v>
      </c>
      <c r="F60" s="50"/>
      <c r="G60" s="50"/>
      <c r="H60" s="9"/>
      <c r="I60" s="51"/>
      <c r="J60" s="52"/>
    </row>
    <row r="61" spans="1:10" ht="15" x14ac:dyDescent="0.25">
      <c r="A61" s="49">
        <v>501259</v>
      </c>
      <c r="B61" s="49" t="s">
        <v>178</v>
      </c>
      <c r="C61" s="49"/>
      <c r="D61" s="49" t="s">
        <v>179</v>
      </c>
      <c r="E61" s="49" t="s">
        <v>110</v>
      </c>
      <c r="F61" s="50"/>
      <c r="G61" s="50"/>
      <c r="H61" s="9"/>
      <c r="I61" s="51"/>
      <c r="J61" s="52"/>
    </row>
    <row r="62" spans="1:10" ht="15" x14ac:dyDescent="0.25">
      <c r="A62" s="49">
        <v>500313</v>
      </c>
      <c r="B62" s="49" t="s">
        <v>180</v>
      </c>
      <c r="C62" s="49"/>
      <c r="D62" s="49" t="s">
        <v>181</v>
      </c>
      <c r="E62" s="49" t="s">
        <v>182</v>
      </c>
      <c r="F62" s="50"/>
      <c r="G62" s="50"/>
      <c r="H62" s="9"/>
      <c r="I62" s="51"/>
      <c r="J62" s="52"/>
    </row>
    <row r="63" spans="1:10" ht="15" x14ac:dyDescent="0.25">
      <c r="A63" s="49">
        <v>1158</v>
      </c>
      <c r="B63" s="49" t="s">
        <v>34</v>
      </c>
      <c r="C63" s="49"/>
      <c r="D63" s="49" t="s">
        <v>35</v>
      </c>
      <c r="E63" s="49" t="s">
        <v>182</v>
      </c>
      <c r="F63" s="50"/>
      <c r="G63" s="50"/>
      <c r="H63" s="9"/>
      <c r="I63" s="51"/>
      <c r="J63" s="52"/>
    </row>
    <row r="64" spans="1:10" ht="15" x14ac:dyDescent="0.25">
      <c r="A64" s="49">
        <v>500926</v>
      </c>
      <c r="B64" s="49" t="s">
        <v>183</v>
      </c>
      <c r="C64" s="49"/>
      <c r="D64" s="49" t="s">
        <v>136</v>
      </c>
      <c r="E64" s="49" t="s">
        <v>115</v>
      </c>
      <c r="F64" s="50"/>
      <c r="G64" s="50"/>
      <c r="H64" s="9"/>
      <c r="I64" s="51"/>
      <c r="J64" s="52"/>
    </row>
    <row r="65" spans="1:10" ht="15" x14ac:dyDescent="0.25">
      <c r="A65" s="49">
        <v>3309</v>
      </c>
      <c r="B65" s="49" t="s">
        <v>184</v>
      </c>
      <c r="C65" s="49"/>
      <c r="D65" s="49" t="s">
        <v>33</v>
      </c>
      <c r="E65" s="49" t="s">
        <v>115</v>
      </c>
      <c r="F65" s="50"/>
      <c r="G65" s="50"/>
      <c r="H65" s="9"/>
      <c r="I65" s="51"/>
      <c r="J65" s="52"/>
    </row>
    <row r="66" spans="1:10" ht="15" x14ac:dyDescent="0.25">
      <c r="A66" s="49">
        <v>3508</v>
      </c>
      <c r="B66" s="49" t="s">
        <v>185</v>
      </c>
      <c r="C66" s="49"/>
      <c r="D66" s="49" t="s">
        <v>33</v>
      </c>
      <c r="E66" s="49" t="s">
        <v>115</v>
      </c>
      <c r="F66" s="50"/>
      <c r="G66" s="50"/>
      <c r="H66" s="9"/>
      <c r="I66" s="51"/>
      <c r="J66" s="52"/>
    </row>
    <row r="67" spans="1:10" ht="15" x14ac:dyDescent="0.25">
      <c r="A67" s="49">
        <v>1048</v>
      </c>
      <c r="B67" s="49" t="s">
        <v>186</v>
      </c>
      <c r="C67" s="49"/>
      <c r="D67" s="49" t="s">
        <v>35</v>
      </c>
      <c r="E67" s="49" t="s">
        <v>115</v>
      </c>
      <c r="F67" s="50"/>
      <c r="G67" s="50"/>
      <c r="H67" s="9"/>
      <c r="I67" s="51"/>
      <c r="J67" s="52"/>
    </row>
    <row r="68" spans="1:10" ht="15" x14ac:dyDescent="0.25">
      <c r="A68" s="49">
        <v>500411</v>
      </c>
      <c r="B68" s="49" t="s">
        <v>187</v>
      </c>
      <c r="C68" s="49"/>
      <c r="D68" s="49" t="s">
        <v>188</v>
      </c>
      <c r="E68" s="49" t="s">
        <v>115</v>
      </c>
      <c r="F68" s="50"/>
      <c r="G68" s="50"/>
      <c r="H68" s="9"/>
      <c r="I68" s="51"/>
      <c r="J68" s="52"/>
    </row>
    <row r="69" spans="1:10" ht="15" x14ac:dyDescent="0.25">
      <c r="A69" s="49">
        <v>456</v>
      </c>
      <c r="B69" s="49" t="s">
        <v>189</v>
      </c>
      <c r="C69" s="49"/>
      <c r="D69" s="49" t="s">
        <v>190</v>
      </c>
      <c r="E69" s="49" t="s">
        <v>115</v>
      </c>
      <c r="F69" s="50"/>
      <c r="G69" s="50"/>
      <c r="H69" s="9"/>
      <c r="I69" s="51"/>
      <c r="J69" s="52"/>
    </row>
    <row r="70" spans="1:10" ht="15" x14ac:dyDescent="0.25">
      <c r="A70" s="49">
        <v>2548</v>
      </c>
      <c r="B70" s="49" t="s">
        <v>191</v>
      </c>
      <c r="C70" s="49"/>
      <c r="D70" s="49" t="s">
        <v>16</v>
      </c>
      <c r="E70" s="49" t="s">
        <v>115</v>
      </c>
      <c r="F70" s="50"/>
      <c r="G70" s="50"/>
      <c r="H70" s="9"/>
      <c r="I70" s="51"/>
      <c r="J70" s="52"/>
    </row>
    <row r="71" spans="1:10" ht="15" x14ac:dyDescent="0.25">
      <c r="A71" s="49">
        <v>50124</v>
      </c>
      <c r="B71" s="49" t="s">
        <v>192</v>
      </c>
      <c r="C71" s="49"/>
      <c r="D71" s="49" t="s">
        <v>20</v>
      </c>
      <c r="E71" s="49" t="s">
        <v>115</v>
      </c>
      <c r="F71" s="50"/>
      <c r="G71" s="50"/>
      <c r="H71" s="9"/>
      <c r="I71" s="51"/>
      <c r="J71" s="52"/>
    </row>
    <row r="72" spans="1:10" ht="15" x14ac:dyDescent="0.25">
      <c r="A72" s="49">
        <v>501183</v>
      </c>
      <c r="B72" s="49" t="s">
        <v>193</v>
      </c>
      <c r="C72" s="49"/>
      <c r="D72" s="49" t="s">
        <v>194</v>
      </c>
      <c r="E72" s="49" t="s">
        <v>182</v>
      </c>
      <c r="F72" s="50"/>
      <c r="G72" s="50"/>
      <c r="H72" s="9"/>
      <c r="I72" s="51"/>
      <c r="J72" s="52"/>
    </row>
    <row r="73" spans="1:10" ht="15" x14ac:dyDescent="0.25">
      <c r="A73" s="49">
        <v>501196</v>
      </c>
      <c r="B73" s="49" t="s">
        <v>195</v>
      </c>
      <c r="C73" s="49"/>
      <c r="D73" s="49" t="s">
        <v>196</v>
      </c>
      <c r="E73" s="49" t="s">
        <v>182</v>
      </c>
      <c r="F73" s="50"/>
      <c r="G73" s="50"/>
      <c r="H73" s="9"/>
      <c r="I73" s="51"/>
      <c r="J73" s="52"/>
    </row>
    <row r="74" spans="1:10" ht="15" x14ac:dyDescent="0.25">
      <c r="A74" s="49">
        <v>2059</v>
      </c>
      <c r="B74" s="49" t="s">
        <v>197</v>
      </c>
      <c r="C74" s="49"/>
      <c r="D74" s="49" t="s">
        <v>164</v>
      </c>
      <c r="E74" s="49" t="s">
        <v>127</v>
      </c>
      <c r="F74" s="50"/>
      <c r="G74" s="50"/>
      <c r="H74" s="9"/>
      <c r="I74" s="51"/>
      <c r="J74" s="52"/>
    </row>
    <row r="75" spans="1:10" ht="15" x14ac:dyDescent="0.25">
      <c r="A75" s="49">
        <v>500497</v>
      </c>
      <c r="B75" s="49" t="s">
        <v>198</v>
      </c>
      <c r="C75" s="49"/>
      <c r="D75" s="49" t="s">
        <v>199</v>
      </c>
      <c r="E75" s="49" t="s">
        <v>111</v>
      </c>
      <c r="F75" s="50"/>
      <c r="G75" s="50"/>
      <c r="H75" s="9"/>
      <c r="I75" s="51"/>
      <c r="J75" s="52"/>
    </row>
    <row r="76" spans="1:10" ht="15" x14ac:dyDescent="0.25">
      <c r="A76" s="49">
        <v>50392</v>
      </c>
      <c r="B76" s="49" t="s">
        <v>200</v>
      </c>
      <c r="C76" s="49"/>
      <c r="D76" s="49" t="s">
        <v>6</v>
      </c>
      <c r="E76" s="49" t="s">
        <v>117</v>
      </c>
      <c r="F76" s="50"/>
      <c r="G76" s="50"/>
      <c r="H76" s="9"/>
      <c r="I76" s="51"/>
      <c r="J76" s="52"/>
    </row>
    <row r="77" spans="1:10" ht="15" x14ac:dyDescent="0.25">
      <c r="A77" s="49">
        <v>1683</v>
      </c>
      <c r="B77" s="49" t="s">
        <v>201</v>
      </c>
      <c r="C77" s="49"/>
      <c r="D77" s="49" t="s">
        <v>6</v>
      </c>
      <c r="E77" s="49" t="s">
        <v>115</v>
      </c>
      <c r="F77" s="50"/>
      <c r="G77" s="50"/>
      <c r="H77" s="9"/>
      <c r="I77" s="51"/>
      <c r="J77" s="52"/>
    </row>
    <row r="78" spans="1:10" ht="15" x14ac:dyDescent="0.25">
      <c r="A78" s="49">
        <v>500520</v>
      </c>
      <c r="B78" s="49" t="s">
        <v>202</v>
      </c>
      <c r="C78" s="49"/>
      <c r="D78" s="49" t="s">
        <v>203</v>
      </c>
      <c r="E78" s="49" t="s">
        <v>115</v>
      </c>
      <c r="F78" s="50"/>
      <c r="G78" s="50"/>
      <c r="H78" s="9"/>
      <c r="I78" s="51"/>
      <c r="J78" s="52"/>
    </row>
    <row r="79" spans="1:10" ht="15" x14ac:dyDescent="0.25">
      <c r="A79" s="49">
        <v>500371</v>
      </c>
      <c r="B79" s="49" t="s">
        <v>204</v>
      </c>
      <c r="C79" s="49"/>
      <c r="D79" s="49" t="s">
        <v>205</v>
      </c>
      <c r="E79" s="49" t="s">
        <v>115</v>
      </c>
      <c r="F79" s="50"/>
      <c r="G79" s="50"/>
      <c r="H79" s="9"/>
      <c r="I79" s="51"/>
      <c r="J79" s="52"/>
    </row>
    <row r="80" spans="1:10" ht="15" x14ac:dyDescent="0.25">
      <c r="A80" s="49">
        <v>1849</v>
      </c>
      <c r="B80" s="49" t="s">
        <v>206</v>
      </c>
      <c r="C80" s="49"/>
      <c r="D80" s="49" t="s">
        <v>207</v>
      </c>
      <c r="E80" s="49" t="s">
        <v>115</v>
      </c>
      <c r="F80" s="50"/>
      <c r="G80" s="50"/>
      <c r="H80" s="9"/>
      <c r="I80" s="51"/>
      <c r="J80" s="52"/>
    </row>
    <row r="81" spans="1:10" ht="15" x14ac:dyDescent="0.25">
      <c r="A81" s="49">
        <v>501229</v>
      </c>
      <c r="B81" s="49" t="s">
        <v>208</v>
      </c>
      <c r="C81" s="49"/>
      <c r="D81" s="49" t="s">
        <v>209</v>
      </c>
      <c r="E81" s="49" t="s">
        <v>115</v>
      </c>
      <c r="F81" s="50"/>
      <c r="G81" s="50"/>
      <c r="H81" s="9"/>
      <c r="I81" s="51"/>
      <c r="J81" s="52"/>
    </row>
    <row r="82" spans="1:10" ht="15" x14ac:dyDescent="0.25">
      <c r="A82" s="49">
        <v>893</v>
      </c>
      <c r="B82" s="49" t="s">
        <v>210</v>
      </c>
      <c r="C82" s="49"/>
      <c r="D82" s="49" t="s">
        <v>211</v>
      </c>
      <c r="E82" s="49" t="s">
        <v>115</v>
      </c>
      <c r="F82" s="50"/>
      <c r="G82" s="50"/>
      <c r="H82" s="9"/>
      <c r="I82" s="51"/>
      <c r="J82" s="52"/>
    </row>
    <row r="83" spans="1:10" ht="15" x14ac:dyDescent="0.25">
      <c r="A83" s="49">
        <v>50137</v>
      </c>
      <c r="B83" s="49" t="s">
        <v>212</v>
      </c>
      <c r="C83" s="49"/>
      <c r="D83" s="49" t="s">
        <v>149</v>
      </c>
      <c r="E83" s="49" t="s">
        <v>115</v>
      </c>
      <c r="F83" s="50"/>
      <c r="G83" s="50"/>
      <c r="H83" s="9"/>
      <c r="I83" s="51"/>
      <c r="J83" s="52"/>
    </row>
    <row r="84" spans="1:10" ht="15" x14ac:dyDescent="0.25">
      <c r="A84" s="49">
        <v>500858</v>
      </c>
      <c r="B84" s="49" t="s">
        <v>213</v>
      </c>
      <c r="C84" s="49"/>
      <c r="D84" s="49" t="s">
        <v>214</v>
      </c>
      <c r="E84" s="49" t="s">
        <v>117</v>
      </c>
      <c r="F84" s="50"/>
      <c r="G84" s="50"/>
      <c r="H84" s="9"/>
      <c r="I84" s="51"/>
      <c r="J84" s="52"/>
    </row>
    <row r="85" spans="1:10" ht="15" x14ac:dyDescent="0.25">
      <c r="A85" s="49">
        <v>501005</v>
      </c>
      <c r="B85" s="49" t="s">
        <v>215</v>
      </c>
      <c r="C85" s="49"/>
      <c r="D85" s="49" t="s">
        <v>216</v>
      </c>
      <c r="E85" s="49" t="s">
        <v>115</v>
      </c>
      <c r="F85" s="50"/>
      <c r="G85" s="50"/>
      <c r="H85" s="9"/>
      <c r="I85" s="51"/>
      <c r="J85" s="52"/>
    </row>
    <row r="86" spans="1:10" ht="15" x14ac:dyDescent="0.25">
      <c r="A86" s="49">
        <v>501089</v>
      </c>
      <c r="B86" s="49" t="s">
        <v>217</v>
      </c>
      <c r="C86" s="49"/>
      <c r="D86" s="49" t="s">
        <v>218</v>
      </c>
      <c r="E86" s="49" t="s">
        <v>115</v>
      </c>
      <c r="F86" s="50"/>
      <c r="G86" s="50"/>
      <c r="H86" s="9"/>
      <c r="I86" s="51"/>
      <c r="J86" s="52"/>
    </row>
    <row r="87" spans="1:10" ht="15" x14ac:dyDescent="0.25">
      <c r="A87" s="49">
        <v>501090</v>
      </c>
      <c r="B87" s="49" t="s">
        <v>217</v>
      </c>
      <c r="C87" s="49"/>
      <c r="D87" s="49" t="s">
        <v>218</v>
      </c>
      <c r="E87" s="49" t="s">
        <v>115</v>
      </c>
      <c r="F87" s="50"/>
      <c r="G87" s="50"/>
      <c r="H87" s="9"/>
      <c r="I87" s="51"/>
      <c r="J87" s="52"/>
    </row>
    <row r="88" spans="1:10" ht="15" x14ac:dyDescent="0.25">
      <c r="A88" s="49">
        <v>501091</v>
      </c>
      <c r="B88" s="49" t="s">
        <v>217</v>
      </c>
      <c r="C88" s="49"/>
      <c r="D88" s="49" t="s">
        <v>218</v>
      </c>
      <c r="E88" s="49" t="s">
        <v>115</v>
      </c>
      <c r="F88" s="50"/>
      <c r="G88" s="50"/>
      <c r="H88" s="9"/>
      <c r="I88" s="51"/>
      <c r="J88" s="52"/>
    </row>
    <row r="89" spans="1:10" ht="15" x14ac:dyDescent="0.25">
      <c r="A89" s="49">
        <v>1991</v>
      </c>
      <c r="B89" s="49" t="s">
        <v>219</v>
      </c>
      <c r="C89" s="49"/>
      <c r="D89" s="49" t="s">
        <v>220</v>
      </c>
      <c r="E89" s="49" t="s">
        <v>115</v>
      </c>
      <c r="F89" s="50"/>
      <c r="G89" s="50"/>
      <c r="H89" s="9"/>
      <c r="I89" s="51"/>
      <c r="J89" s="52"/>
    </row>
    <row r="90" spans="1:10" ht="15" x14ac:dyDescent="0.25">
      <c r="A90" s="49">
        <v>500643</v>
      </c>
      <c r="B90" s="49" t="s">
        <v>221</v>
      </c>
      <c r="C90" s="49"/>
      <c r="D90" s="49" t="s">
        <v>222</v>
      </c>
      <c r="E90" s="49" t="s">
        <v>115</v>
      </c>
      <c r="F90" s="50"/>
      <c r="G90" s="50"/>
      <c r="H90" s="9"/>
      <c r="I90" s="51"/>
      <c r="J90" s="52"/>
    </row>
    <row r="91" spans="1:10" ht="15" x14ac:dyDescent="0.25">
      <c r="A91" s="49">
        <v>758</v>
      </c>
      <c r="B91" s="49" t="s">
        <v>223</v>
      </c>
      <c r="C91" s="49"/>
      <c r="D91" s="49" t="s">
        <v>24</v>
      </c>
      <c r="E91" s="49" t="s">
        <v>115</v>
      </c>
      <c r="F91" s="50"/>
      <c r="G91" s="50"/>
      <c r="H91" s="9"/>
      <c r="I91" s="51"/>
      <c r="J91" s="52"/>
    </row>
    <row r="92" spans="1:10" ht="15" x14ac:dyDescent="0.25">
      <c r="A92" s="49">
        <v>500402</v>
      </c>
      <c r="B92" s="49" t="s">
        <v>224</v>
      </c>
      <c r="C92" s="49"/>
      <c r="D92" s="49" t="s">
        <v>225</v>
      </c>
      <c r="E92" s="49" t="s">
        <v>115</v>
      </c>
      <c r="F92" s="50"/>
      <c r="G92" s="50"/>
      <c r="H92" s="9"/>
      <c r="I92" s="51"/>
      <c r="J92" s="52"/>
    </row>
    <row r="93" spans="1:10" ht="15" x14ac:dyDescent="0.25">
      <c r="A93" s="49">
        <v>1486</v>
      </c>
      <c r="B93" s="49" t="s">
        <v>226</v>
      </c>
      <c r="C93" s="49"/>
      <c r="D93" s="49" t="s">
        <v>227</v>
      </c>
      <c r="E93" s="49" t="s">
        <v>115</v>
      </c>
      <c r="F93" s="50"/>
      <c r="G93" s="50"/>
      <c r="H93" s="9"/>
      <c r="I93" s="51"/>
      <c r="J93" s="52"/>
    </row>
    <row r="94" spans="1:10" ht="15" x14ac:dyDescent="0.25">
      <c r="A94" s="49">
        <v>1316</v>
      </c>
      <c r="B94" s="49" t="s">
        <v>228</v>
      </c>
      <c r="C94" s="49"/>
      <c r="D94" s="49" t="s">
        <v>43</v>
      </c>
      <c r="E94" s="49" t="s">
        <v>115</v>
      </c>
      <c r="F94" s="50"/>
      <c r="G94" s="50"/>
      <c r="H94" s="9"/>
      <c r="I94" s="51"/>
      <c r="J94" s="52"/>
    </row>
    <row r="95" spans="1:10" ht="15" x14ac:dyDescent="0.25">
      <c r="A95" s="49">
        <v>1345</v>
      </c>
      <c r="B95" s="49" t="s">
        <v>229</v>
      </c>
      <c r="C95" s="49"/>
      <c r="D95" s="49" t="s">
        <v>230</v>
      </c>
      <c r="E95" s="49" t="s">
        <v>115</v>
      </c>
      <c r="F95" s="50"/>
      <c r="G95" s="50"/>
      <c r="H95" s="9"/>
      <c r="I95" s="51"/>
      <c r="J95" s="52"/>
    </row>
    <row r="96" spans="1:10" ht="15" x14ac:dyDescent="0.25">
      <c r="A96" s="49">
        <v>3327</v>
      </c>
      <c r="B96" s="49" t="s">
        <v>231</v>
      </c>
      <c r="C96" s="49"/>
      <c r="D96" s="49" t="s">
        <v>37</v>
      </c>
      <c r="E96" s="49" t="s">
        <v>115</v>
      </c>
      <c r="F96" s="50"/>
      <c r="G96" s="50"/>
      <c r="H96" s="9"/>
      <c r="I96" s="51"/>
      <c r="J96" s="52"/>
    </row>
    <row r="97" spans="1:10" ht="15" x14ac:dyDescent="0.25">
      <c r="A97" s="49">
        <v>1843</v>
      </c>
      <c r="B97" s="49" t="s">
        <v>232</v>
      </c>
      <c r="C97" s="49"/>
      <c r="D97" s="49" t="s">
        <v>233</v>
      </c>
      <c r="E97" s="49" t="s">
        <v>115</v>
      </c>
      <c r="F97" s="50"/>
      <c r="G97" s="50"/>
      <c r="H97" s="9"/>
      <c r="I97" s="51"/>
      <c r="J97" s="52"/>
    </row>
    <row r="98" spans="1:10" ht="15" x14ac:dyDescent="0.25">
      <c r="A98" s="49">
        <v>1902</v>
      </c>
      <c r="B98" s="49" t="s">
        <v>234</v>
      </c>
      <c r="C98" s="49"/>
      <c r="D98" s="49" t="s">
        <v>235</v>
      </c>
      <c r="E98" s="49" t="s">
        <v>111</v>
      </c>
      <c r="F98" s="50"/>
      <c r="G98" s="50"/>
      <c r="H98" s="9"/>
      <c r="I98" s="51"/>
      <c r="J98" s="52"/>
    </row>
    <row r="99" spans="1:10" ht="15" x14ac:dyDescent="0.25">
      <c r="A99" s="49">
        <v>51238</v>
      </c>
      <c r="B99" s="49" t="s">
        <v>236</v>
      </c>
      <c r="C99" s="49"/>
      <c r="D99" s="49" t="s">
        <v>237</v>
      </c>
      <c r="E99" s="49" t="s">
        <v>111</v>
      </c>
      <c r="F99" s="50"/>
      <c r="G99" s="50"/>
      <c r="H99" s="9"/>
      <c r="I99" s="51"/>
      <c r="J99" s="52"/>
    </row>
    <row r="100" spans="1:10" ht="15" x14ac:dyDescent="0.25">
      <c r="A100" s="49">
        <v>50766</v>
      </c>
      <c r="B100" s="49" t="s">
        <v>238</v>
      </c>
      <c r="C100" s="49"/>
      <c r="D100" s="49" t="s">
        <v>239</v>
      </c>
      <c r="E100" s="49" t="s">
        <v>111</v>
      </c>
      <c r="F100" s="50"/>
      <c r="G100" s="50"/>
      <c r="H100" s="9"/>
      <c r="I100" s="51"/>
      <c r="J100" s="52"/>
    </row>
    <row r="101" spans="1:10" ht="15" x14ac:dyDescent="0.25">
      <c r="A101" s="49">
        <v>500948</v>
      </c>
      <c r="B101" s="49" t="s">
        <v>240</v>
      </c>
      <c r="C101" s="49"/>
      <c r="D101" s="49" t="s">
        <v>209</v>
      </c>
      <c r="E101" s="49" t="s">
        <v>111</v>
      </c>
      <c r="F101" s="50"/>
      <c r="G101" s="50"/>
      <c r="H101" s="9"/>
      <c r="I101" s="51"/>
      <c r="J101" s="52"/>
    </row>
    <row r="102" spans="1:10" ht="15" x14ac:dyDescent="0.25">
      <c r="A102" s="49">
        <v>1134</v>
      </c>
      <c r="B102" s="49" t="s">
        <v>241</v>
      </c>
      <c r="C102" s="49"/>
      <c r="D102" s="49" t="s">
        <v>242</v>
      </c>
      <c r="E102" s="49" t="s">
        <v>111</v>
      </c>
      <c r="F102" s="50"/>
      <c r="G102" s="50"/>
      <c r="H102" s="9"/>
      <c r="I102" s="51"/>
      <c r="J102" s="52"/>
    </row>
    <row r="103" spans="1:10" ht="15" x14ac:dyDescent="0.25">
      <c r="A103" s="49">
        <v>501202</v>
      </c>
      <c r="B103" s="49" t="s">
        <v>243</v>
      </c>
      <c r="C103" s="49"/>
      <c r="D103" s="49" t="s">
        <v>125</v>
      </c>
      <c r="E103" s="49" t="s">
        <v>182</v>
      </c>
      <c r="F103" s="50"/>
      <c r="G103" s="50"/>
      <c r="H103" s="9"/>
      <c r="I103" s="51"/>
      <c r="J103" s="52"/>
    </row>
    <row r="104" spans="1:10" ht="15" x14ac:dyDescent="0.25">
      <c r="A104" s="49">
        <v>501258</v>
      </c>
      <c r="B104" s="49" t="s">
        <v>244</v>
      </c>
      <c r="C104" s="49"/>
      <c r="D104" s="49" t="s">
        <v>43</v>
      </c>
      <c r="E104" s="49" t="s">
        <v>117</v>
      </c>
      <c r="F104" s="50"/>
      <c r="G104" s="50"/>
      <c r="H104" s="9"/>
      <c r="I104" s="51"/>
      <c r="J104" s="52"/>
    </row>
    <row r="105" spans="1:10" ht="15" x14ac:dyDescent="0.25">
      <c r="A105" s="49">
        <v>500315</v>
      </c>
      <c r="B105" s="49" t="s">
        <v>245</v>
      </c>
      <c r="C105" s="49"/>
      <c r="D105" s="49" t="s">
        <v>246</v>
      </c>
      <c r="E105" s="49" t="s">
        <v>110</v>
      </c>
      <c r="F105" s="50"/>
      <c r="G105" s="50"/>
      <c r="H105" s="9"/>
      <c r="I105" s="51"/>
      <c r="J105" s="52"/>
    </row>
    <row r="106" spans="1:10" ht="15" x14ac:dyDescent="0.25">
      <c r="A106" s="49">
        <v>3106</v>
      </c>
      <c r="B106" s="49" t="s">
        <v>247</v>
      </c>
      <c r="C106" s="49"/>
      <c r="D106" s="49" t="s">
        <v>248</v>
      </c>
      <c r="E106" s="49" t="s">
        <v>111</v>
      </c>
      <c r="F106" s="50"/>
      <c r="G106" s="50"/>
      <c r="H106" s="9"/>
      <c r="I106" s="51"/>
      <c r="J106" s="52"/>
    </row>
    <row r="107" spans="1:10" ht="15" x14ac:dyDescent="0.25">
      <c r="A107" s="49">
        <v>2156</v>
      </c>
      <c r="B107" s="49" t="s">
        <v>249</v>
      </c>
      <c r="C107" s="49"/>
      <c r="D107" s="49" t="s">
        <v>250</v>
      </c>
      <c r="E107" s="49" t="s">
        <v>111</v>
      </c>
      <c r="F107" s="50"/>
      <c r="G107" s="50"/>
      <c r="H107" s="9"/>
      <c r="I107" s="51"/>
      <c r="J107" s="52"/>
    </row>
    <row r="108" spans="1:10" ht="15" x14ac:dyDescent="0.25">
      <c r="A108" s="49">
        <v>209</v>
      </c>
      <c r="B108" s="49" t="s">
        <v>251</v>
      </c>
      <c r="C108" s="49"/>
      <c r="D108" s="49" t="s">
        <v>7</v>
      </c>
      <c r="E108" s="49" t="s">
        <v>111</v>
      </c>
      <c r="F108" s="50"/>
      <c r="G108" s="50"/>
      <c r="H108" s="9"/>
      <c r="I108" s="51"/>
      <c r="J108" s="52"/>
    </row>
    <row r="109" spans="1:10" ht="15" x14ac:dyDescent="0.25">
      <c r="A109" s="49">
        <v>93</v>
      </c>
      <c r="B109" s="49" t="s">
        <v>252</v>
      </c>
      <c r="C109" s="49"/>
      <c r="D109" s="49" t="s">
        <v>253</v>
      </c>
      <c r="E109" s="49" t="s">
        <v>111</v>
      </c>
      <c r="F109" s="50"/>
      <c r="G109" s="50"/>
      <c r="H109" s="9"/>
      <c r="I109" s="51"/>
      <c r="J109" s="52"/>
    </row>
    <row r="110" spans="1:10" ht="15" x14ac:dyDescent="0.25">
      <c r="A110" s="49">
        <v>2619</v>
      </c>
      <c r="B110" s="49" t="s">
        <v>254</v>
      </c>
      <c r="C110" s="49"/>
      <c r="D110" s="49" t="s">
        <v>255</v>
      </c>
      <c r="E110" s="49" t="s">
        <v>111</v>
      </c>
      <c r="F110" s="50"/>
      <c r="G110" s="50"/>
      <c r="H110" s="9"/>
      <c r="I110" s="51"/>
      <c r="J110" s="52"/>
    </row>
    <row r="111" spans="1:10" ht="15" x14ac:dyDescent="0.25">
      <c r="A111" s="49">
        <v>1096</v>
      </c>
      <c r="B111" s="49" t="s">
        <v>256</v>
      </c>
      <c r="C111" s="49"/>
      <c r="D111" s="49" t="s">
        <v>48</v>
      </c>
      <c r="E111" s="49" t="s">
        <v>111</v>
      </c>
      <c r="F111" s="50"/>
      <c r="G111" s="50"/>
      <c r="H111" s="9"/>
      <c r="I111" s="51"/>
      <c r="J111" s="52"/>
    </row>
    <row r="112" spans="1:10" ht="15" x14ac:dyDescent="0.25">
      <c r="A112" s="49">
        <v>1852</v>
      </c>
      <c r="B112" s="49" t="s">
        <v>257</v>
      </c>
      <c r="C112" s="49"/>
      <c r="D112" s="49" t="s">
        <v>258</v>
      </c>
      <c r="E112" s="49" t="s">
        <v>111</v>
      </c>
      <c r="F112" s="50"/>
      <c r="G112" s="50"/>
      <c r="H112" s="9"/>
      <c r="I112" s="51"/>
      <c r="J112" s="52"/>
    </row>
    <row r="113" spans="1:11" ht="15" x14ac:dyDescent="0.25">
      <c r="A113" s="49">
        <v>1274</v>
      </c>
      <c r="B113" s="49" t="s">
        <v>259</v>
      </c>
      <c r="C113" s="49"/>
      <c r="D113" s="49" t="s">
        <v>37</v>
      </c>
      <c r="E113" s="49" t="s">
        <v>111</v>
      </c>
      <c r="F113" s="50"/>
      <c r="G113" s="50"/>
      <c r="H113" s="9"/>
      <c r="I113" s="51"/>
      <c r="J113" s="52"/>
    </row>
    <row r="114" spans="1:11" ht="15" x14ac:dyDescent="0.25">
      <c r="A114" s="49">
        <v>915</v>
      </c>
      <c r="B114" s="49" t="s">
        <v>260</v>
      </c>
      <c r="C114" s="49"/>
      <c r="D114" s="49" t="s">
        <v>37</v>
      </c>
      <c r="E114" s="49" t="s">
        <v>111</v>
      </c>
      <c r="F114" s="50"/>
      <c r="G114" s="50"/>
      <c r="H114" s="9"/>
      <c r="I114" s="51"/>
      <c r="J114" s="52"/>
    </row>
    <row r="115" spans="1:11" ht="15" x14ac:dyDescent="0.25">
      <c r="A115" s="49">
        <v>858</v>
      </c>
      <c r="B115" s="49" t="s">
        <v>261</v>
      </c>
      <c r="C115" s="49"/>
      <c r="D115" s="49" t="s">
        <v>262</v>
      </c>
      <c r="E115" s="49" t="s">
        <v>111</v>
      </c>
      <c r="F115" s="50"/>
      <c r="G115" s="50"/>
      <c r="H115" s="9"/>
      <c r="I115" s="51"/>
      <c r="J115" s="52"/>
    </row>
    <row r="116" spans="1:11" ht="15" x14ac:dyDescent="0.25">
      <c r="A116" s="49">
        <v>1688</v>
      </c>
      <c r="B116" s="49" t="s">
        <v>263</v>
      </c>
      <c r="C116" s="49"/>
      <c r="D116" s="49" t="s">
        <v>227</v>
      </c>
      <c r="E116" s="49" t="s">
        <v>111</v>
      </c>
      <c r="F116" s="50"/>
      <c r="G116" s="50"/>
      <c r="H116" s="9"/>
      <c r="I116" s="51"/>
      <c r="J116" s="52"/>
    </row>
    <row r="117" spans="1:11" ht="15" x14ac:dyDescent="0.25">
      <c r="A117" s="49">
        <v>51113</v>
      </c>
      <c r="B117" s="49" t="s">
        <v>264</v>
      </c>
      <c r="C117" s="49"/>
      <c r="D117" s="49" t="s">
        <v>265</v>
      </c>
      <c r="E117" s="49" t="s">
        <v>111</v>
      </c>
      <c r="F117" s="50"/>
      <c r="G117" s="50"/>
      <c r="H117" s="9"/>
      <c r="I117" s="51"/>
      <c r="J117" s="52"/>
    </row>
    <row r="118" spans="1:11" ht="15" x14ac:dyDescent="0.25">
      <c r="A118" s="49">
        <v>500589</v>
      </c>
      <c r="B118" s="49" t="s">
        <v>266</v>
      </c>
      <c r="C118" s="49"/>
      <c r="D118" s="49" t="s">
        <v>32</v>
      </c>
      <c r="E118" s="49" t="s">
        <v>117</v>
      </c>
      <c r="F118" s="50"/>
      <c r="G118" s="50"/>
      <c r="H118" s="9"/>
      <c r="I118" s="51"/>
      <c r="J118" s="52"/>
    </row>
    <row r="119" spans="1:11" ht="15" x14ac:dyDescent="0.25">
      <c r="A119" s="49">
        <v>737</v>
      </c>
      <c r="B119" s="49" t="s">
        <v>267</v>
      </c>
      <c r="C119" s="49"/>
      <c r="D119" s="49" t="s">
        <v>23</v>
      </c>
      <c r="E119" s="49" t="s">
        <v>111</v>
      </c>
      <c r="F119" s="50"/>
      <c r="G119" s="50"/>
      <c r="H119" s="9"/>
      <c r="I119" s="51"/>
      <c r="J119" s="52"/>
    </row>
    <row r="120" spans="1:11" ht="15" x14ac:dyDescent="0.25">
      <c r="A120" s="49">
        <v>163</v>
      </c>
      <c r="B120" s="49" t="s">
        <v>268</v>
      </c>
      <c r="C120" s="49"/>
      <c r="D120" s="49" t="s">
        <v>11</v>
      </c>
      <c r="E120" s="49" t="s">
        <v>111</v>
      </c>
      <c r="F120" s="50"/>
      <c r="G120" s="50"/>
      <c r="H120" s="9"/>
      <c r="I120" s="51"/>
      <c r="J120" s="52"/>
    </row>
    <row r="121" spans="1:11" ht="15" x14ac:dyDescent="0.25">
      <c r="A121" s="49">
        <v>50590</v>
      </c>
      <c r="B121" s="49" t="s">
        <v>269</v>
      </c>
      <c r="C121" s="49"/>
      <c r="D121" s="49" t="s">
        <v>270</v>
      </c>
      <c r="E121" s="49" t="s">
        <v>111</v>
      </c>
      <c r="F121" s="50"/>
      <c r="G121" s="50"/>
      <c r="H121" s="9"/>
      <c r="I121" s="51"/>
      <c r="J121" s="52"/>
    </row>
    <row r="122" spans="1:11" ht="15" x14ac:dyDescent="0.25">
      <c r="A122" s="49">
        <v>2865</v>
      </c>
      <c r="B122" s="49" t="s">
        <v>271</v>
      </c>
      <c r="C122" s="49"/>
      <c r="D122" s="49" t="s">
        <v>272</v>
      </c>
      <c r="E122" s="49" t="s">
        <v>111</v>
      </c>
      <c r="F122" s="50"/>
      <c r="G122" s="50"/>
      <c r="H122" s="9"/>
      <c r="I122" s="51"/>
      <c r="J122" s="52"/>
    </row>
    <row r="123" spans="1:11" ht="15" x14ac:dyDescent="0.25">
      <c r="A123" s="49">
        <v>1869</v>
      </c>
      <c r="B123" s="49" t="s">
        <v>273</v>
      </c>
      <c r="C123" s="49"/>
      <c r="D123" s="49" t="s">
        <v>274</v>
      </c>
      <c r="E123" s="49" t="s">
        <v>111</v>
      </c>
      <c r="F123" s="50"/>
      <c r="G123" s="50"/>
      <c r="H123" s="9"/>
      <c r="I123" s="53"/>
      <c r="J123" s="54"/>
    </row>
    <row r="124" spans="1:11" ht="15" x14ac:dyDescent="0.25">
      <c r="A124" s="49">
        <v>501289</v>
      </c>
      <c r="B124" s="49" t="s">
        <v>275</v>
      </c>
      <c r="C124" s="49"/>
      <c r="D124" s="49" t="s">
        <v>276</v>
      </c>
      <c r="E124" s="49" t="s">
        <v>111</v>
      </c>
      <c r="F124" s="50"/>
      <c r="G124" s="50"/>
      <c r="H124" s="9"/>
      <c r="I124" s="53"/>
      <c r="J124" s="54"/>
    </row>
    <row r="125" spans="1:11" ht="15" x14ac:dyDescent="0.25">
      <c r="A125" s="49">
        <v>6</v>
      </c>
      <c r="B125" s="49" t="s">
        <v>277</v>
      </c>
      <c r="C125" s="49"/>
      <c r="D125" s="49" t="s">
        <v>130</v>
      </c>
      <c r="E125" s="49" t="s">
        <v>111</v>
      </c>
      <c r="F125" s="50"/>
      <c r="G125" s="50"/>
      <c r="H125" s="9"/>
      <c r="I125" s="53"/>
      <c r="J125" s="54"/>
    </row>
    <row r="126" spans="1:11" ht="15" x14ac:dyDescent="0.25">
      <c r="A126" s="49">
        <v>50056</v>
      </c>
      <c r="B126" s="49" t="s">
        <v>278</v>
      </c>
      <c r="C126" s="49"/>
      <c r="D126" s="49" t="s">
        <v>19</v>
      </c>
      <c r="E126" s="49" t="s">
        <v>111</v>
      </c>
      <c r="F126" s="50"/>
      <c r="G126" s="50"/>
      <c r="H126" s="9"/>
      <c r="I126" s="53"/>
      <c r="J126" s="54"/>
      <c r="K126" t="s">
        <v>97</v>
      </c>
    </row>
    <row r="127" spans="1:11" ht="15" x14ac:dyDescent="0.25">
      <c r="A127" s="49">
        <v>842</v>
      </c>
      <c r="B127" s="49" t="s">
        <v>279</v>
      </c>
      <c r="C127" s="49"/>
      <c r="D127" s="49" t="s">
        <v>280</v>
      </c>
      <c r="E127" s="49" t="s">
        <v>111</v>
      </c>
      <c r="F127" s="50"/>
      <c r="G127" s="50"/>
      <c r="H127" s="9"/>
      <c r="I127" s="53"/>
      <c r="J127" s="54"/>
    </row>
    <row r="128" spans="1:11" ht="15" x14ac:dyDescent="0.25">
      <c r="A128" s="49">
        <v>101</v>
      </c>
      <c r="B128" s="49" t="s">
        <v>281</v>
      </c>
      <c r="C128" s="49"/>
      <c r="D128" s="49" t="s">
        <v>101</v>
      </c>
      <c r="E128" s="49" t="s">
        <v>111</v>
      </c>
      <c r="F128" s="50"/>
      <c r="G128" s="50"/>
      <c r="H128" s="9"/>
      <c r="I128" s="53"/>
      <c r="J128" s="54"/>
    </row>
    <row r="129" spans="1:10" ht="15" x14ac:dyDescent="0.25">
      <c r="A129" s="49">
        <v>50467</v>
      </c>
      <c r="B129" s="49" t="s">
        <v>282</v>
      </c>
      <c r="C129" s="49"/>
      <c r="D129" s="49" t="s">
        <v>283</v>
      </c>
      <c r="E129" s="49" t="s">
        <v>111</v>
      </c>
      <c r="F129" s="50"/>
      <c r="G129" s="50"/>
      <c r="H129" s="9"/>
      <c r="I129" s="53"/>
      <c r="J129" s="54"/>
    </row>
    <row r="130" spans="1:10" ht="15" x14ac:dyDescent="0.25">
      <c r="A130" s="49">
        <v>1010</v>
      </c>
      <c r="B130" s="49" t="s">
        <v>284</v>
      </c>
      <c r="C130" s="49"/>
      <c r="D130" s="49" t="s">
        <v>49</v>
      </c>
      <c r="E130" s="49" t="s">
        <v>111</v>
      </c>
      <c r="F130" s="50"/>
      <c r="G130" s="50"/>
      <c r="H130" s="9"/>
      <c r="I130" s="53"/>
      <c r="J130" s="54"/>
    </row>
    <row r="131" spans="1:10" ht="15" x14ac:dyDescent="0.25">
      <c r="A131" s="49">
        <v>500189</v>
      </c>
      <c r="B131" s="49" t="s">
        <v>285</v>
      </c>
      <c r="C131" s="49"/>
      <c r="D131" s="49" t="s">
        <v>286</v>
      </c>
      <c r="E131" s="49" t="s">
        <v>111</v>
      </c>
      <c r="F131" s="50"/>
      <c r="G131" s="50"/>
      <c r="H131" s="9"/>
      <c r="I131" s="53"/>
      <c r="J131" s="54"/>
    </row>
    <row r="132" spans="1:10" ht="15" x14ac:dyDescent="0.25">
      <c r="A132" s="49">
        <v>176</v>
      </c>
      <c r="B132" s="49" t="s">
        <v>287</v>
      </c>
      <c r="C132" s="49"/>
      <c r="D132" s="49" t="s">
        <v>288</v>
      </c>
      <c r="E132" s="49" t="s">
        <v>111</v>
      </c>
      <c r="F132" s="50"/>
      <c r="G132" s="50"/>
      <c r="H132" s="9"/>
      <c r="I132" s="53"/>
      <c r="J132" s="54"/>
    </row>
    <row r="133" spans="1:10" ht="15" x14ac:dyDescent="0.25">
      <c r="A133" s="49">
        <v>1147</v>
      </c>
      <c r="B133" s="49" t="s">
        <v>289</v>
      </c>
      <c r="C133" s="49"/>
      <c r="D133" s="49" t="s">
        <v>265</v>
      </c>
      <c r="E133" s="49" t="s">
        <v>117</v>
      </c>
      <c r="F133" s="50"/>
      <c r="G133" s="50"/>
      <c r="H133" s="9"/>
      <c r="I133" s="53"/>
      <c r="J133" s="54"/>
    </row>
    <row r="134" spans="1:10" ht="15" x14ac:dyDescent="0.25">
      <c r="A134" s="49">
        <v>50955</v>
      </c>
      <c r="B134" s="49" t="s">
        <v>290</v>
      </c>
      <c r="C134" s="49"/>
      <c r="D134" s="49" t="s">
        <v>291</v>
      </c>
      <c r="E134" s="49" t="s">
        <v>111</v>
      </c>
      <c r="F134" s="50"/>
      <c r="G134" s="50"/>
      <c r="H134" s="9"/>
      <c r="I134" s="53"/>
      <c r="J134" s="54"/>
    </row>
    <row r="135" spans="1:10" ht="15" x14ac:dyDescent="0.25">
      <c r="A135" s="49">
        <v>977</v>
      </c>
      <c r="B135" s="49" t="s">
        <v>292</v>
      </c>
      <c r="C135" s="49"/>
      <c r="D135" s="49" t="s">
        <v>293</v>
      </c>
      <c r="E135" s="49" t="s">
        <v>111</v>
      </c>
      <c r="F135" s="50"/>
      <c r="G135" s="50"/>
      <c r="H135" s="9"/>
      <c r="I135" s="53"/>
      <c r="J135" s="54"/>
    </row>
    <row r="136" spans="1:10" ht="15" x14ac:dyDescent="0.25">
      <c r="A136" s="49">
        <v>50885</v>
      </c>
      <c r="B136" s="49" t="s">
        <v>294</v>
      </c>
      <c r="C136" s="49"/>
      <c r="D136" s="49" t="s">
        <v>48</v>
      </c>
      <c r="E136" s="49" t="s">
        <v>111</v>
      </c>
      <c r="F136" s="50"/>
      <c r="G136" s="50"/>
      <c r="H136" s="9"/>
      <c r="I136" s="53"/>
      <c r="J136" s="54"/>
    </row>
    <row r="137" spans="1:10" ht="15" x14ac:dyDescent="0.25">
      <c r="A137" s="49">
        <v>649</v>
      </c>
      <c r="B137" s="49" t="s">
        <v>295</v>
      </c>
      <c r="C137" s="49"/>
      <c r="D137" s="49" t="s">
        <v>283</v>
      </c>
      <c r="E137" s="49" t="s">
        <v>117</v>
      </c>
      <c r="F137" s="50"/>
      <c r="G137" s="50"/>
      <c r="H137" s="9"/>
      <c r="I137" s="53"/>
      <c r="J137" s="54"/>
    </row>
    <row r="138" spans="1:10" ht="15" x14ac:dyDescent="0.25">
      <c r="A138" s="49">
        <v>3235</v>
      </c>
      <c r="B138" s="49" t="s">
        <v>296</v>
      </c>
      <c r="C138" s="49"/>
      <c r="D138" s="49" t="s">
        <v>297</v>
      </c>
      <c r="E138" s="49" t="s">
        <v>111</v>
      </c>
      <c r="F138" s="50"/>
      <c r="G138" s="50"/>
      <c r="H138" s="9"/>
      <c r="I138" s="53"/>
      <c r="J138" s="54"/>
    </row>
    <row r="139" spans="1:10" ht="15" x14ac:dyDescent="0.25">
      <c r="A139" s="49">
        <v>3493</v>
      </c>
      <c r="B139" s="49" t="s">
        <v>298</v>
      </c>
      <c r="C139" s="49"/>
      <c r="D139" s="49" t="s">
        <v>142</v>
      </c>
      <c r="E139" s="49" t="s">
        <v>111</v>
      </c>
      <c r="F139" s="50"/>
      <c r="G139" s="50"/>
      <c r="H139" s="9"/>
      <c r="I139" s="53"/>
      <c r="J139" s="54"/>
    </row>
    <row r="140" spans="1:10" ht="15" x14ac:dyDescent="0.25">
      <c r="A140" s="49">
        <v>500824</v>
      </c>
      <c r="B140" s="49" t="s">
        <v>299</v>
      </c>
      <c r="C140" s="49"/>
      <c r="D140" s="49" t="s">
        <v>40</v>
      </c>
      <c r="E140" s="49" t="s">
        <v>127</v>
      </c>
      <c r="F140" s="50"/>
      <c r="G140" s="50"/>
      <c r="H140" s="9"/>
      <c r="I140" s="53"/>
      <c r="J140" s="54"/>
    </row>
    <row r="141" spans="1:10" ht="15" x14ac:dyDescent="0.25">
      <c r="A141" s="49">
        <v>50873</v>
      </c>
      <c r="B141" s="49" t="s">
        <v>300</v>
      </c>
      <c r="C141" s="49"/>
      <c r="D141" s="49" t="s">
        <v>37</v>
      </c>
      <c r="E141" s="49" t="s">
        <v>117</v>
      </c>
      <c r="F141" s="50"/>
      <c r="G141" s="50"/>
      <c r="H141" s="9"/>
      <c r="I141" s="53"/>
      <c r="J141" s="54"/>
    </row>
    <row r="142" spans="1:10" ht="15" x14ac:dyDescent="0.25">
      <c r="A142" s="49">
        <v>500070</v>
      </c>
      <c r="B142" s="49" t="s">
        <v>301</v>
      </c>
      <c r="C142" s="49"/>
      <c r="D142" s="49" t="s">
        <v>36</v>
      </c>
      <c r="E142" s="49" t="s">
        <v>127</v>
      </c>
      <c r="F142" s="50"/>
      <c r="G142" s="50"/>
      <c r="H142" s="9"/>
      <c r="I142" s="53"/>
      <c r="J142" s="54"/>
    </row>
    <row r="143" spans="1:10" ht="15" x14ac:dyDescent="0.25">
      <c r="A143" s="49">
        <v>885</v>
      </c>
      <c r="B143" s="49" t="s">
        <v>30</v>
      </c>
      <c r="C143" s="49"/>
      <c r="D143" s="49" t="s">
        <v>31</v>
      </c>
      <c r="E143" s="49" t="s">
        <v>111</v>
      </c>
      <c r="F143" s="50"/>
      <c r="G143" s="50"/>
      <c r="H143" s="9"/>
      <c r="I143" s="53"/>
      <c r="J143" s="54"/>
    </row>
    <row r="144" spans="1:10" ht="15" x14ac:dyDescent="0.25">
      <c r="A144" s="49">
        <v>500624</v>
      </c>
      <c r="B144" s="49" t="s">
        <v>302</v>
      </c>
      <c r="C144" s="49"/>
      <c r="D144" s="49" t="s">
        <v>6</v>
      </c>
      <c r="E144" s="49" t="s">
        <v>111</v>
      </c>
      <c r="F144" s="50"/>
      <c r="G144" s="50"/>
      <c r="H144" s="9"/>
      <c r="I144" s="53"/>
      <c r="J144" s="54"/>
    </row>
    <row r="145" spans="1:10" ht="15" x14ac:dyDescent="0.25">
      <c r="A145" s="49">
        <v>500519</v>
      </c>
      <c r="B145" s="49" t="s">
        <v>303</v>
      </c>
      <c r="C145" s="49"/>
      <c r="D145" s="49" t="s">
        <v>36</v>
      </c>
      <c r="E145" s="49" t="s">
        <v>111</v>
      </c>
      <c r="F145" s="50"/>
      <c r="G145" s="50"/>
      <c r="H145" s="9"/>
      <c r="I145" s="53"/>
      <c r="J145" s="54"/>
    </row>
    <row r="146" spans="1:10" ht="15" x14ac:dyDescent="0.25">
      <c r="A146" s="49">
        <v>500618</v>
      </c>
      <c r="B146" s="49" t="s">
        <v>304</v>
      </c>
      <c r="C146" s="49"/>
      <c r="D146" s="49" t="s">
        <v>305</v>
      </c>
      <c r="E146" s="49" t="s">
        <v>111</v>
      </c>
      <c r="F146" s="50"/>
      <c r="G146" s="50"/>
      <c r="H146" s="9"/>
      <c r="I146" s="53"/>
      <c r="J146" s="54"/>
    </row>
    <row r="147" spans="1:10" ht="15" x14ac:dyDescent="0.25">
      <c r="A147" s="49">
        <v>500061</v>
      </c>
      <c r="B147" s="49" t="s">
        <v>306</v>
      </c>
      <c r="C147" s="49"/>
      <c r="D147" s="49" t="s">
        <v>248</v>
      </c>
      <c r="E147" s="49" t="s">
        <v>127</v>
      </c>
      <c r="F147" s="50"/>
      <c r="G147" s="50"/>
      <c r="H147" s="9"/>
      <c r="I147" s="53"/>
      <c r="J147" s="54"/>
    </row>
    <row r="148" spans="1:10" ht="15" x14ac:dyDescent="0.25">
      <c r="A148" s="49">
        <v>501129</v>
      </c>
      <c r="B148" s="49" t="s">
        <v>307</v>
      </c>
      <c r="C148" s="49"/>
      <c r="D148" s="49" t="s">
        <v>9</v>
      </c>
      <c r="E148" s="49" t="s">
        <v>111</v>
      </c>
      <c r="F148" s="50"/>
      <c r="G148" s="50"/>
      <c r="H148" s="9"/>
      <c r="I148" s="53"/>
      <c r="J148" s="54"/>
    </row>
    <row r="149" spans="1:10" ht="15" x14ac:dyDescent="0.25">
      <c r="A149" s="49">
        <v>500925</v>
      </c>
      <c r="B149" s="49" t="s">
        <v>308</v>
      </c>
      <c r="C149" s="49"/>
      <c r="D149" s="49" t="s">
        <v>33</v>
      </c>
      <c r="E149" s="49" t="s">
        <v>111</v>
      </c>
      <c r="F149" s="50"/>
      <c r="G149" s="50"/>
      <c r="H149" s="9"/>
      <c r="I149" s="53"/>
      <c r="J149" s="54"/>
    </row>
    <row r="150" spans="1:10" ht="15" x14ac:dyDescent="0.25">
      <c r="A150" s="49">
        <v>51141</v>
      </c>
      <c r="B150" s="49" t="s">
        <v>309</v>
      </c>
      <c r="C150" s="49"/>
      <c r="D150" s="49" t="s">
        <v>310</v>
      </c>
      <c r="E150" s="49" t="s">
        <v>111</v>
      </c>
      <c r="F150" s="50"/>
      <c r="G150" s="50"/>
      <c r="H150" s="9"/>
      <c r="I150" s="53"/>
      <c r="J150" s="54"/>
    </row>
    <row r="151" spans="1:10" ht="15" x14ac:dyDescent="0.25">
      <c r="A151" s="49">
        <v>1139</v>
      </c>
      <c r="B151" s="49" t="s">
        <v>311</v>
      </c>
      <c r="C151" s="49"/>
      <c r="D151" s="49" t="s">
        <v>312</v>
      </c>
      <c r="E151" s="49" t="s">
        <v>111</v>
      </c>
      <c r="F151" s="50"/>
      <c r="G151" s="50"/>
      <c r="H151" s="9"/>
      <c r="I151" s="53"/>
      <c r="J151" s="54"/>
    </row>
    <row r="152" spans="1:10" ht="15" x14ac:dyDescent="0.25">
      <c r="A152" s="49">
        <v>501254</v>
      </c>
      <c r="B152" s="49" t="s">
        <v>313</v>
      </c>
      <c r="C152" s="49"/>
      <c r="D152" s="49" t="s">
        <v>283</v>
      </c>
      <c r="E152" s="49" t="s">
        <v>117</v>
      </c>
      <c r="F152" s="50"/>
      <c r="G152" s="50"/>
      <c r="H152" s="9"/>
      <c r="I152" s="53"/>
      <c r="J152" s="54"/>
    </row>
    <row r="153" spans="1:10" ht="15" x14ac:dyDescent="0.25">
      <c r="A153" s="49">
        <v>500582</v>
      </c>
      <c r="B153" s="49" t="s">
        <v>314</v>
      </c>
      <c r="C153" s="49"/>
      <c r="D153" s="49" t="s">
        <v>23</v>
      </c>
      <c r="E153" s="49" t="s">
        <v>117</v>
      </c>
      <c r="F153" s="50"/>
      <c r="G153" s="50"/>
      <c r="H153" s="9"/>
      <c r="I153" s="53"/>
      <c r="J153" s="54"/>
    </row>
    <row r="154" spans="1:10" ht="15" x14ac:dyDescent="0.25">
      <c r="A154" s="49">
        <v>592</v>
      </c>
      <c r="B154" s="49" t="s">
        <v>315</v>
      </c>
      <c r="C154" s="49"/>
      <c r="D154" s="49" t="s">
        <v>316</v>
      </c>
      <c r="E154" s="49" t="s">
        <v>111</v>
      </c>
      <c r="F154" s="50"/>
      <c r="G154" s="50"/>
      <c r="H154" s="9"/>
      <c r="I154" s="53"/>
      <c r="J154" s="54"/>
    </row>
    <row r="155" spans="1:10" ht="15" x14ac:dyDescent="0.25">
      <c r="A155" s="49">
        <v>909</v>
      </c>
      <c r="B155" s="49" t="s">
        <v>317</v>
      </c>
      <c r="C155" s="49"/>
      <c r="D155" s="49" t="s">
        <v>318</v>
      </c>
      <c r="E155" s="49" t="s">
        <v>111</v>
      </c>
      <c r="F155" s="50"/>
      <c r="G155" s="50"/>
      <c r="H155" s="9"/>
      <c r="I155" s="53"/>
      <c r="J155" s="54"/>
    </row>
    <row r="156" spans="1:10" ht="15" x14ac:dyDescent="0.25">
      <c r="A156" s="49">
        <v>1804</v>
      </c>
      <c r="B156" s="49" t="s">
        <v>319</v>
      </c>
      <c r="C156" s="49"/>
      <c r="D156" s="49" t="s">
        <v>320</v>
      </c>
      <c r="E156" s="49" t="s">
        <v>117</v>
      </c>
      <c r="F156" s="50"/>
      <c r="G156" s="50"/>
      <c r="H156" s="9"/>
      <c r="I156" s="53"/>
      <c r="J156" s="54"/>
    </row>
    <row r="157" spans="1:10" ht="15" x14ac:dyDescent="0.25">
      <c r="A157" s="49">
        <v>51133</v>
      </c>
      <c r="B157" s="49" t="s">
        <v>321</v>
      </c>
      <c r="C157" s="49"/>
      <c r="D157" s="49" t="s">
        <v>322</v>
      </c>
      <c r="E157" s="49" t="s">
        <v>115</v>
      </c>
      <c r="F157" s="50"/>
      <c r="G157" s="50"/>
      <c r="H157" s="9"/>
      <c r="I157" s="53"/>
      <c r="J157" s="54"/>
    </row>
    <row r="158" spans="1:10" ht="15" x14ac:dyDescent="0.25">
      <c r="A158" s="49">
        <v>500367</v>
      </c>
      <c r="B158" s="49" t="s">
        <v>323</v>
      </c>
      <c r="C158" s="49"/>
      <c r="D158" s="49" t="s">
        <v>324</v>
      </c>
      <c r="E158" s="49" t="s">
        <v>117</v>
      </c>
      <c r="F158" s="50"/>
      <c r="G158" s="50"/>
      <c r="H158" s="9"/>
      <c r="I158" s="53"/>
      <c r="J158" s="54"/>
    </row>
    <row r="159" spans="1:10" ht="15" x14ac:dyDescent="0.25">
      <c r="A159" s="49">
        <v>501189</v>
      </c>
      <c r="B159" s="49" t="s">
        <v>325</v>
      </c>
      <c r="C159" s="49"/>
      <c r="D159" s="49" t="s">
        <v>98</v>
      </c>
      <c r="E159" s="49" t="s">
        <v>111</v>
      </c>
      <c r="F159" s="50"/>
      <c r="G159" s="50"/>
      <c r="H159" s="9"/>
      <c r="I159" s="53"/>
      <c r="J159" s="54"/>
    </row>
    <row r="160" spans="1:10" ht="15" x14ac:dyDescent="0.25">
      <c r="A160" s="49">
        <v>51086</v>
      </c>
      <c r="B160" s="49" t="s">
        <v>326</v>
      </c>
      <c r="C160" s="49"/>
      <c r="D160" s="49" t="s">
        <v>33</v>
      </c>
      <c r="E160" s="49" t="s">
        <v>111</v>
      </c>
      <c r="F160" s="50"/>
      <c r="G160" s="50"/>
      <c r="H160" s="9"/>
      <c r="I160" s="53"/>
      <c r="J160" s="54"/>
    </row>
    <row r="161" spans="1:10" ht="15" x14ac:dyDescent="0.25">
      <c r="A161" s="49">
        <v>500407</v>
      </c>
      <c r="B161" s="49" t="s">
        <v>327</v>
      </c>
      <c r="C161" s="49"/>
      <c r="D161" s="49" t="s">
        <v>328</v>
      </c>
      <c r="E161" s="49" t="s">
        <v>111</v>
      </c>
      <c r="F161" s="50"/>
      <c r="G161" s="50"/>
      <c r="H161" s="9"/>
      <c r="I161" s="53"/>
      <c r="J161" s="54"/>
    </row>
    <row r="162" spans="1:10" ht="15" x14ac:dyDescent="0.25">
      <c r="A162" s="49">
        <v>50781</v>
      </c>
      <c r="B162" s="49" t="s">
        <v>329</v>
      </c>
      <c r="C162" s="49"/>
      <c r="D162" s="49" t="s">
        <v>125</v>
      </c>
      <c r="E162" s="49" t="s">
        <v>115</v>
      </c>
      <c r="F162" s="50"/>
      <c r="G162" s="50"/>
      <c r="H162" s="9"/>
      <c r="I162" s="53"/>
      <c r="J162" s="54"/>
    </row>
    <row r="163" spans="1:10" ht="15" x14ac:dyDescent="0.25">
      <c r="A163" s="49">
        <v>1422</v>
      </c>
      <c r="B163" s="49" t="s">
        <v>330</v>
      </c>
      <c r="C163" s="49"/>
      <c r="D163" s="49" t="s">
        <v>331</v>
      </c>
      <c r="E163" s="49" t="s">
        <v>111</v>
      </c>
      <c r="F163" s="50"/>
      <c r="G163" s="50"/>
      <c r="H163" s="9"/>
      <c r="I163" s="53"/>
      <c r="J163" s="54"/>
    </row>
    <row r="164" spans="1:10" ht="15" x14ac:dyDescent="0.25">
      <c r="A164" s="49">
        <v>500879</v>
      </c>
      <c r="B164" s="49" t="s">
        <v>332</v>
      </c>
      <c r="C164" s="49"/>
      <c r="D164" s="49" t="s">
        <v>333</v>
      </c>
      <c r="E164" s="49" t="s">
        <v>127</v>
      </c>
      <c r="F164" s="50"/>
      <c r="G164" s="50"/>
      <c r="H164" s="9"/>
      <c r="I164" s="53"/>
      <c r="J164" s="54"/>
    </row>
    <row r="165" spans="1:10" ht="15" x14ac:dyDescent="0.25">
      <c r="A165" s="49">
        <v>500379</v>
      </c>
      <c r="B165" s="49" t="s">
        <v>334</v>
      </c>
      <c r="C165" s="49"/>
      <c r="D165" s="49" t="s">
        <v>35</v>
      </c>
      <c r="E165" s="49" t="s">
        <v>115</v>
      </c>
      <c r="F165" s="50"/>
      <c r="G165" s="50"/>
      <c r="H165" s="9"/>
      <c r="I165" s="53"/>
      <c r="J165" s="54"/>
    </row>
    <row r="166" spans="1:10" ht="15" x14ac:dyDescent="0.25">
      <c r="A166" s="49">
        <v>500495</v>
      </c>
      <c r="B166" s="49" t="s">
        <v>334</v>
      </c>
      <c r="C166" s="49"/>
      <c r="D166" s="49" t="s">
        <v>35</v>
      </c>
      <c r="E166" s="49" t="s">
        <v>115</v>
      </c>
      <c r="F166" s="50"/>
      <c r="G166" s="50"/>
      <c r="H166" s="9"/>
      <c r="I166" s="53"/>
      <c r="J166" s="54"/>
    </row>
    <row r="167" spans="1:10" ht="15" x14ac:dyDescent="0.25">
      <c r="A167" s="49">
        <v>51186</v>
      </c>
      <c r="B167" s="49" t="s">
        <v>335</v>
      </c>
      <c r="C167" s="49"/>
      <c r="D167" s="49" t="s">
        <v>312</v>
      </c>
      <c r="E167" s="49" t="s">
        <v>111</v>
      </c>
      <c r="F167" s="50"/>
      <c r="G167" s="50"/>
      <c r="H167" s="9"/>
      <c r="I167" s="53"/>
      <c r="J167" s="54"/>
    </row>
    <row r="168" spans="1:10" ht="15" x14ac:dyDescent="0.25">
      <c r="A168" s="49">
        <v>50256</v>
      </c>
      <c r="B168" s="49" t="s">
        <v>336</v>
      </c>
      <c r="C168" s="49"/>
      <c r="D168" s="49" t="s">
        <v>337</v>
      </c>
      <c r="E168" s="49" t="s">
        <v>115</v>
      </c>
      <c r="F168" s="50"/>
      <c r="G168" s="50"/>
      <c r="H168" s="9"/>
      <c r="I168" s="53"/>
      <c r="J168" s="54"/>
    </row>
    <row r="169" spans="1:10" ht="15" x14ac:dyDescent="0.25">
      <c r="A169" s="49">
        <v>1303</v>
      </c>
      <c r="B169" s="49" t="s">
        <v>338</v>
      </c>
      <c r="C169" s="49"/>
      <c r="D169" s="49" t="s">
        <v>339</v>
      </c>
      <c r="E169" s="49" t="s">
        <v>115</v>
      </c>
      <c r="F169" s="50"/>
      <c r="G169" s="50"/>
      <c r="H169" s="9"/>
      <c r="I169" s="53"/>
      <c r="J169" s="54"/>
    </row>
    <row r="170" spans="1:10" ht="15" x14ac:dyDescent="0.25">
      <c r="A170" s="49">
        <v>501187</v>
      </c>
      <c r="B170" s="49" t="s">
        <v>340</v>
      </c>
      <c r="C170" s="49"/>
      <c r="D170" s="49" t="s">
        <v>18</v>
      </c>
      <c r="E170" s="49" t="s">
        <v>117</v>
      </c>
      <c r="F170" s="50"/>
      <c r="G170" s="50"/>
      <c r="H170" s="9"/>
      <c r="I170" s="53"/>
      <c r="J170" s="54"/>
    </row>
    <row r="171" spans="1:10" ht="15" x14ac:dyDescent="0.25">
      <c r="A171" s="49">
        <v>500150</v>
      </c>
      <c r="B171" s="49" t="s">
        <v>341</v>
      </c>
      <c r="C171" s="49"/>
      <c r="D171" s="49" t="s">
        <v>33</v>
      </c>
      <c r="E171" s="49" t="s">
        <v>115</v>
      </c>
      <c r="F171" s="50"/>
      <c r="G171" s="50"/>
      <c r="H171" s="9"/>
      <c r="I171" s="53"/>
      <c r="J171" s="54"/>
    </row>
    <row r="172" spans="1:10" ht="15" x14ac:dyDescent="0.25">
      <c r="A172" s="49">
        <v>1570</v>
      </c>
      <c r="B172" s="49" t="s">
        <v>342</v>
      </c>
      <c r="C172" s="49"/>
      <c r="D172" s="49" t="s">
        <v>33</v>
      </c>
      <c r="E172" s="49" t="s">
        <v>115</v>
      </c>
      <c r="F172" s="50"/>
      <c r="G172" s="50"/>
      <c r="H172" s="9"/>
      <c r="I172" s="53"/>
      <c r="J172" s="54"/>
    </row>
    <row r="173" spans="1:10" ht="15" x14ac:dyDescent="0.25">
      <c r="A173" s="49">
        <v>2832</v>
      </c>
      <c r="B173" s="49" t="s">
        <v>343</v>
      </c>
      <c r="C173" s="49"/>
      <c r="D173" s="49" t="s">
        <v>33</v>
      </c>
      <c r="E173" s="49" t="s">
        <v>115</v>
      </c>
      <c r="F173" s="50"/>
      <c r="G173" s="50"/>
      <c r="H173" s="9"/>
      <c r="I173" s="53"/>
      <c r="J173" s="54"/>
    </row>
    <row r="174" spans="1:10" ht="15" x14ac:dyDescent="0.25">
      <c r="A174" s="49">
        <v>3192</v>
      </c>
      <c r="B174" s="49" t="s">
        <v>344</v>
      </c>
      <c r="C174" s="49"/>
      <c r="D174" s="49" t="s">
        <v>33</v>
      </c>
      <c r="E174" s="49" t="s">
        <v>115</v>
      </c>
      <c r="F174" s="50"/>
      <c r="G174" s="50"/>
      <c r="H174" s="9"/>
      <c r="I174" s="53"/>
      <c r="J174" s="54"/>
    </row>
    <row r="175" spans="1:10" ht="15" x14ac:dyDescent="0.25">
      <c r="A175" s="49">
        <v>260</v>
      </c>
      <c r="B175" s="49" t="s">
        <v>345</v>
      </c>
      <c r="C175" s="49"/>
      <c r="D175" s="49" t="s">
        <v>33</v>
      </c>
      <c r="E175" s="49" t="s">
        <v>115</v>
      </c>
      <c r="F175" s="50"/>
      <c r="G175" s="50"/>
      <c r="H175" s="9"/>
      <c r="I175" s="53"/>
      <c r="J175" s="54"/>
    </row>
    <row r="176" spans="1:10" ht="15" x14ac:dyDescent="0.25">
      <c r="A176" s="49">
        <v>2796</v>
      </c>
      <c r="B176" s="49" t="s">
        <v>345</v>
      </c>
      <c r="C176" s="49"/>
      <c r="D176" s="49" t="s">
        <v>33</v>
      </c>
      <c r="E176" s="49" t="s">
        <v>115</v>
      </c>
      <c r="F176" s="50"/>
      <c r="G176" s="50"/>
      <c r="H176" s="9"/>
      <c r="I176" s="53"/>
      <c r="J176" s="54"/>
    </row>
    <row r="177" spans="1:10" ht="15" x14ac:dyDescent="0.25">
      <c r="A177" s="49">
        <v>300</v>
      </c>
      <c r="B177" s="49" t="s">
        <v>345</v>
      </c>
      <c r="C177" s="49"/>
      <c r="D177" s="49" t="s">
        <v>98</v>
      </c>
      <c r="E177" s="49" t="s">
        <v>115</v>
      </c>
      <c r="F177" s="50"/>
      <c r="G177" s="50"/>
      <c r="H177" s="9"/>
      <c r="I177" s="53"/>
      <c r="J177" s="54"/>
    </row>
    <row r="178" spans="1:10" ht="15" x14ac:dyDescent="0.25">
      <c r="A178" s="49">
        <v>50528</v>
      </c>
      <c r="B178" s="49" t="s">
        <v>345</v>
      </c>
      <c r="C178" s="49"/>
      <c r="D178" s="49" t="s">
        <v>196</v>
      </c>
      <c r="E178" s="49" t="s">
        <v>115</v>
      </c>
      <c r="F178" s="50"/>
      <c r="G178" s="50"/>
      <c r="H178" s="9"/>
      <c r="I178" s="53"/>
      <c r="J178" s="54"/>
    </row>
    <row r="179" spans="1:10" ht="15" x14ac:dyDescent="0.25">
      <c r="A179" s="49">
        <v>127</v>
      </c>
      <c r="B179" s="49" t="s">
        <v>345</v>
      </c>
      <c r="C179" s="49"/>
      <c r="D179" s="49" t="s">
        <v>346</v>
      </c>
      <c r="E179" s="49" t="s">
        <v>115</v>
      </c>
      <c r="F179" s="50"/>
      <c r="G179" s="50"/>
      <c r="H179" s="9"/>
      <c r="I179" s="53"/>
      <c r="J179" s="54"/>
    </row>
    <row r="180" spans="1:10" ht="15" x14ac:dyDescent="0.25">
      <c r="A180" s="49">
        <v>2622</v>
      </c>
      <c r="B180" s="49" t="s">
        <v>347</v>
      </c>
      <c r="C180" s="49"/>
      <c r="D180" s="49" t="s">
        <v>33</v>
      </c>
      <c r="E180" s="49" t="s">
        <v>115</v>
      </c>
      <c r="F180" s="50"/>
      <c r="G180" s="50"/>
      <c r="H180" s="9"/>
      <c r="I180" s="53"/>
      <c r="J180" s="54"/>
    </row>
    <row r="181" spans="1:10" ht="15" x14ac:dyDescent="0.25">
      <c r="A181" s="49">
        <v>2845</v>
      </c>
      <c r="B181" s="49" t="s">
        <v>348</v>
      </c>
      <c r="C181" s="49"/>
      <c r="D181" s="49" t="s">
        <v>33</v>
      </c>
      <c r="E181" s="49" t="s">
        <v>115</v>
      </c>
      <c r="F181" s="50"/>
      <c r="G181" s="50"/>
      <c r="H181" s="9"/>
      <c r="I181" s="53"/>
      <c r="J181" s="54"/>
    </row>
    <row r="182" spans="1:10" ht="15" x14ac:dyDescent="0.25">
      <c r="A182" s="49">
        <v>50415</v>
      </c>
      <c r="B182" s="49" t="s">
        <v>349</v>
      </c>
      <c r="C182" s="49"/>
      <c r="D182" s="49" t="s">
        <v>33</v>
      </c>
      <c r="E182" s="49" t="s">
        <v>115</v>
      </c>
      <c r="F182" s="50"/>
      <c r="G182" s="50"/>
      <c r="H182" s="9"/>
      <c r="I182" s="53"/>
      <c r="J182" s="54"/>
    </row>
    <row r="183" spans="1:10" ht="15" x14ac:dyDescent="0.25">
      <c r="A183" s="49">
        <v>131</v>
      </c>
      <c r="B183" s="49" t="s">
        <v>350</v>
      </c>
      <c r="C183" s="49"/>
      <c r="D183" s="49" t="s">
        <v>351</v>
      </c>
      <c r="E183" s="49" t="s">
        <v>115</v>
      </c>
      <c r="F183" s="50"/>
      <c r="G183" s="50"/>
      <c r="H183" s="9"/>
      <c r="I183" s="53"/>
      <c r="J183" s="54"/>
    </row>
    <row r="184" spans="1:10" ht="15" x14ac:dyDescent="0.25">
      <c r="A184" s="49">
        <v>50911</v>
      </c>
      <c r="B184" s="49" t="s">
        <v>352</v>
      </c>
      <c r="C184" s="49"/>
      <c r="D184" s="49" t="s">
        <v>33</v>
      </c>
      <c r="E184" s="49" t="s">
        <v>115</v>
      </c>
      <c r="F184" s="50"/>
      <c r="G184" s="50"/>
      <c r="H184" s="9"/>
      <c r="I184" s="53"/>
      <c r="J184" s="54"/>
    </row>
    <row r="185" spans="1:10" ht="15" x14ac:dyDescent="0.25">
      <c r="A185" s="49">
        <v>2183</v>
      </c>
      <c r="B185" s="49" t="s">
        <v>353</v>
      </c>
      <c r="C185" s="49"/>
      <c r="D185" s="49" t="s">
        <v>33</v>
      </c>
      <c r="E185" s="49" t="s">
        <v>115</v>
      </c>
      <c r="F185" s="50"/>
      <c r="G185" s="50"/>
      <c r="H185" s="9"/>
      <c r="I185" s="53"/>
      <c r="J185" s="54"/>
    </row>
    <row r="186" spans="1:10" ht="15" x14ac:dyDescent="0.25">
      <c r="A186" s="49">
        <v>2753</v>
      </c>
      <c r="B186" s="49" t="s">
        <v>354</v>
      </c>
      <c r="C186" s="49"/>
      <c r="D186" s="49" t="s">
        <v>33</v>
      </c>
      <c r="E186" s="49" t="s">
        <v>115</v>
      </c>
      <c r="F186" s="50"/>
      <c r="G186" s="55"/>
      <c r="H186" s="56"/>
      <c r="I186" s="53"/>
      <c r="J186" s="54"/>
    </row>
    <row r="187" spans="1:10" ht="15" x14ac:dyDescent="0.25">
      <c r="A187" s="49">
        <v>50971</v>
      </c>
      <c r="B187" s="49" t="s">
        <v>355</v>
      </c>
      <c r="C187" s="49"/>
      <c r="D187" s="49" t="s">
        <v>33</v>
      </c>
      <c r="E187" s="49" t="s">
        <v>115</v>
      </c>
      <c r="F187" s="50"/>
      <c r="G187" s="50"/>
      <c r="H187" s="57"/>
      <c r="I187" s="51"/>
      <c r="J187" s="52"/>
    </row>
    <row r="188" spans="1:10" ht="15" x14ac:dyDescent="0.25">
      <c r="A188" s="49">
        <v>53</v>
      </c>
      <c r="B188" s="49" t="s">
        <v>356</v>
      </c>
      <c r="C188" s="49"/>
      <c r="D188" s="49" t="s">
        <v>346</v>
      </c>
      <c r="E188" s="49" t="s">
        <v>115</v>
      </c>
      <c r="F188" s="50"/>
      <c r="G188" s="50"/>
      <c r="H188" s="57"/>
      <c r="I188" s="51"/>
      <c r="J188" s="52"/>
    </row>
    <row r="189" spans="1:10" ht="15" x14ac:dyDescent="0.25">
      <c r="A189" s="49">
        <v>3412</v>
      </c>
      <c r="B189" s="49" t="s">
        <v>357</v>
      </c>
      <c r="C189" s="49"/>
      <c r="D189" s="49" t="s">
        <v>33</v>
      </c>
      <c r="E189" s="49" t="s">
        <v>115</v>
      </c>
      <c r="F189" s="50"/>
      <c r="G189" s="50"/>
      <c r="H189" s="57"/>
      <c r="I189" s="51"/>
      <c r="J189" s="52"/>
    </row>
    <row r="190" spans="1:10" ht="15" x14ac:dyDescent="0.25">
      <c r="A190" s="49">
        <v>656</v>
      </c>
      <c r="B190" s="49" t="s">
        <v>357</v>
      </c>
      <c r="C190" s="49"/>
      <c r="D190" s="49" t="s">
        <v>164</v>
      </c>
      <c r="E190" s="49" t="s">
        <v>115</v>
      </c>
      <c r="F190" s="50"/>
      <c r="G190" s="50"/>
      <c r="H190" s="57"/>
      <c r="I190" s="51"/>
      <c r="J190" s="52"/>
    </row>
    <row r="191" spans="1:10" ht="15" x14ac:dyDescent="0.25">
      <c r="A191" s="49">
        <v>3349</v>
      </c>
      <c r="B191" s="49" t="s">
        <v>358</v>
      </c>
      <c r="C191" s="49"/>
      <c r="D191" s="49" t="s">
        <v>33</v>
      </c>
      <c r="E191" s="49" t="s">
        <v>115</v>
      </c>
      <c r="F191" s="50"/>
      <c r="G191" s="50"/>
      <c r="H191" s="57"/>
      <c r="I191" s="51"/>
      <c r="J191" s="52"/>
    </row>
    <row r="192" spans="1:10" ht="15" x14ac:dyDescent="0.25">
      <c r="A192" s="49">
        <v>923</v>
      </c>
      <c r="B192" s="49" t="s">
        <v>359</v>
      </c>
      <c r="C192" s="49"/>
      <c r="D192" s="49" t="s">
        <v>360</v>
      </c>
      <c r="E192" s="49" t="s">
        <v>115</v>
      </c>
      <c r="F192" s="50"/>
      <c r="G192" s="50"/>
      <c r="H192" s="57"/>
      <c r="I192" s="51"/>
      <c r="J192" s="52"/>
    </row>
    <row r="193" spans="1:10" ht="15" x14ac:dyDescent="0.25">
      <c r="A193" s="49">
        <v>548</v>
      </c>
      <c r="B193" s="49" t="s">
        <v>361</v>
      </c>
      <c r="C193" s="49"/>
      <c r="D193" s="49" t="s">
        <v>362</v>
      </c>
      <c r="E193" s="49" t="s">
        <v>115</v>
      </c>
      <c r="F193" s="50"/>
      <c r="G193" s="50"/>
      <c r="H193" s="57"/>
      <c r="I193" s="51"/>
      <c r="J193" s="52"/>
    </row>
    <row r="194" spans="1:10" ht="15" x14ac:dyDescent="0.25">
      <c r="A194" s="49">
        <v>50863</v>
      </c>
      <c r="B194" s="49" t="s">
        <v>361</v>
      </c>
      <c r="C194" s="49"/>
      <c r="D194" s="49" t="s">
        <v>363</v>
      </c>
      <c r="E194" s="49" t="s">
        <v>117</v>
      </c>
      <c r="F194" s="50"/>
      <c r="G194" s="50"/>
      <c r="H194" s="57"/>
      <c r="I194" s="51"/>
      <c r="J194" s="52"/>
    </row>
    <row r="195" spans="1:10" ht="15" x14ac:dyDescent="0.25">
      <c r="A195" s="49">
        <v>501255</v>
      </c>
      <c r="B195" s="49" t="s">
        <v>364</v>
      </c>
      <c r="C195" s="49"/>
      <c r="D195" s="49" t="s">
        <v>125</v>
      </c>
      <c r="E195" s="49" t="s">
        <v>111</v>
      </c>
      <c r="F195" s="50"/>
      <c r="G195" s="50"/>
      <c r="H195" s="57"/>
      <c r="I195" s="51"/>
      <c r="J195" s="52"/>
    </row>
    <row r="196" spans="1:10" ht="15" x14ac:dyDescent="0.25">
      <c r="A196" s="49">
        <v>500391</v>
      </c>
      <c r="B196" s="49" t="s">
        <v>365</v>
      </c>
      <c r="C196" s="49"/>
      <c r="D196" s="49" t="s">
        <v>164</v>
      </c>
      <c r="E196" s="49" t="s">
        <v>117</v>
      </c>
      <c r="F196" s="50"/>
      <c r="G196" s="50"/>
      <c r="H196" s="57"/>
      <c r="I196" s="51"/>
      <c r="J196" s="52"/>
    </row>
    <row r="197" spans="1:10" ht="15" x14ac:dyDescent="0.25">
      <c r="A197" s="49">
        <v>501148</v>
      </c>
      <c r="B197" s="49" t="s">
        <v>366</v>
      </c>
      <c r="C197" s="49"/>
      <c r="D197" s="49" t="s">
        <v>138</v>
      </c>
      <c r="E197" s="49" t="s">
        <v>111</v>
      </c>
      <c r="F197" s="50"/>
      <c r="G197" s="50"/>
      <c r="H197" s="57"/>
      <c r="I197" s="51"/>
      <c r="J197" s="52"/>
    </row>
    <row r="198" spans="1:10" ht="15" x14ac:dyDescent="0.25">
      <c r="A198" s="49">
        <v>501135</v>
      </c>
      <c r="B198" s="49" t="s">
        <v>367</v>
      </c>
      <c r="C198" s="49"/>
      <c r="D198" s="49" t="s">
        <v>181</v>
      </c>
      <c r="E198" s="49" t="s">
        <v>111</v>
      </c>
      <c r="F198" s="50"/>
      <c r="G198" s="50"/>
      <c r="H198" s="57"/>
      <c r="I198" s="51"/>
      <c r="J198" s="52"/>
    </row>
    <row r="199" spans="1:10" ht="15" x14ac:dyDescent="0.25">
      <c r="A199" s="49">
        <v>50307</v>
      </c>
      <c r="B199" s="49" t="s">
        <v>368</v>
      </c>
      <c r="C199" s="49"/>
      <c r="D199" s="49" t="s">
        <v>28</v>
      </c>
      <c r="E199" s="49" t="s">
        <v>111</v>
      </c>
      <c r="F199" s="50"/>
      <c r="G199" s="50"/>
      <c r="H199" s="57"/>
      <c r="I199" s="51"/>
      <c r="J199" s="52"/>
    </row>
    <row r="200" spans="1:10" ht="15" x14ac:dyDescent="0.25">
      <c r="A200" s="49">
        <v>500448</v>
      </c>
      <c r="B200" s="49" t="s">
        <v>369</v>
      </c>
      <c r="C200" s="49"/>
      <c r="D200" s="49" t="s">
        <v>370</v>
      </c>
      <c r="E200" s="49" t="s">
        <v>111</v>
      </c>
      <c r="F200" s="50"/>
      <c r="G200" s="50"/>
      <c r="H200" s="57"/>
      <c r="I200" s="51"/>
      <c r="J200" s="52"/>
    </row>
    <row r="201" spans="1:10" ht="15" x14ac:dyDescent="0.25">
      <c r="A201" s="49">
        <v>50291</v>
      </c>
      <c r="B201" s="49" t="s">
        <v>371</v>
      </c>
      <c r="C201" s="49"/>
      <c r="D201" s="49" t="s">
        <v>13</v>
      </c>
      <c r="E201" s="49" t="s">
        <v>111</v>
      </c>
      <c r="F201" s="50"/>
      <c r="G201" s="50"/>
      <c r="H201" s="57"/>
      <c r="I201" s="51"/>
      <c r="J201" s="52"/>
    </row>
    <row r="202" spans="1:10" ht="15" x14ac:dyDescent="0.25">
      <c r="A202" s="49">
        <v>3271</v>
      </c>
      <c r="B202" s="49" t="s">
        <v>372</v>
      </c>
      <c r="C202" s="49"/>
      <c r="D202" s="49" t="s">
        <v>373</v>
      </c>
      <c r="E202" s="49" t="s">
        <v>111</v>
      </c>
      <c r="F202" s="50"/>
      <c r="G202" s="50"/>
      <c r="H202" s="57"/>
      <c r="I202" s="51"/>
      <c r="J202" s="52"/>
    </row>
    <row r="203" spans="1:10" ht="15" x14ac:dyDescent="0.25">
      <c r="A203" s="49">
        <v>1817</v>
      </c>
      <c r="B203" s="49" t="s">
        <v>374</v>
      </c>
      <c r="C203" s="49"/>
      <c r="D203" s="49" t="s">
        <v>156</v>
      </c>
      <c r="E203" s="49" t="s">
        <v>111</v>
      </c>
      <c r="F203" s="50"/>
      <c r="G203" s="50"/>
      <c r="H203" s="57"/>
      <c r="I203" s="51"/>
      <c r="J203" s="52"/>
    </row>
    <row r="204" spans="1:10" ht="15" x14ac:dyDescent="0.25">
      <c r="A204" s="49">
        <v>2047</v>
      </c>
      <c r="B204" s="49" t="s">
        <v>375</v>
      </c>
      <c r="C204" s="49"/>
      <c r="D204" s="49" t="s">
        <v>7</v>
      </c>
      <c r="E204" s="49" t="s">
        <v>111</v>
      </c>
      <c r="F204" s="50"/>
      <c r="G204" s="50"/>
      <c r="H204" s="57"/>
      <c r="I204" s="51"/>
      <c r="J204" s="52"/>
    </row>
    <row r="205" spans="1:10" ht="15" x14ac:dyDescent="0.25">
      <c r="A205" s="49">
        <v>500815</v>
      </c>
      <c r="B205" s="49" t="s">
        <v>376</v>
      </c>
      <c r="C205" s="49"/>
      <c r="D205" s="49" t="s">
        <v>322</v>
      </c>
      <c r="E205" s="49" t="s">
        <v>111</v>
      </c>
      <c r="F205" s="50"/>
      <c r="G205" s="50"/>
      <c r="H205" s="57"/>
      <c r="I205" s="51"/>
      <c r="J205" s="52"/>
    </row>
    <row r="206" spans="1:10" ht="15" x14ac:dyDescent="0.25">
      <c r="A206" s="49">
        <v>2687</v>
      </c>
      <c r="B206" s="49" t="s">
        <v>377</v>
      </c>
      <c r="C206" s="49"/>
      <c r="D206" s="49" t="s">
        <v>207</v>
      </c>
      <c r="E206" s="49" t="s">
        <v>111</v>
      </c>
      <c r="F206" s="50"/>
      <c r="G206" s="50"/>
      <c r="H206" s="57"/>
      <c r="I206" s="51"/>
      <c r="J206" s="52"/>
    </row>
    <row r="207" spans="1:10" ht="15" x14ac:dyDescent="0.25">
      <c r="A207" s="49">
        <v>500641</v>
      </c>
      <c r="B207" s="49" t="s">
        <v>378</v>
      </c>
      <c r="C207" s="49"/>
      <c r="D207" s="49" t="s">
        <v>33</v>
      </c>
      <c r="E207" s="49" t="s">
        <v>117</v>
      </c>
      <c r="F207" s="50"/>
      <c r="G207" s="50"/>
      <c r="H207" s="57"/>
      <c r="I207" s="51"/>
      <c r="J207" s="52"/>
    </row>
    <row r="208" spans="1:10" ht="15" x14ac:dyDescent="0.25">
      <c r="A208" s="49">
        <v>1770</v>
      </c>
      <c r="B208" s="49" t="s">
        <v>379</v>
      </c>
      <c r="C208" s="49"/>
      <c r="D208" s="49" t="s">
        <v>109</v>
      </c>
      <c r="E208" s="49" t="s">
        <v>111</v>
      </c>
      <c r="F208" s="50"/>
      <c r="G208" s="50"/>
      <c r="H208" s="57"/>
      <c r="I208" s="51"/>
      <c r="J208" s="52"/>
    </row>
    <row r="209" spans="1:10" ht="15" x14ac:dyDescent="0.25">
      <c r="A209" s="49">
        <v>501164</v>
      </c>
      <c r="B209" s="49" t="s">
        <v>380</v>
      </c>
      <c r="C209" s="49"/>
      <c r="D209" s="49" t="s">
        <v>29</v>
      </c>
      <c r="E209" s="49" t="s">
        <v>111</v>
      </c>
      <c r="F209" s="50"/>
      <c r="G209" s="50"/>
      <c r="H209" s="57"/>
      <c r="I209" s="51"/>
      <c r="J209" s="52"/>
    </row>
    <row r="210" spans="1:10" ht="15" x14ac:dyDescent="0.25">
      <c r="A210" s="49">
        <v>501050</v>
      </c>
      <c r="B210" s="49" t="s">
        <v>381</v>
      </c>
      <c r="C210" s="49"/>
      <c r="D210" s="49" t="s">
        <v>218</v>
      </c>
      <c r="E210" s="49" t="s">
        <v>115</v>
      </c>
      <c r="F210" s="50"/>
      <c r="G210" s="50"/>
      <c r="H210" s="57"/>
      <c r="I210" s="51"/>
      <c r="J210" s="52"/>
    </row>
    <row r="211" spans="1:10" ht="15" x14ac:dyDescent="0.25">
      <c r="A211" s="49">
        <v>501213</v>
      </c>
      <c r="B211" s="49" t="s">
        <v>382</v>
      </c>
      <c r="C211" s="49"/>
      <c r="D211" s="49" t="s">
        <v>383</v>
      </c>
      <c r="E211" s="49" t="s">
        <v>111</v>
      </c>
      <c r="F211" s="50"/>
      <c r="G211" s="50"/>
      <c r="H211" s="57"/>
      <c r="I211" s="51"/>
      <c r="J211" s="52"/>
    </row>
    <row r="212" spans="1:10" ht="15" x14ac:dyDescent="0.25">
      <c r="A212" s="49">
        <v>500984</v>
      </c>
      <c r="B212" s="49" t="s">
        <v>236</v>
      </c>
      <c r="C212" s="49"/>
      <c r="D212" s="49" t="s">
        <v>384</v>
      </c>
      <c r="E212" s="49" t="s">
        <v>111</v>
      </c>
      <c r="F212" s="50"/>
      <c r="G212" s="50"/>
      <c r="H212" s="57"/>
      <c r="I212" s="51"/>
      <c r="J212" s="52"/>
    </row>
    <row r="213" spans="1:10" ht="15" x14ac:dyDescent="0.25">
      <c r="A213" s="49">
        <v>1490</v>
      </c>
      <c r="B213" s="49" t="s">
        <v>385</v>
      </c>
      <c r="C213" s="49"/>
      <c r="D213" s="49" t="s">
        <v>386</v>
      </c>
      <c r="E213" s="49" t="s">
        <v>111</v>
      </c>
      <c r="F213" s="50"/>
      <c r="G213" s="50"/>
      <c r="H213" s="57"/>
      <c r="I213" s="51"/>
      <c r="J213" s="52"/>
    </row>
    <row r="214" spans="1:10" ht="15" x14ac:dyDescent="0.25">
      <c r="A214" s="49">
        <v>1019</v>
      </c>
      <c r="B214" s="49" t="s">
        <v>387</v>
      </c>
      <c r="C214" s="49"/>
      <c r="D214" s="49" t="s">
        <v>388</v>
      </c>
      <c r="E214" s="49" t="s">
        <v>111</v>
      </c>
      <c r="F214" s="50"/>
      <c r="G214" s="50"/>
      <c r="H214" s="57"/>
      <c r="I214" s="51"/>
      <c r="J214" s="52"/>
    </row>
    <row r="215" spans="1:10" ht="15" x14ac:dyDescent="0.25">
      <c r="A215" s="49">
        <v>51230</v>
      </c>
      <c r="B215" s="49" t="s">
        <v>389</v>
      </c>
      <c r="C215" s="49"/>
      <c r="D215" s="49" t="s">
        <v>33</v>
      </c>
      <c r="E215" s="49" t="s">
        <v>111</v>
      </c>
      <c r="F215" s="50"/>
      <c r="G215" s="50"/>
      <c r="H215" s="57"/>
      <c r="I215" s="51"/>
      <c r="J215" s="52"/>
    </row>
    <row r="216" spans="1:10" ht="15" x14ac:dyDescent="0.25">
      <c r="A216" s="49">
        <v>500361</v>
      </c>
      <c r="B216" s="49" t="s">
        <v>390</v>
      </c>
      <c r="C216" s="49"/>
      <c r="D216" s="49" t="s">
        <v>272</v>
      </c>
      <c r="E216" s="49" t="s">
        <v>115</v>
      </c>
      <c r="F216" s="50"/>
      <c r="G216" s="50"/>
      <c r="H216" s="57"/>
      <c r="I216" s="51"/>
      <c r="J216" s="52"/>
    </row>
    <row r="217" spans="1:10" ht="15" x14ac:dyDescent="0.25">
      <c r="A217" s="49">
        <v>51052</v>
      </c>
      <c r="B217" s="49" t="s">
        <v>342</v>
      </c>
      <c r="C217" s="49"/>
      <c r="D217" s="49" t="s">
        <v>391</v>
      </c>
      <c r="E217" s="49" t="s">
        <v>115</v>
      </c>
      <c r="F217" s="50"/>
      <c r="G217" s="50"/>
      <c r="H217" s="57"/>
      <c r="I217" s="51"/>
      <c r="J217" s="52"/>
    </row>
    <row r="218" spans="1:10" ht="15" x14ac:dyDescent="0.25">
      <c r="A218" s="49">
        <v>2810</v>
      </c>
      <c r="B218" s="49" t="s">
        <v>392</v>
      </c>
      <c r="C218" s="49"/>
      <c r="D218" s="49" t="s">
        <v>33</v>
      </c>
      <c r="E218" s="49" t="s">
        <v>115</v>
      </c>
      <c r="F218" s="50"/>
      <c r="G218" s="50"/>
      <c r="H218" s="57"/>
      <c r="I218" s="51"/>
      <c r="J218" s="52"/>
    </row>
    <row r="219" spans="1:10" ht="15" x14ac:dyDescent="0.25">
      <c r="A219" s="49">
        <v>51059</v>
      </c>
      <c r="B219" s="49" t="s">
        <v>393</v>
      </c>
      <c r="C219" s="49"/>
      <c r="D219" s="49" t="s">
        <v>33</v>
      </c>
      <c r="E219" s="49" t="s">
        <v>115</v>
      </c>
      <c r="F219" s="50"/>
      <c r="G219" s="50"/>
      <c r="H219" s="57"/>
      <c r="I219" s="51"/>
      <c r="J219" s="52"/>
    </row>
    <row r="220" spans="1:10" ht="15" x14ac:dyDescent="0.25">
      <c r="A220" s="70">
        <v>3120</v>
      </c>
      <c r="B220" s="71" t="s">
        <v>395</v>
      </c>
      <c r="C220" s="71"/>
      <c r="D220" s="71" t="s">
        <v>396</v>
      </c>
      <c r="E220" s="72" t="s">
        <v>95</v>
      </c>
      <c r="F220" s="73"/>
      <c r="G220" s="73"/>
      <c r="H220" s="74"/>
      <c r="I220" s="75"/>
      <c r="J220" s="76"/>
    </row>
    <row r="221" spans="1:10" ht="15" x14ac:dyDescent="0.25">
      <c r="A221" s="70">
        <v>500859</v>
      </c>
      <c r="B221" s="71" t="s">
        <v>397</v>
      </c>
      <c r="C221" s="71"/>
      <c r="D221" s="71" t="s">
        <v>398</v>
      </c>
      <c r="E221" s="72" t="s">
        <v>115</v>
      </c>
      <c r="F221" s="73"/>
      <c r="G221" s="73"/>
      <c r="H221" s="74"/>
      <c r="I221" s="75"/>
      <c r="J221" s="76"/>
    </row>
    <row r="222" spans="1:10" ht="15" x14ac:dyDescent="0.25">
      <c r="A222" s="70">
        <v>500717</v>
      </c>
      <c r="B222" s="71" t="s">
        <v>399</v>
      </c>
      <c r="C222" s="71"/>
      <c r="D222" s="71" t="s">
        <v>35</v>
      </c>
      <c r="E222" s="72" t="s">
        <v>115</v>
      </c>
      <c r="F222" s="73"/>
      <c r="G222" s="73"/>
      <c r="H222" s="74"/>
      <c r="I222" s="75"/>
      <c r="J222" s="76"/>
    </row>
    <row r="223" spans="1:10" ht="15" x14ac:dyDescent="0.25">
      <c r="A223" s="70">
        <v>51090</v>
      </c>
      <c r="B223" s="71" t="s">
        <v>400</v>
      </c>
      <c r="C223" s="71"/>
      <c r="D223" s="71" t="s">
        <v>401</v>
      </c>
      <c r="E223" s="72" t="s">
        <v>115</v>
      </c>
      <c r="F223" s="73"/>
      <c r="G223" s="73"/>
      <c r="H223" s="74"/>
      <c r="I223" s="75"/>
      <c r="J223" s="76"/>
    </row>
    <row r="224" spans="1:10" ht="15" x14ac:dyDescent="0.25">
      <c r="A224" s="70">
        <v>1654</v>
      </c>
      <c r="B224" s="71" t="s">
        <v>402</v>
      </c>
      <c r="C224" s="71"/>
      <c r="D224" s="71" t="s">
        <v>351</v>
      </c>
      <c r="E224" s="72" t="s">
        <v>115</v>
      </c>
      <c r="F224" s="73"/>
      <c r="G224" s="73"/>
      <c r="H224" s="74"/>
      <c r="I224" s="75"/>
      <c r="J224" s="76"/>
    </row>
    <row r="225" spans="1:10" ht="15" x14ac:dyDescent="0.25">
      <c r="A225" s="70">
        <v>500598</v>
      </c>
      <c r="B225" s="71" t="s">
        <v>403</v>
      </c>
      <c r="C225" s="71"/>
      <c r="D225" s="71" t="s">
        <v>404</v>
      </c>
      <c r="E225" s="72" t="s">
        <v>115</v>
      </c>
      <c r="F225" s="73"/>
      <c r="G225" s="73"/>
      <c r="H225" s="74"/>
      <c r="I225" s="75"/>
      <c r="J225" s="76"/>
    </row>
    <row r="226" spans="1:10" ht="15" x14ac:dyDescent="0.25">
      <c r="A226" s="70">
        <v>51190</v>
      </c>
      <c r="B226" s="71" t="s">
        <v>208</v>
      </c>
      <c r="C226" s="71"/>
      <c r="D226" s="71" t="s">
        <v>50</v>
      </c>
      <c r="E226" s="72" t="s">
        <v>115</v>
      </c>
      <c r="F226" s="73"/>
      <c r="G226" s="73"/>
      <c r="H226" s="74"/>
      <c r="I226" s="75"/>
      <c r="J226" s="76"/>
    </row>
    <row r="227" spans="1:10" ht="15" x14ac:dyDescent="0.25">
      <c r="A227" s="70">
        <v>500529</v>
      </c>
      <c r="B227" s="71" t="s">
        <v>405</v>
      </c>
      <c r="C227" s="71"/>
      <c r="D227" s="71" t="s">
        <v>406</v>
      </c>
      <c r="E227" s="72" t="s">
        <v>115</v>
      </c>
      <c r="F227" s="73"/>
      <c r="G227" s="73"/>
      <c r="H227" s="74"/>
      <c r="I227" s="75"/>
      <c r="J227" s="76"/>
    </row>
    <row r="228" spans="1:10" ht="15" x14ac:dyDescent="0.25">
      <c r="A228" s="70">
        <v>500839</v>
      </c>
      <c r="B228" s="71" t="s">
        <v>407</v>
      </c>
      <c r="C228" s="71"/>
      <c r="D228" s="71" t="s">
        <v>408</v>
      </c>
      <c r="E228" s="72" t="s">
        <v>115</v>
      </c>
      <c r="F228" s="73"/>
      <c r="G228" s="73"/>
      <c r="H228" s="74"/>
      <c r="I228" s="75"/>
      <c r="J228" s="76"/>
    </row>
    <row r="229" spans="1:10" ht="15" x14ac:dyDescent="0.25">
      <c r="A229" s="70">
        <v>500846</v>
      </c>
      <c r="B229" s="71" t="s">
        <v>409</v>
      </c>
      <c r="C229" s="71"/>
      <c r="D229" s="71" t="s">
        <v>316</v>
      </c>
      <c r="E229" s="72" t="s">
        <v>111</v>
      </c>
      <c r="F229" s="73"/>
      <c r="G229" s="73"/>
      <c r="H229" s="74"/>
      <c r="I229" s="75"/>
      <c r="J229" s="76"/>
    </row>
    <row r="230" spans="1:10" ht="15" x14ac:dyDescent="0.25">
      <c r="A230" s="70">
        <v>500419</v>
      </c>
      <c r="B230" s="71" t="s">
        <v>410</v>
      </c>
      <c r="C230" s="71"/>
      <c r="D230" s="71" t="s">
        <v>258</v>
      </c>
      <c r="E230" s="72" t="s">
        <v>95</v>
      </c>
      <c r="F230" s="73"/>
      <c r="G230" s="73"/>
      <c r="H230" s="74"/>
      <c r="I230" s="75"/>
      <c r="J230" s="76"/>
    </row>
    <row r="231" spans="1:10" ht="15" x14ac:dyDescent="0.25">
      <c r="A231" s="70">
        <v>500420</v>
      </c>
      <c r="B231" s="71" t="s">
        <v>411</v>
      </c>
      <c r="C231" s="71"/>
      <c r="D231" s="71" t="s">
        <v>388</v>
      </c>
      <c r="E231" s="72" t="s">
        <v>117</v>
      </c>
      <c r="F231" s="73"/>
      <c r="G231" s="73"/>
      <c r="H231" s="74"/>
      <c r="I231" s="75"/>
      <c r="J231" s="76"/>
    </row>
    <row r="232" spans="1:10" ht="15" x14ac:dyDescent="0.25">
      <c r="A232" s="70">
        <v>500696</v>
      </c>
      <c r="B232" s="71" t="s">
        <v>412</v>
      </c>
      <c r="C232" s="71"/>
      <c r="D232" s="71" t="s">
        <v>35</v>
      </c>
      <c r="E232" s="72" t="s">
        <v>115</v>
      </c>
      <c r="F232" s="73"/>
      <c r="G232" s="73"/>
      <c r="H232" s="74"/>
      <c r="I232" s="75"/>
      <c r="J232" s="76"/>
    </row>
    <row r="233" spans="1:10" ht="15" x14ac:dyDescent="0.25">
      <c r="A233" s="70">
        <v>500998</v>
      </c>
      <c r="B233" s="71" t="s">
        <v>413</v>
      </c>
      <c r="C233" s="71"/>
      <c r="D233" s="71" t="s">
        <v>401</v>
      </c>
      <c r="E233" s="72" t="s">
        <v>115</v>
      </c>
      <c r="F233" s="73"/>
      <c r="G233" s="73"/>
      <c r="H233" s="74"/>
      <c r="I233" s="75"/>
      <c r="J233" s="76"/>
    </row>
    <row r="234" spans="1:10" ht="15" x14ac:dyDescent="0.25">
      <c r="A234" s="70">
        <v>500996</v>
      </c>
      <c r="B234" s="71" t="s">
        <v>414</v>
      </c>
      <c r="C234" s="71"/>
      <c r="D234" s="71" t="s">
        <v>415</v>
      </c>
      <c r="E234" s="72" t="s">
        <v>115</v>
      </c>
      <c r="F234" s="73"/>
      <c r="G234" s="73"/>
      <c r="H234" s="74"/>
      <c r="I234" s="75"/>
      <c r="J234" s="76"/>
    </row>
    <row r="235" spans="1:10" ht="15" x14ac:dyDescent="0.25">
      <c r="A235" s="70">
        <v>501019</v>
      </c>
      <c r="B235" s="71" t="s">
        <v>416</v>
      </c>
      <c r="C235" s="71"/>
      <c r="D235" s="71" t="s">
        <v>417</v>
      </c>
      <c r="E235" s="72" t="s">
        <v>111</v>
      </c>
      <c r="F235" s="73"/>
      <c r="G235" s="73"/>
      <c r="H235" s="74"/>
      <c r="I235" s="75"/>
      <c r="J235" s="76"/>
    </row>
    <row r="236" spans="1:10" ht="15" x14ac:dyDescent="0.25">
      <c r="A236" s="70">
        <v>3538</v>
      </c>
      <c r="B236" s="71" t="s">
        <v>418</v>
      </c>
      <c r="C236" s="71"/>
      <c r="D236" s="71" t="s">
        <v>32</v>
      </c>
      <c r="E236" s="72" t="s">
        <v>111</v>
      </c>
      <c r="F236" s="73"/>
      <c r="G236" s="73"/>
      <c r="H236" s="74"/>
      <c r="I236" s="75"/>
      <c r="J236" s="76"/>
    </row>
    <row r="237" spans="1:10" ht="15" x14ac:dyDescent="0.25">
      <c r="A237" s="70">
        <v>500151</v>
      </c>
      <c r="B237" s="71" t="s">
        <v>419</v>
      </c>
      <c r="C237" s="71"/>
      <c r="D237" s="71" t="s">
        <v>9</v>
      </c>
      <c r="E237" s="72" t="s">
        <v>115</v>
      </c>
      <c r="F237" s="73"/>
      <c r="G237" s="73"/>
      <c r="H237" s="74"/>
      <c r="I237" s="75"/>
      <c r="J237" s="76"/>
    </row>
    <row r="238" spans="1:10" ht="15" x14ac:dyDescent="0.25">
      <c r="A238" s="70">
        <v>500674</v>
      </c>
      <c r="B238" s="71" t="s">
        <v>193</v>
      </c>
      <c r="C238" s="71"/>
      <c r="D238" s="71" t="s">
        <v>420</v>
      </c>
      <c r="E238" s="72" t="s">
        <v>95</v>
      </c>
      <c r="F238" s="73"/>
      <c r="G238" s="73"/>
      <c r="H238" s="74"/>
      <c r="I238" s="75"/>
      <c r="J238" s="76"/>
    </row>
    <row r="239" spans="1:10" ht="15" x14ac:dyDescent="0.25">
      <c r="A239" s="70">
        <v>501111</v>
      </c>
      <c r="B239" s="71" t="s">
        <v>329</v>
      </c>
      <c r="C239" s="71"/>
      <c r="D239" s="71" t="s">
        <v>125</v>
      </c>
      <c r="E239" s="72" t="s">
        <v>115</v>
      </c>
      <c r="F239" s="73"/>
      <c r="G239" s="73"/>
      <c r="H239" s="74"/>
      <c r="I239" s="75"/>
      <c r="J239" s="76"/>
    </row>
    <row r="240" spans="1:10" ht="15" x14ac:dyDescent="0.25">
      <c r="A240" s="70">
        <v>501110</v>
      </c>
      <c r="B240" s="71" t="s">
        <v>421</v>
      </c>
      <c r="C240" s="71"/>
      <c r="D240" s="71" t="s">
        <v>422</v>
      </c>
      <c r="E240" s="72" t="s">
        <v>115</v>
      </c>
      <c r="F240" s="73"/>
      <c r="G240" s="73"/>
      <c r="H240" s="74"/>
      <c r="I240" s="75"/>
      <c r="J240" s="76"/>
    </row>
    <row r="241" spans="1:10" ht="15" x14ac:dyDescent="0.25">
      <c r="A241" s="70">
        <v>50775</v>
      </c>
      <c r="B241" s="71" t="s">
        <v>423</v>
      </c>
      <c r="C241" s="71"/>
      <c r="D241" s="71" t="s">
        <v>424</v>
      </c>
      <c r="E241" s="72" t="s">
        <v>115</v>
      </c>
      <c r="F241" s="73"/>
      <c r="G241" s="73"/>
      <c r="H241" s="74"/>
      <c r="I241" s="75"/>
      <c r="J241" s="76"/>
    </row>
    <row r="242" spans="1:10" ht="15" x14ac:dyDescent="0.25">
      <c r="A242" s="70">
        <v>500501</v>
      </c>
      <c r="B242" s="71" t="s">
        <v>425</v>
      </c>
      <c r="C242" s="71"/>
      <c r="D242" s="71" t="s">
        <v>426</v>
      </c>
      <c r="E242" s="72" t="s">
        <v>111</v>
      </c>
      <c r="F242" s="73"/>
      <c r="G242" s="73"/>
      <c r="H242" s="74"/>
      <c r="I242" s="75"/>
      <c r="J242" s="76"/>
    </row>
    <row r="243" spans="1:10" ht="15" x14ac:dyDescent="0.25">
      <c r="A243" s="70">
        <v>51198</v>
      </c>
      <c r="B243" s="71" t="s">
        <v>427</v>
      </c>
      <c r="C243" s="71"/>
      <c r="D243" s="71" t="s">
        <v>428</v>
      </c>
      <c r="E243" s="72" t="s">
        <v>115</v>
      </c>
      <c r="F243" s="73"/>
      <c r="G243" s="73"/>
      <c r="H243" s="74"/>
      <c r="I243" s="75"/>
      <c r="J243" s="76"/>
    </row>
    <row r="244" spans="1:10" ht="15" x14ac:dyDescent="0.25">
      <c r="A244" s="70">
        <v>500020</v>
      </c>
      <c r="B244" s="71" t="s">
        <v>429</v>
      </c>
      <c r="C244" s="71"/>
      <c r="D244" s="71" t="s">
        <v>6</v>
      </c>
      <c r="E244" s="72" t="s">
        <v>115</v>
      </c>
      <c r="F244" s="73"/>
      <c r="G244" s="73"/>
      <c r="H244" s="74"/>
      <c r="I244" s="75"/>
      <c r="J244" s="76"/>
    </row>
    <row r="245" spans="1:10" ht="15" x14ac:dyDescent="0.25">
      <c r="A245" s="70">
        <v>501205</v>
      </c>
      <c r="B245" s="71" t="s">
        <v>430</v>
      </c>
      <c r="C245" s="71"/>
      <c r="D245" s="71" t="s">
        <v>431</v>
      </c>
      <c r="E245" s="72" t="s">
        <v>115</v>
      </c>
      <c r="F245" s="73"/>
      <c r="G245" s="73"/>
      <c r="H245" s="74"/>
      <c r="I245" s="75"/>
      <c r="J245" s="76"/>
    </row>
    <row r="246" spans="1:10" ht="15" x14ac:dyDescent="0.25">
      <c r="A246" s="70">
        <v>501208</v>
      </c>
      <c r="B246" s="71" t="s">
        <v>432</v>
      </c>
      <c r="C246" s="71"/>
      <c r="D246" s="71" t="s">
        <v>125</v>
      </c>
      <c r="E246" s="72" t="s">
        <v>115</v>
      </c>
      <c r="F246" s="73"/>
      <c r="G246" s="73"/>
      <c r="H246" s="74"/>
      <c r="I246" s="75"/>
      <c r="J246" s="76"/>
    </row>
    <row r="247" spans="1:10" ht="15" x14ac:dyDescent="0.25">
      <c r="A247" s="70">
        <v>501226</v>
      </c>
      <c r="B247" s="71" t="s">
        <v>433</v>
      </c>
      <c r="C247" s="71"/>
      <c r="D247" s="71" t="s">
        <v>434</v>
      </c>
      <c r="E247" s="72" t="s">
        <v>115</v>
      </c>
      <c r="F247" s="73"/>
      <c r="G247" s="73"/>
      <c r="H247" s="74"/>
      <c r="I247" s="75"/>
      <c r="J247" s="76"/>
    </row>
    <row r="248" spans="1:10" ht="15" x14ac:dyDescent="0.25">
      <c r="A248" s="70">
        <v>501245</v>
      </c>
      <c r="B248" s="71" t="s">
        <v>435</v>
      </c>
      <c r="C248" s="71"/>
      <c r="D248" s="71" t="s">
        <v>401</v>
      </c>
      <c r="E248" s="72" t="s">
        <v>115</v>
      </c>
      <c r="F248" s="73"/>
      <c r="G248" s="73"/>
      <c r="H248" s="74"/>
      <c r="I248" s="75"/>
      <c r="J248" s="76"/>
    </row>
    <row r="249" spans="1:10" ht="15" x14ac:dyDescent="0.25">
      <c r="A249" s="70">
        <v>501200</v>
      </c>
      <c r="B249" s="71" t="s">
        <v>436</v>
      </c>
      <c r="C249" s="71"/>
      <c r="D249" s="71" t="s">
        <v>125</v>
      </c>
      <c r="E249" s="72" t="s">
        <v>111</v>
      </c>
      <c r="F249" s="73"/>
      <c r="G249" s="73"/>
      <c r="H249" s="74"/>
      <c r="I249" s="75"/>
      <c r="J249" s="76"/>
    </row>
    <row r="250" spans="1:10" ht="15" x14ac:dyDescent="0.25">
      <c r="A250" s="70">
        <v>501204</v>
      </c>
      <c r="B250" s="71" t="s">
        <v>437</v>
      </c>
      <c r="C250" s="71"/>
      <c r="D250" s="71" t="s">
        <v>396</v>
      </c>
      <c r="E250" s="72" t="s">
        <v>95</v>
      </c>
      <c r="F250" s="73"/>
      <c r="G250" s="73"/>
      <c r="H250" s="74"/>
      <c r="I250" s="75"/>
      <c r="J250" s="76"/>
    </row>
    <row r="251" spans="1:10" ht="15" x14ac:dyDescent="0.25">
      <c r="A251" s="70">
        <v>501253</v>
      </c>
      <c r="B251" s="71" t="s">
        <v>438</v>
      </c>
      <c r="C251" s="71"/>
      <c r="D251" s="71" t="s">
        <v>439</v>
      </c>
      <c r="E251" s="72" t="s">
        <v>115</v>
      </c>
      <c r="F251" s="73"/>
      <c r="G251" s="73"/>
      <c r="H251" s="74"/>
      <c r="I251" s="75"/>
      <c r="J251" s="76"/>
    </row>
    <row r="252" spans="1:10" x14ac:dyDescent="0.25">
      <c r="A252" s="38"/>
      <c r="B252" s="38"/>
      <c r="C252" s="38"/>
      <c r="D252" s="38"/>
      <c r="E252" s="38"/>
    </row>
    <row r="253" spans="1:10" x14ac:dyDescent="0.25">
      <c r="A253" s="38"/>
      <c r="B253" s="38"/>
      <c r="C253" s="38"/>
      <c r="D253" s="38"/>
      <c r="E253" s="38"/>
    </row>
    <row r="254" spans="1:10" x14ac:dyDescent="0.25">
      <c r="A254" s="38"/>
      <c r="B254" s="38"/>
      <c r="C254" s="38"/>
      <c r="D254" s="38"/>
      <c r="E254" s="38"/>
    </row>
    <row r="255" spans="1:10" x14ac:dyDescent="0.25">
      <c r="A255" s="38"/>
      <c r="B255" s="38"/>
      <c r="C255" s="38"/>
      <c r="D255" s="38"/>
      <c r="E255" s="38"/>
    </row>
    <row r="256" spans="1:10" x14ac:dyDescent="0.25">
      <c r="A256" s="38"/>
      <c r="B256" s="38"/>
      <c r="C256" s="38"/>
      <c r="D256" s="38"/>
      <c r="E256" s="38"/>
    </row>
    <row r="257" spans="1:5" x14ac:dyDescent="0.25">
      <c r="A257" s="38"/>
      <c r="B257" s="38"/>
      <c r="C257" s="38"/>
      <c r="D257" s="38"/>
      <c r="E257" s="38"/>
    </row>
    <row r="258" spans="1:5" x14ac:dyDescent="0.25">
      <c r="A258" s="38"/>
      <c r="B258" s="38"/>
      <c r="C258" s="38"/>
      <c r="D258" s="38"/>
      <c r="E258" s="38"/>
    </row>
    <row r="259" spans="1:5" x14ac:dyDescent="0.25">
      <c r="A259" s="38"/>
      <c r="B259" s="38"/>
      <c r="C259" s="38"/>
      <c r="D259" s="38"/>
      <c r="E259" s="38"/>
    </row>
    <row r="260" spans="1:5" x14ac:dyDescent="0.25">
      <c r="A260" s="38"/>
      <c r="B260" s="38"/>
      <c r="C260" s="38"/>
      <c r="D260" s="38"/>
      <c r="E260" s="38"/>
    </row>
    <row r="261" spans="1:5" x14ac:dyDescent="0.25">
      <c r="A261" s="38"/>
      <c r="B261" s="38"/>
      <c r="C261" s="38"/>
      <c r="D261" s="38"/>
      <c r="E261" s="38"/>
    </row>
    <row r="262" spans="1:5" x14ac:dyDescent="0.25">
      <c r="A262" s="38"/>
      <c r="B262" s="38"/>
      <c r="C262" s="38"/>
      <c r="D262" s="38"/>
      <c r="E262" s="38"/>
    </row>
    <row r="263" spans="1:5" x14ac:dyDescent="0.25">
      <c r="A263" s="38"/>
      <c r="B263" s="38"/>
      <c r="C263" s="38"/>
      <c r="D263" s="38"/>
      <c r="E263" s="38"/>
    </row>
    <row r="264" spans="1:5" x14ac:dyDescent="0.25">
      <c r="A264" s="38"/>
      <c r="B264" s="38"/>
      <c r="C264" s="38"/>
      <c r="D264" s="38"/>
      <c r="E264" s="38"/>
    </row>
    <row r="265" spans="1:5" x14ac:dyDescent="0.25">
      <c r="A265" s="38"/>
      <c r="B265" s="38"/>
      <c r="C265" s="38"/>
      <c r="D265" s="38"/>
      <c r="E265" s="38"/>
    </row>
    <row r="266" spans="1:5" x14ac:dyDescent="0.25">
      <c r="A266" s="38"/>
      <c r="B266" s="38"/>
      <c r="C266" s="38"/>
      <c r="D266" s="38"/>
      <c r="E266" s="38"/>
    </row>
    <row r="267" spans="1:5" x14ac:dyDescent="0.25">
      <c r="A267" s="38"/>
      <c r="B267" s="38"/>
      <c r="C267" s="38"/>
      <c r="D267" s="38"/>
      <c r="E267" s="38"/>
    </row>
    <row r="268" spans="1:5" x14ac:dyDescent="0.25">
      <c r="A268" s="38"/>
      <c r="B268" s="38"/>
      <c r="C268" s="38"/>
      <c r="D268" s="38"/>
      <c r="E268" s="38"/>
    </row>
    <row r="269" spans="1:5" x14ac:dyDescent="0.25">
      <c r="A269" s="38"/>
      <c r="B269" s="38"/>
      <c r="C269" s="38"/>
      <c r="D269" s="38"/>
      <c r="E269" s="38"/>
    </row>
    <row r="270" spans="1:5" x14ac:dyDescent="0.25">
      <c r="A270" s="38"/>
      <c r="B270" s="38"/>
      <c r="C270" s="38"/>
      <c r="D270" s="38"/>
      <c r="E270" s="38"/>
    </row>
    <row r="271" spans="1:5" x14ac:dyDescent="0.25">
      <c r="A271" s="38"/>
      <c r="B271" s="38"/>
      <c r="C271" s="38"/>
      <c r="D271" s="38"/>
      <c r="E271" s="38"/>
    </row>
    <row r="272" spans="1:5" x14ac:dyDescent="0.25">
      <c r="A272" s="38"/>
      <c r="B272" s="38"/>
      <c r="C272" s="38"/>
      <c r="D272" s="38"/>
      <c r="E272" s="38"/>
    </row>
    <row r="273" spans="1:5" x14ac:dyDescent="0.25">
      <c r="A273" s="38"/>
      <c r="B273" s="38"/>
      <c r="C273" s="38"/>
      <c r="D273" s="38"/>
      <c r="E273" s="38"/>
    </row>
    <row r="274" spans="1:5" x14ac:dyDescent="0.25">
      <c r="A274" s="38"/>
      <c r="B274" s="38"/>
      <c r="C274" s="38"/>
      <c r="D274" s="38"/>
      <c r="E274" s="38"/>
    </row>
    <row r="275" spans="1:5" x14ac:dyDescent="0.25">
      <c r="A275" s="38"/>
      <c r="B275" s="38"/>
      <c r="C275" s="38"/>
      <c r="D275" s="38"/>
      <c r="E275" s="38"/>
    </row>
    <row r="276" spans="1:5" x14ac:dyDescent="0.25">
      <c r="A276" s="38"/>
      <c r="B276" s="38"/>
      <c r="C276" s="38"/>
      <c r="D276" s="38"/>
      <c r="E276" s="38"/>
    </row>
    <row r="277" spans="1:5" x14ac:dyDescent="0.25">
      <c r="A277" s="38"/>
      <c r="B277" s="38"/>
      <c r="C277" s="38"/>
      <c r="D277" s="38"/>
      <c r="E277" s="38"/>
    </row>
    <row r="278" spans="1:5" x14ac:dyDescent="0.25">
      <c r="A278" s="38"/>
      <c r="B278" s="38"/>
      <c r="C278" s="38"/>
      <c r="D278" s="38"/>
      <c r="E278" s="38"/>
    </row>
    <row r="279" spans="1:5" x14ac:dyDescent="0.25">
      <c r="A279" s="38"/>
      <c r="B279" s="38"/>
      <c r="C279" s="38"/>
      <c r="D279" s="38"/>
      <c r="E279" s="38"/>
    </row>
    <row r="280" spans="1:5" x14ac:dyDescent="0.25">
      <c r="A280" s="38"/>
      <c r="B280" s="38"/>
      <c r="C280" s="38"/>
      <c r="D280" s="38"/>
      <c r="E280" s="38"/>
    </row>
    <row r="281" spans="1:5" x14ac:dyDescent="0.25">
      <c r="A281" s="38"/>
      <c r="B281" s="38"/>
      <c r="C281" s="38"/>
      <c r="D281" s="38"/>
      <c r="E281" s="38"/>
    </row>
    <row r="282" spans="1:5" x14ac:dyDescent="0.25">
      <c r="A282" s="38"/>
      <c r="B282" s="38"/>
      <c r="C282" s="38"/>
      <c r="D282" s="38"/>
      <c r="E282" s="38"/>
    </row>
    <row r="283" spans="1:5" x14ac:dyDescent="0.25">
      <c r="A283" s="38"/>
      <c r="B283" s="38"/>
      <c r="C283" s="38"/>
      <c r="D283" s="38"/>
      <c r="E283" s="38"/>
    </row>
    <row r="284" spans="1:5" x14ac:dyDescent="0.25">
      <c r="A284" s="38"/>
      <c r="B284" s="38"/>
      <c r="C284" s="38"/>
      <c r="D284" s="38"/>
      <c r="E284" s="38"/>
    </row>
    <row r="285" spans="1:5" x14ac:dyDescent="0.25">
      <c r="A285" s="38"/>
      <c r="B285" s="38"/>
      <c r="C285" s="38"/>
      <c r="D285" s="38"/>
      <c r="E285" s="38"/>
    </row>
    <row r="286" spans="1:5" x14ac:dyDescent="0.25">
      <c r="A286" s="38"/>
      <c r="B286" s="38"/>
      <c r="C286" s="38"/>
      <c r="D286" s="38"/>
      <c r="E286" s="38"/>
    </row>
    <row r="287" spans="1:5" x14ac:dyDescent="0.25">
      <c r="A287" s="38"/>
      <c r="B287" s="38"/>
      <c r="C287" s="38"/>
      <c r="D287" s="38"/>
      <c r="E287" s="38"/>
    </row>
    <row r="288" spans="1:5" x14ac:dyDescent="0.25">
      <c r="A288" s="38"/>
      <c r="B288" s="38"/>
      <c r="C288" s="38"/>
      <c r="D288" s="38"/>
      <c r="E288" s="38"/>
    </row>
    <row r="289" spans="1:5" x14ac:dyDescent="0.25">
      <c r="A289" s="38"/>
      <c r="B289" s="38"/>
      <c r="C289" s="38"/>
      <c r="D289" s="38"/>
      <c r="E289" s="38"/>
    </row>
    <row r="290" spans="1:5" x14ac:dyDescent="0.25">
      <c r="A290" s="38"/>
      <c r="B290" s="38"/>
      <c r="C290" s="38"/>
      <c r="D290" s="38"/>
      <c r="E290" s="38"/>
    </row>
    <row r="291" spans="1:5" x14ac:dyDescent="0.25">
      <c r="A291" s="38"/>
      <c r="B291" s="38"/>
      <c r="C291" s="38"/>
      <c r="D291" s="38"/>
      <c r="E291" s="38"/>
    </row>
    <row r="292" spans="1:5" x14ac:dyDescent="0.25">
      <c r="A292" s="38"/>
      <c r="B292" s="38"/>
      <c r="C292" s="38"/>
      <c r="D292" s="38"/>
      <c r="E292" s="38"/>
    </row>
    <row r="293" spans="1:5" x14ac:dyDescent="0.25">
      <c r="A293" s="38"/>
      <c r="B293" s="38"/>
      <c r="C293" s="38"/>
      <c r="D293" s="38"/>
      <c r="E293" s="38"/>
    </row>
    <row r="294" spans="1:5" x14ac:dyDescent="0.25">
      <c r="A294" s="38"/>
      <c r="B294" s="38"/>
      <c r="C294" s="38"/>
      <c r="D294" s="38"/>
      <c r="E294" s="38"/>
    </row>
    <row r="295" spans="1:5" x14ac:dyDescent="0.25">
      <c r="A295" s="38"/>
      <c r="B295" s="38"/>
      <c r="C295" s="38"/>
      <c r="D295" s="38"/>
      <c r="E295" s="38"/>
    </row>
    <row r="296" spans="1:5" x14ac:dyDescent="0.25">
      <c r="A296" s="38"/>
      <c r="B296" s="38"/>
      <c r="C296" s="38"/>
      <c r="D296" s="38"/>
      <c r="E296" s="38"/>
    </row>
    <row r="297" spans="1:5" x14ac:dyDescent="0.25">
      <c r="A297" s="38"/>
      <c r="B297" s="38"/>
      <c r="C297" s="38"/>
      <c r="D297" s="38"/>
      <c r="E297" s="38"/>
    </row>
    <row r="298" spans="1:5" x14ac:dyDescent="0.25">
      <c r="A298" s="38"/>
      <c r="B298" s="38"/>
      <c r="C298" s="38"/>
      <c r="D298" s="38"/>
      <c r="E298" s="38"/>
    </row>
    <row r="299" spans="1:5" x14ac:dyDescent="0.25">
      <c r="A299" s="38"/>
      <c r="B299" s="38"/>
      <c r="C299" s="38"/>
      <c r="D299" s="38"/>
      <c r="E299" s="38"/>
    </row>
    <row r="300" spans="1:5" x14ac:dyDescent="0.25">
      <c r="A300" s="38"/>
      <c r="B300" s="38"/>
      <c r="C300" s="38"/>
      <c r="D300" s="38"/>
      <c r="E300" s="38"/>
    </row>
    <row r="301" spans="1:5" x14ac:dyDescent="0.25">
      <c r="A301" s="38"/>
      <c r="B301" s="38"/>
      <c r="C301" s="38"/>
      <c r="D301" s="38"/>
      <c r="E301" s="38"/>
    </row>
    <row r="302" spans="1:5" x14ac:dyDescent="0.25">
      <c r="A302" s="38"/>
      <c r="B302" s="38"/>
      <c r="C302" s="38"/>
      <c r="D302" s="38"/>
      <c r="E302" s="38"/>
    </row>
    <row r="303" spans="1:5" x14ac:dyDescent="0.25">
      <c r="A303" s="38"/>
      <c r="B303" s="38"/>
      <c r="C303" s="38"/>
      <c r="D303" s="38"/>
      <c r="E303" s="38"/>
    </row>
    <row r="304" spans="1:5" x14ac:dyDescent="0.25">
      <c r="A304" s="38"/>
      <c r="B304" s="38"/>
      <c r="C304" s="38"/>
      <c r="D304" s="38"/>
      <c r="E304" s="38"/>
    </row>
    <row r="305" spans="1:5" x14ac:dyDescent="0.25">
      <c r="A305" s="38"/>
      <c r="B305" s="38"/>
      <c r="C305" s="38"/>
      <c r="D305" s="38"/>
      <c r="E305" s="38"/>
    </row>
    <row r="306" spans="1:5" x14ac:dyDescent="0.25">
      <c r="A306" s="38"/>
      <c r="B306" s="38"/>
      <c r="C306" s="38"/>
      <c r="D306" s="38"/>
      <c r="E306" s="38"/>
    </row>
    <row r="307" spans="1:5" x14ac:dyDescent="0.25">
      <c r="A307" s="38"/>
      <c r="B307" s="38"/>
      <c r="C307" s="38"/>
      <c r="D307" s="38"/>
      <c r="E307" s="38"/>
    </row>
    <row r="308" spans="1:5" x14ac:dyDescent="0.25">
      <c r="A308" s="38"/>
      <c r="B308" s="38"/>
      <c r="C308" s="38"/>
      <c r="D308" s="38"/>
      <c r="E308" s="38"/>
    </row>
    <row r="309" spans="1:5" x14ac:dyDescent="0.25">
      <c r="A309" s="38"/>
      <c r="B309" s="38"/>
      <c r="C309" s="38"/>
      <c r="D309" s="38"/>
      <c r="E309" s="38"/>
    </row>
    <row r="310" spans="1:5" x14ac:dyDescent="0.25">
      <c r="A310" s="38"/>
      <c r="B310" s="38"/>
      <c r="C310" s="38"/>
      <c r="D310" s="38"/>
      <c r="E310" s="38"/>
    </row>
    <row r="311" spans="1:5" x14ac:dyDescent="0.25">
      <c r="A311" s="38"/>
      <c r="B311" s="38"/>
      <c r="C311" s="38"/>
      <c r="D311" s="38"/>
      <c r="E311" s="38"/>
    </row>
    <row r="312" spans="1:5" x14ac:dyDescent="0.25">
      <c r="A312" s="38"/>
      <c r="B312" s="38"/>
      <c r="C312" s="38"/>
      <c r="D312" s="38"/>
      <c r="E312" s="38"/>
    </row>
    <row r="313" spans="1:5" x14ac:dyDescent="0.25">
      <c r="A313" s="38"/>
      <c r="B313" s="38"/>
      <c r="C313" s="38"/>
      <c r="D313" s="38"/>
      <c r="E313" s="38"/>
    </row>
    <row r="314" spans="1:5" x14ac:dyDescent="0.25">
      <c r="A314" s="38"/>
      <c r="B314" s="38"/>
      <c r="C314" s="38"/>
      <c r="D314" s="38"/>
      <c r="E314" s="38"/>
    </row>
    <row r="315" spans="1:5" x14ac:dyDescent="0.25">
      <c r="A315" s="38"/>
      <c r="B315" s="38"/>
      <c r="C315" s="38"/>
      <c r="D315" s="38"/>
      <c r="E315" s="38"/>
    </row>
    <row r="316" spans="1:5" x14ac:dyDescent="0.25">
      <c r="A316" s="38"/>
      <c r="B316" s="38"/>
      <c r="C316" s="38"/>
      <c r="D316" s="38"/>
      <c r="E316" s="38"/>
    </row>
    <row r="317" spans="1:5" x14ac:dyDescent="0.25">
      <c r="A317" s="38"/>
      <c r="B317" s="38"/>
      <c r="C317" s="38"/>
      <c r="D317" s="38"/>
      <c r="E317" s="38"/>
    </row>
    <row r="318" spans="1:5" x14ac:dyDescent="0.25">
      <c r="A318" s="38"/>
      <c r="B318" s="38"/>
      <c r="C318" s="38"/>
      <c r="D318" s="38"/>
      <c r="E318" s="38"/>
    </row>
    <row r="319" spans="1:5" x14ac:dyDescent="0.25">
      <c r="A319" s="38"/>
      <c r="B319" s="38"/>
      <c r="C319" s="38"/>
      <c r="D319" s="38"/>
      <c r="E319" s="38"/>
    </row>
    <row r="320" spans="1:5" x14ac:dyDescent="0.25">
      <c r="A320" s="38"/>
      <c r="B320" s="38"/>
      <c r="C320" s="38"/>
      <c r="D320" s="38"/>
      <c r="E320" s="38"/>
    </row>
    <row r="321" spans="1:5" x14ac:dyDescent="0.25">
      <c r="A321" s="38"/>
      <c r="B321" s="38"/>
      <c r="C321" s="38"/>
      <c r="D321" s="38"/>
      <c r="E321" s="38"/>
    </row>
    <row r="322" spans="1:5" x14ac:dyDescent="0.25">
      <c r="A322" s="38"/>
      <c r="B322" s="38"/>
      <c r="C322" s="38"/>
      <c r="D322" s="38"/>
      <c r="E322" s="38"/>
    </row>
    <row r="323" spans="1:5" x14ac:dyDescent="0.25">
      <c r="A323" s="38"/>
      <c r="B323" s="38"/>
      <c r="C323" s="38"/>
      <c r="D323" s="38"/>
      <c r="E323" s="38"/>
    </row>
    <row r="324" spans="1:5" x14ac:dyDescent="0.25">
      <c r="A324" s="38"/>
      <c r="B324" s="38"/>
      <c r="C324" s="38"/>
      <c r="D324" s="38"/>
      <c r="E324" s="38"/>
    </row>
    <row r="325" spans="1:5" x14ac:dyDescent="0.25">
      <c r="A325" s="38"/>
      <c r="B325" s="38"/>
      <c r="C325" s="38"/>
      <c r="D325" s="38"/>
      <c r="E325" s="38"/>
    </row>
    <row r="326" spans="1:5" x14ac:dyDescent="0.25">
      <c r="A326" s="38"/>
      <c r="B326" s="38"/>
      <c r="C326" s="38"/>
      <c r="D326" s="38"/>
      <c r="E326" s="38"/>
    </row>
    <row r="327" spans="1:5" x14ac:dyDescent="0.25">
      <c r="A327" s="38"/>
      <c r="B327" s="38"/>
      <c r="C327" s="38"/>
      <c r="D327" s="38"/>
      <c r="E327" s="38"/>
    </row>
    <row r="328" spans="1:5" x14ac:dyDescent="0.25">
      <c r="A328" s="38"/>
      <c r="B328" s="38"/>
      <c r="C328" s="38"/>
      <c r="D328" s="38"/>
      <c r="E328" s="38"/>
    </row>
    <row r="329" spans="1:5" x14ac:dyDescent="0.25">
      <c r="A329" s="38"/>
      <c r="B329" s="38"/>
      <c r="C329" s="38"/>
      <c r="D329" s="38"/>
      <c r="E329" s="38"/>
    </row>
    <row r="330" spans="1:5" x14ac:dyDescent="0.25">
      <c r="A330" s="38"/>
      <c r="B330" s="38"/>
      <c r="C330" s="38"/>
      <c r="D330" s="38"/>
      <c r="E330" s="38"/>
    </row>
    <row r="331" spans="1:5" x14ac:dyDescent="0.25">
      <c r="A331" s="38"/>
      <c r="B331" s="38"/>
      <c r="C331" s="38"/>
      <c r="D331" s="38"/>
      <c r="E331" s="38"/>
    </row>
    <row r="332" spans="1:5" x14ac:dyDescent="0.25">
      <c r="A332" s="38"/>
      <c r="B332" s="38"/>
      <c r="C332" s="38"/>
      <c r="D332" s="38"/>
      <c r="E332" s="38"/>
    </row>
    <row r="333" spans="1:5" x14ac:dyDescent="0.25">
      <c r="A333" s="38"/>
      <c r="B333" s="38"/>
      <c r="C333" s="38"/>
      <c r="D333" s="38"/>
      <c r="E333" s="38"/>
    </row>
    <row r="334" spans="1:5" x14ac:dyDescent="0.25">
      <c r="A334" s="38"/>
      <c r="B334" s="38"/>
      <c r="C334" s="38"/>
      <c r="D334" s="38"/>
      <c r="E334" s="38"/>
    </row>
    <row r="335" spans="1:5" x14ac:dyDescent="0.25">
      <c r="A335" s="38"/>
      <c r="B335" s="38"/>
      <c r="C335" s="38"/>
      <c r="D335" s="38"/>
      <c r="E335" s="38"/>
    </row>
    <row r="336" spans="1:5" x14ac:dyDescent="0.25">
      <c r="A336" s="38"/>
      <c r="B336" s="38"/>
      <c r="C336" s="38"/>
      <c r="D336" s="38"/>
      <c r="E336" s="38"/>
    </row>
    <row r="337" spans="1:5" x14ac:dyDescent="0.25">
      <c r="A337" s="38"/>
      <c r="B337" s="38"/>
      <c r="C337" s="38"/>
      <c r="D337" s="38"/>
      <c r="E337" s="38"/>
    </row>
    <row r="338" spans="1:5" x14ac:dyDescent="0.25">
      <c r="A338" s="38"/>
      <c r="B338" s="38"/>
      <c r="C338" s="38"/>
      <c r="D338" s="38"/>
      <c r="E338" s="38"/>
    </row>
    <row r="339" spans="1:5" x14ac:dyDescent="0.25">
      <c r="A339" s="38"/>
      <c r="B339" s="38"/>
      <c r="C339" s="38"/>
      <c r="D339" s="38"/>
      <c r="E339" s="38"/>
    </row>
    <row r="340" spans="1:5" x14ac:dyDescent="0.25">
      <c r="A340" s="38"/>
      <c r="B340" s="38"/>
      <c r="C340" s="38"/>
      <c r="D340" s="38"/>
      <c r="E340" s="38"/>
    </row>
    <row r="341" spans="1:5" x14ac:dyDescent="0.25">
      <c r="A341" s="38"/>
      <c r="B341" s="38"/>
      <c r="C341" s="38"/>
      <c r="D341" s="38"/>
      <c r="E341" s="38"/>
    </row>
    <row r="342" spans="1:5" x14ac:dyDescent="0.25">
      <c r="A342" s="38"/>
      <c r="B342" s="38"/>
      <c r="C342" s="38"/>
      <c r="D342" s="38"/>
      <c r="E342" s="38"/>
    </row>
    <row r="343" spans="1:5" x14ac:dyDescent="0.25">
      <c r="A343" s="38"/>
      <c r="B343" s="38"/>
      <c r="C343" s="38"/>
      <c r="D343" s="38"/>
      <c r="E343" s="38"/>
    </row>
    <row r="344" spans="1:5" x14ac:dyDescent="0.25">
      <c r="A344" s="38"/>
      <c r="B344" s="38"/>
      <c r="C344" s="38"/>
      <c r="D344" s="38"/>
      <c r="E344" s="38"/>
    </row>
    <row r="345" spans="1:5" x14ac:dyDescent="0.25">
      <c r="A345" s="38"/>
      <c r="B345" s="38"/>
      <c r="C345" s="38"/>
      <c r="D345" s="38"/>
      <c r="E345" s="38"/>
    </row>
    <row r="346" spans="1:5" x14ac:dyDescent="0.25">
      <c r="A346" s="38"/>
      <c r="B346" s="38"/>
      <c r="C346" s="38"/>
      <c r="D346" s="38"/>
      <c r="E346" s="38"/>
    </row>
    <row r="347" spans="1:5" x14ac:dyDescent="0.25">
      <c r="A347" s="38"/>
      <c r="B347" s="38"/>
      <c r="C347" s="38"/>
      <c r="D347" s="38"/>
      <c r="E347" s="38"/>
    </row>
    <row r="348" spans="1:5" x14ac:dyDescent="0.25">
      <c r="A348" s="38"/>
      <c r="B348" s="38"/>
      <c r="C348" s="38"/>
      <c r="D348" s="38"/>
      <c r="E348" s="38"/>
    </row>
    <row r="349" spans="1:5" x14ac:dyDescent="0.25">
      <c r="A349" s="38"/>
      <c r="B349" s="38"/>
      <c r="C349" s="38"/>
      <c r="D349" s="38"/>
      <c r="E349" s="38"/>
    </row>
    <row r="350" spans="1:5" x14ac:dyDescent="0.25">
      <c r="A350" s="38"/>
      <c r="B350" s="38"/>
      <c r="C350" s="38"/>
      <c r="D350" s="38"/>
      <c r="E350" s="38"/>
    </row>
    <row r="351" spans="1:5" x14ac:dyDescent="0.25">
      <c r="A351" s="38"/>
      <c r="B351" s="38"/>
      <c r="C351" s="38"/>
      <c r="D351" s="38"/>
      <c r="E351" s="38"/>
    </row>
    <row r="352" spans="1:5" x14ac:dyDescent="0.25">
      <c r="A352" s="38"/>
      <c r="B352" s="38"/>
      <c r="C352" s="38"/>
      <c r="D352" s="38"/>
      <c r="E352" s="38"/>
    </row>
    <row r="353" spans="1:5" x14ac:dyDescent="0.25">
      <c r="A353" s="38"/>
      <c r="B353" s="38"/>
      <c r="C353" s="38"/>
      <c r="D353" s="38"/>
      <c r="E353" s="38"/>
    </row>
    <row r="354" spans="1:5" x14ac:dyDescent="0.25">
      <c r="A354" s="38"/>
      <c r="B354" s="38"/>
      <c r="C354" s="38"/>
      <c r="D354" s="38"/>
      <c r="E354" s="38"/>
    </row>
    <row r="355" spans="1:5" x14ac:dyDescent="0.25">
      <c r="A355" s="38"/>
      <c r="B355" s="38"/>
      <c r="C355" s="38"/>
      <c r="D355" s="38"/>
      <c r="E355" s="38"/>
    </row>
    <row r="356" spans="1:5" x14ac:dyDescent="0.25">
      <c r="A356" s="38"/>
      <c r="B356" s="38"/>
      <c r="C356" s="38"/>
      <c r="D356" s="38"/>
      <c r="E356" s="38"/>
    </row>
    <row r="357" spans="1:5" x14ac:dyDescent="0.25">
      <c r="A357" s="38"/>
      <c r="B357" s="38"/>
      <c r="C357" s="38"/>
      <c r="D357" s="38"/>
      <c r="E357" s="38"/>
    </row>
    <row r="358" spans="1:5" x14ac:dyDescent="0.25">
      <c r="A358" s="38"/>
      <c r="B358" s="38"/>
      <c r="C358" s="38"/>
      <c r="D358" s="38"/>
      <c r="E358" s="38"/>
    </row>
    <row r="359" spans="1:5" x14ac:dyDescent="0.25">
      <c r="A359" s="38"/>
      <c r="B359" s="38"/>
      <c r="C359" s="38"/>
      <c r="D359" s="38"/>
      <c r="E359" s="38"/>
    </row>
    <row r="360" spans="1:5" x14ac:dyDescent="0.25">
      <c r="A360" s="38"/>
      <c r="B360" s="38"/>
      <c r="C360" s="38"/>
      <c r="D360" s="38"/>
      <c r="E360" s="38"/>
    </row>
    <row r="361" spans="1:5" x14ac:dyDescent="0.25">
      <c r="A361" s="38"/>
      <c r="B361" s="38"/>
      <c r="C361" s="38"/>
      <c r="D361" s="38"/>
      <c r="E361" s="38"/>
    </row>
    <row r="362" spans="1:5" x14ac:dyDescent="0.25">
      <c r="A362" s="38"/>
      <c r="B362" s="38"/>
      <c r="C362" s="38"/>
      <c r="D362" s="38"/>
      <c r="E362" s="38"/>
    </row>
    <row r="363" spans="1:5" x14ac:dyDescent="0.25">
      <c r="A363" s="38"/>
      <c r="B363" s="38"/>
      <c r="C363" s="38"/>
      <c r="D363" s="38"/>
      <c r="E363" s="38"/>
    </row>
    <row r="364" spans="1:5" x14ac:dyDescent="0.25">
      <c r="A364" s="38"/>
      <c r="B364" s="38"/>
      <c r="C364" s="38"/>
      <c r="D364" s="38"/>
      <c r="E364" s="38"/>
    </row>
    <row r="365" spans="1:5" x14ac:dyDescent="0.25">
      <c r="A365" s="38"/>
      <c r="B365" s="38"/>
      <c r="C365" s="38"/>
      <c r="D365" s="38"/>
      <c r="E365" s="38"/>
    </row>
    <row r="366" spans="1:5" x14ac:dyDescent="0.25">
      <c r="A366" s="38"/>
      <c r="B366" s="38"/>
      <c r="C366" s="38"/>
      <c r="D366" s="38"/>
      <c r="E366" s="38"/>
    </row>
    <row r="367" spans="1:5" x14ac:dyDescent="0.25">
      <c r="A367" s="38"/>
      <c r="B367" s="38"/>
      <c r="C367" s="38"/>
      <c r="D367" s="38"/>
      <c r="E367" s="38"/>
    </row>
    <row r="368" spans="1:5" x14ac:dyDescent="0.25">
      <c r="A368" s="38"/>
      <c r="B368" s="38"/>
      <c r="C368" s="38"/>
      <c r="D368" s="38"/>
      <c r="E368" s="38"/>
    </row>
    <row r="369" spans="1:5" x14ac:dyDescent="0.25">
      <c r="A369" s="38"/>
      <c r="B369" s="38"/>
      <c r="C369" s="38"/>
      <c r="D369" s="38"/>
      <c r="E369" s="38"/>
    </row>
    <row r="370" spans="1:5" x14ac:dyDescent="0.25">
      <c r="A370" s="38"/>
      <c r="B370" s="38"/>
      <c r="C370" s="38"/>
      <c r="D370" s="38"/>
      <c r="E370" s="38"/>
    </row>
    <row r="371" spans="1:5" x14ac:dyDescent="0.25">
      <c r="A371" s="38"/>
      <c r="B371" s="38"/>
      <c r="C371" s="38"/>
      <c r="D371" s="38"/>
      <c r="E371" s="38"/>
    </row>
    <row r="372" spans="1:5" x14ac:dyDescent="0.25">
      <c r="A372" s="38"/>
      <c r="B372" s="38"/>
      <c r="C372" s="38"/>
      <c r="D372" s="38"/>
      <c r="E372" s="38"/>
    </row>
    <row r="373" spans="1:5" x14ac:dyDescent="0.25">
      <c r="A373" s="38"/>
      <c r="B373" s="38"/>
      <c r="C373" s="38"/>
      <c r="D373" s="38"/>
      <c r="E373" s="38"/>
    </row>
    <row r="374" spans="1:5" x14ac:dyDescent="0.25">
      <c r="A374" s="38"/>
      <c r="B374" s="38"/>
      <c r="C374" s="38"/>
      <c r="D374" s="38"/>
      <c r="E374" s="38"/>
    </row>
    <row r="375" spans="1:5" x14ac:dyDescent="0.25">
      <c r="A375" s="38"/>
      <c r="B375" s="38"/>
      <c r="C375" s="38"/>
      <c r="D375" s="38"/>
      <c r="E375" s="38"/>
    </row>
    <row r="376" spans="1:5" x14ac:dyDescent="0.25">
      <c r="A376" s="38"/>
      <c r="B376" s="38"/>
      <c r="C376" s="38"/>
      <c r="D376" s="38"/>
      <c r="E376" s="38"/>
    </row>
    <row r="377" spans="1:5" x14ac:dyDescent="0.25">
      <c r="A377" s="38"/>
      <c r="B377" s="38"/>
      <c r="C377" s="38"/>
      <c r="D377" s="38"/>
      <c r="E377" s="38"/>
    </row>
    <row r="378" spans="1:5" x14ac:dyDescent="0.25">
      <c r="A378" s="38"/>
      <c r="B378" s="38"/>
      <c r="C378" s="38"/>
      <c r="D378" s="38"/>
      <c r="E378" s="38"/>
    </row>
    <row r="379" spans="1:5" x14ac:dyDescent="0.25">
      <c r="A379" s="38"/>
      <c r="B379" s="38"/>
      <c r="C379" s="38"/>
      <c r="D379" s="38"/>
      <c r="E379" s="38"/>
    </row>
    <row r="380" spans="1:5" x14ac:dyDescent="0.25">
      <c r="A380" s="38"/>
      <c r="B380" s="38"/>
      <c r="C380" s="38"/>
      <c r="D380" s="38"/>
      <c r="E380" s="38"/>
    </row>
    <row r="381" spans="1:5" x14ac:dyDescent="0.25">
      <c r="A381" s="38"/>
      <c r="B381" s="38"/>
      <c r="C381" s="38"/>
      <c r="D381" s="38"/>
      <c r="E381" s="38"/>
    </row>
    <row r="382" spans="1:5" x14ac:dyDescent="0.25">
      <c r="A382" s="38"/>
      <c r="B382" s="38"/>
      <c r="C382" s="38"/>
      <c r="D382" s="38"/>
      <c r="E382" s="38"/>
    </row>
    <row r="383" spans="1:5" x14ac:dyDescent="0.25">
      <c r="A383" s="38"/>
      <c r="B383" s="38"/>
      <c r="C383" s="38"/>
      <c r="D383" s="38"/>
      <c r="E383" s="38"/>
    </row>
    <row r="384" spans="1:5" x14ac:dyDescent="0.25">
      <c r="A384" s="38"/>
      <c r="B384" s="38"/>
      <c r="C384" s="38"/>
      <c r="D384" s="38"/>
      <c r="E384" s="38"/>
    </row>
    <row r="385" spans="1:5" x14ac:dyDescent="0.25">
      <c r="A385" s="38"/>
      <c r="B385" s="38"/>
      <c r="C385" s="38"/>
      <c r="D385" s="38"/>
      <c r="E385" s="38"/>
    </row>
    <row r="386" spans="1:5" x14ac:dyDescent="0.25">
      <c r="A386" s="38"/>
      <c r="B386" s="38"/>
      <c r="C386" s="38"/>
      <c r="D386" s="38"/>
      <c r="E386" s="38"/>
    </row>
    <row r="387" spans="1:5" x14ac:dyDescent="0.25">
      <c r="A387" s="38"/>
      <c r="B387" s="38"/>
      <c r="C387" s="38"/>
      <c r="D387" s="38"/>
      <c r="E387" s="38"/>
    </row>
    <row r="388" spans="1:5" x14ac:dyDescent="0.25">
      <c r="A388" s="38"/>
      <c r="B388" s="38"/>
      <c r="C388" s="38"/>
      <c r="D388" s="38"/>
      <c r="E388" s="38"/>
    </row>
    <row r="389" spans="1:5" x14ac:dyDescent="0.25">
      <c r="A389" s="38"/>
      <c r="B389" s="38"/>
      <c r="C389" s="38"/>
      <c r="D389" s="38"/>
      <c r="E389" s="38"/>
    </row>
    <row r="390" spans="1:5" x14ac:dyDescent="0.25">
      <c r="A390" s="38"/>
      <c r="B390" s="38"/>
      <c r="C390" s="38"/>
      <c r="D390" s="38"/>
      <c r="E390" s="38"/>
    </row>
    <row r="391" spans="1:5" x14ac:dyDescent="0.25">
      <c r="A391" s="38"/>
      <c r="B391" s="38"/>
      <c r="C391" s="38"/>
      <c r="D391" s="38"/>
      <c r="E391" s="38"/>
    </row>
    <row r="392" spans="1:5" x14ac:dyDescent="0.25">
      <c r="A392" s="38"/>
      <c r="B392" s="38"/>
      <c r="C392" s="38"/>
      <c r="D392" s="38"/>
      <c r="E392" s="38"/>
    </row>
    <row r="393" spans="1:5" x14ac:dyDescent="0.25">
      <c r="A393" s="38"/>
      <c r="B393" s="38"/>
      <c r="C393" s="38"/>
      <c r="D393" s="38"/>
      <c r="E393" s="38"/>
    </row>
    <row r="394" spans="1:5" x14ac:dyDescent="0.25">
      <c r="A394" s="38"/>
      <c r="B394" s="38"/>
      <c r="C394" s="38"/>
      <c r="D394" s="38"/>
      <c r="E394" s="38"/>
    </row>
    <row r="395" spans="1:5" x14ac:dyDescent="0.25">
      <c r="A395" s="38"/>
      <c r="B395" s="38"/>
      <c r="C395" s="38"/>
      <c r="D395" s="38"/>
      <c r="E395" s="38"/>
    </row>
    <row r="396" spans="1:5" x14ac:dyDescent="0.25">
      <c r="A396" s="38"/>
      <c r="B396" s="38"/>
      <c r="C396" s="38"/>
      <c r="D396" s="38"/>
      <c r="E396" s="38"/>
    </row>
    <row r="397" spans="1:5" x14ac:dyDescent="0.25">
      <c r="A397" s="38"/>
      <c r="B397" s="38"/>
      <c r="C397" s="38"/>
      <c r="D397" s="38"/>
      <c r="E397" s="38"/>
    </row>
    <row r="398" spans="1:5" x14ac:dyDescent="0.25">
      <c r="A398" s="38"/>
      <c r="B398" s="38"/>
      <c r="C398" s="38"/>
      <c r="D398" s="38"/>
      <c r="E398" s="38"/>
    </row>
    <row r="399" spans="1:5" x14ac:dyDescent="0.25">
      <c r="A399" s="38"/>
      <c r="B399" s="38"/>
      <c r="C399" s="38"/>
      <c r="D399" s="38"/>
      <c r="E399" s="38"/>
    </row>
    <row r="400" spans="1:5" x14ac:dyDescent="0.25">
      <c r="A400" s="38"/>
      <c r="B400" s="38"/>
      <c r="C400" s="38"/>
      <c r="D400" s="38"/>
      <c r="E400" s="38"/>
    </row>
    <row r="401" spans="1:5" x14ac:dyDescent="0.25">
      <c r="A401" s="38"/>
      <c r="B401" s="38"/>
      <c r="C401" s="38"/>
      <c r="D401" s="38"/>
      <c r="E401" s="38"/>
    </row>
    <row r="402" spans="1:5" x14ac:dyDescent="0.25">
      <c r="A402" s="38"/>
      <c r="B402" s="38"/>
      <c r="C402" s="38"/>
      <c r="D402" s="38"/>
      <c r="E402" s="38"/>
    </row>
    <row r="403" spans="1:5" x14ac:dyDescent="0.25">
      <c r="A403" s="38"/>
      <c r="B403" s="38"/>
      <c r="C403" s="38"/>
      <c r="D403" s="38"/>
      <c r="E403" s="38"/>
    </row>
    <row r="404" spans="1:5" x14ac:dyDescent="0.25">
      <c r="A404" s="38"/>
      <c r="B404" s="38"/>
      <c r="C404" s="38"/>
      <c r="D404" s="38"/>
      <c r="E404" s="38"/>
    </row>
    <row r="405" spans="1:5" x14ac:dyDescent="0.25">
      <c r="A405" s="38"/>
      <c r="B405" s="38"/>
      <c r="C405" s="38"/>
      <c r="D405" s="38"/>
      <c r="E405" s="38"/>
    </row>
    <row r="406" spans="1:5" x14ac:dyDescent="0.25">
      <c r="A406" s="38"/>
      <c r="B406" s="38"/>
      <c r="C406" s="38"/>
      <c r="D406" s="38"/>
      <c r="E406" s="38"/>
    </row>
    <row r="407" spans="1:5" x14ac:dyDescent="0.25">
      <c r="A407" s="38"/>
      <c r="B407" s="38"/>
      <c r="C407" s="38"/>
      <c r="D407" s="38"/>
      <c r="E407" s="38"/>
    </row>
    <row r="408" spans="1:5" x14ac:dyDescent="0.25">
      <c r="A408" s="38"/>
      <c r="B408" s="38"/>
      <c r="C408" s="38"/>
      <c r="D408" s="38"/>
      <c r="E408" s="38"/>
    </row>
    <row r="409" spans="1:5" x14ac:dyDescent="0.25">
      <c r="A409" s="38"/>
      <c r="B409" s="38"/>
      <c r="C409" s="38"/>
      <c r="D409" s="38"/>
      <c r="E409" s="38"/>
    </row>
    <row r="410" spans="1:5" x14ac:dyDescent="0.25">
      <c r="A410" s="38"/>
      <c r="B410" s="38"/>
      <c r="C410" s="38"/>
      <c r="D410" s="38"/>
      <c r="E410" s="38"/>
    </row>
    <row r="411" spans="1:5" x14ac:dyDescent="0.25">
      <c r="A411" s="38"/>
      <c r="B411" s="38"/>
      <c r="C411" s="38"/>
      <c r="D411" s="38"/>
      <c r="E411" s="38"/>
    </row>
    <row r="412" spans="1:5" x14ac:dyDescent="0.25">
      <c r="A412" s="38"/>
      <c r="B412" s="38"/>
      <c r="C412" s="38"/>
      <c r="D412" s="38"/>
      <c r="E412" s="38"/>
    </row>
    <row r="413" spans="1:5" x14ac:dyDescent="0.25">
      <c r="A413" s="38"/>
      <c r="B413" s="38"/>
      <c r="C413" s="38"/>
      <c r="D413" s="38"/>
      <c r="E413" s="38"/>
    </row>
    <row r="414" spans="1:5" x14ac:dyDescent="0.25">
      <c r="A414" s="38"/>
      <c r="B414" s="38"/>
      <c r="C414" s="38"/>
      <c r="D414" s="38"/>
      <c r="E414" s="38"/>
    </row>
    <row r="415" spans="1:5" x14ac:dyDescent="0.25">
      <c r="A415" s="38"/>
      <c r="B415" s="38"/>
      <c r="C415" s="38"/>
      <c r="D415" s="38"/>
      <c r="E415" s="38"/>
    </row>
    <row r="416" spans="1:5" x14ac:dyDescent="0.25">
      <c r="A416" s="38"/>
      <c r="B416" s="38"/>
      <c r="C416" s="38"/>
      <c r="D416" s="38"/>
      <c r="E416" s="38"/>
    </row>
    <row r="417" spans="1:5" x14ac:dyDescent="0.25">
      <c r="A417" s="38"/>
      <c r="B417" s="38"/>
      <c r="C417" s="38"/>
      <c r="D417" s="38"/>
      <c r="E417" s="38"/>
    </row>
    <row r="418" spans="1:5" x14ac:dyDescent="0.25">
      <c r="A418" s="38"/>
      <c r="B418" s="38"/>
      <c r="C418" s="38"/>
      <c r="D418" s="38"/>
      <c r="E418" s="38"/>
    </row>
    <row r="419" spans="1:5" x14ac:dyDescent="0.25">
      <c r="A419" s="38"/>
      <c r="B419" s="38"/>
      <c r="C419" s="38"/>
      <c r="D419" s="38"/>
      <c r="E419" s="38"/>
    </row>
    <row r="420" spans="1:5" x14ac:dyDescent="0.25">
      <c r="A420" s="38"/>
      <c r="B420" s="38"/>
      <c r="C420" s="38"/>
      <c r="D420" s="38"/>
      <c r="E420" s="38"/>
    </row>
    <row r="421" spans="1:5" x14ac:dyDescent="0.25">
      <c r="A421" s="38"/>
      <c r="B421" s="38"/>
      <c r="C421" s="38"/>
      <c r="D421" s="38"/>
      <c r="E421" s="38"/>
    </row>
    <row r="422" spans="1:5" x14ac:dyDescent="0.25">
      <c r="A422" s="38"/>
      <c r="B422" s="38"/>
      <c r="C422" s="38"/>
      <c r="D422" s="38"/>
      <c r="E422" s="38"/>
    </row>
    <row r="423" spans="1:5" x14ac:dyDescent="0.25">
      <c r="A423" s="38"/>
      <c r="B423" s="38"/>
      <c r="C423" s="38"/>
      <c r="D423" s="38"/>
      <c r="E423" s="38"/>
    </row>
    <row r="424" spans="1:5" x14ac:dyDescent="0.25">
      <c r="A424" s="38"/>
      <c r="B424" s="38"/>
      <c r="C424" s="38"/>
      <c r="D424" s="38"/>
      <c r="E424" s="38"/>
    </row>
    <row r="425" spans="1:5" x14ac:dyDescent="0.25">
      <c r="A425" s="38"/>
      <c r="B425" s="38"/>
      <c r="C425" s="38"/>
      <c r="D425" s="38"/>
      <c r="E425" s="38"/>
    </row>
    <row r="426" spans="1:5" x14ac:dyDescent="0.25">
      <c r="A426" s="38"/>
      <c r="B426" s="38"/>
      <c r="C426" s="38"/>
      <c r="D426" s="38"/>
      <c r="E426" s="38"/>
    </row>
    <row r="427" spans="1:5" x14ac:dyDescent="0.25">
      <c r="A427" s="38"/>
      <c r="B427" s="38"/>
      <c r="C427" s="38"/>
      <c r="D427" s="38"/>
      <c r="E427" s="38"/>
    </row>
    <row r="428" spans="1:5" x14ac:dyDescent="0.25">
      <c r="A428" s="38"/>
      <c r="B428" s="38"/>
      <c r="C428" s="38"/>
      <c r="D428" s="38"/>
      <c r="E428" s="38"/>
    </row>
    <row r="429" spans="1:5" x14ac:dyDescent="0.25">
      <c r="A429" s="38"/>
      <c r="B429" s="38"/>
      <c r="C429" s="38"/>
      <c r="D429" s="38"/>
      <c r="E429" s="38"/>
    </row>
    <row r="430" spans="1:5" x14ac:dyDescent="0.25">
      <c r="A430" s="38"/>
      <c r="B430" s="38"/>
      <c r="C430" s="38"/>
      <c r="D430" s="38"/>
      <c r="E430" s="38"/>
    </row>
  </sheetData>
  <sortState xmlns:xlrd2="http://schemas.microsoft.com/office/spreadsheetml/2017/richdata2" ref="A2:I122">
    <sortCondition ref="A95:A122"/>
  </sortState>
  <conditionalFormatting sqref="B1">
    <cfRule type="containsText" dxfId="19" priority="1" operator="containsText" text="CADASTRAR CLIENTE">
      <formula>NOT(ISERROR(SEARCH("CADASTRAR CLIENTE",B1)))</formula>
    </cfRule>
  </conditionalFormatting>
  <conditionalFormatting sqref="H2:H1048576">
    <cfRule type="cellIs" dxfId="18" priority="5" operator="between">
      <formula>31</formula>
      <formula>89</formula>
    </cfRule>
    <cfRule type="cellIs" dxfId="17" priority="6" operator="between">
      <formula>1</formula>
      <formula>30</formula>
    </cfRule>
    <cfRule type="cellIs" dxfId="16" priority="9" operator="greaterThanOrEqual">
      <formula>90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43309-5E3D-40B3-9405-7B710BF53956}">
  <dimension ref="A1:J535"/>
  <sheetViews>
    <sheetView showGridLines="0" tabSelected="1" topLeftCell="A421" zoomScale="75" zoomScaleNormal="75" zoomScaleSheetLayoutView="70" workbookViewId="0">
      <selection activeCell="A2" sqref="A2"/>
    </sheetView>
  </sheetViews>
  <sheetFormatPr defaultRowHeight="15" x14ac:dyDescent="0.25"/>
  <cols>
    <col min="1" max="1" width="10.140625" customWidth="1"/>
    <col min="2" max="2" width="91" customWidth="1"/>
    <col min="3" max="3" width="17.85546875" customWidth="1"/>
    <col min="4" max="4" width="34.28515625" style="34" customWidth="1"/>
    <col min="5" max="5" width="25.140625" bestFit="1" customWidth="1"/>
    <col min="6" max="6" width="23.85546875" customWidth="1"/>
    <col min="7" max="7" width="19.5703125" style="47" customWidth="1"/>
    <col min="8" max="8" width="23.7109375" style="7" customWidth="1"/>
    <col min="9" max="9" width="11.7109375" customWidth="1"/>
    <col min="10" max="10" width="16.28515625" style="1" customWidth="1"/>
  </cols>
  <sheetData>
    <row r="1" spans="1:10" s="25" customFormat="1" x14ac:dyDescent="0.25">
      <c r="A1" s="15" t="s">
        <v>57</v>
      </c>
      <c r="B1" s="16" t="s">
        <v>1</v>
      </c>
      <c r="C1" s="16" t="s">
        <v>58</v>
      </c>
      <c r="D1" s="36" t="s">
        <v>59</v>
      </c>
      <c r="E1" s="16" t="s">
        <v>60</v>
      </c>
      <c r="F1" s="45" t="s">
        <v>394</v>
      </c>
      <c r="G1" s="35" t="s">
        <v>61</v>
      </c>
      <c r="H1" s="16" t="s">
        <v>62</v>
      </c>
      <c r="I1" s="43" t="s">
        <v>63</v>
      </c>
    </row>
    <row r="2" spans="1:10" x14ac:dyDescent="0.25">
      <c r="A2">
        <v>50219</v>
      </c>
      <c r="B2" s="39" t="str">
        <f>IFERROR(VLOOKUP(A2,CLIENTES!A:E,2,0),"CADASTRAR CLIENTE")</f>
        <v>CADASTRAR CLIENTE</v>
      </c>
      <c r="C2" s="39"/>
      <c r="D2" s="40">
        <v>90479</v>
      </c>
      <c r="E2" s="44">
        <v>2946.95</v>
      </c>
      <c r="F2" s="46"/>
      <c r="G2" s="41"/>
      <c r="H2" s="41"/>
      <c r="I2" s="42">
        <v>46024</v>
      </c>
      <c r="J2"/>
    </row>
    <row r="3" spans="1:10" x14ac:dyDescent="0.25">
      <c r="A3">
        <v>3508</v>
      </c>
      <c r="B3" s="39" t="str">
        <f>IFERROR(VLOOKUP(A3,CLIENTES!A:E,2,0),"CADASTRAR CLIENTE")</f>
        <v>FUNDACAO FACULDADE MEDICINA/ICESP</v>
      </c>
      <c r="C3" s="39"/>
      <c r="D3" s="40">
        <v>90657</v>
      </c>
      <c r="E3" s="44">
        <v>291.02</v>
      </c>
      <c r="F3" s="46"/>
      <c r="G3" s="41"/>
      <c r="H3" s="41"/>
      <c r="I3" s="42">
        <v>46031</v>
      </c>
      <c r="J3"/>
    </row>
    <row r="4" spans="1:10" x14ac:dyDescent="0.25">
      <c r="A4">
        <v>500824</v>
      </c>
      <c r="B4" s="39" t="str">
        <f>IFERROR(VLOOKUP(A4,CLIENTES!A:E,2,0),"CADASTRAR CLIENTE")</f>
        <v>MARDEN MEDICAL LTDA</v>
      </c>
      <c r="C4" s="39"/>
      <c r="D4" s="40">
        <v>90653</v>
      </c>
      <c r="E4" s="44">
        <v>105</v>
      </c>
      <c r="F4" s="46"/>
      <c r="G4" s="41"/>
      <c r="H4" s="41"/>
      <c r="I4" s="42">
        <v>46031</v>
      </c>
      <c r="J4"/>
    </row>
    <row r="5" spans="1:10" x14ac:dyDescent="0.25">
      <c r="A5">
        <v>869</v>
      </c>
      <c r="B5" s="39" t="str">
        <f>IFERROR(VLOOKUP(A5,CLIENTES!A:E,2,0),"CADASTRAR CLIENTE")</f>
        <v>&amp;CO. INDUSTRIA E COMERCIO DE COSMETICOS LTDA</v>
      </c>
      <c r="C5" s="39"/>
      <c r="D5" s="40">
        <v>90734</v>
      </c>
      <c r="E5" s="44">
        <v>580</v>
      </c>
      <c r="F5" s="46"/>
      <c r="G5" s="41"/>
      <c r="H5" s="41"/>
      <c r="I5" s="42">
        <v>46034</v>
      </c>
      <c r="J5"/>
    </row>
    <row r="6" spans="1:10" x14ac:dyDescent="0.25">
      <c r="A6">
        <v>500859</v>
      </c>
      <c r="B6" s="39" t="str">
        <f>IFERROR(VLOOKUP(A6,CLIENTES!A:E,2,0),"CADASTRAR CLIENTE")</f>
        <v>ASSOCIACAO HOSPITALAR BENEFICENTE DE PINHALZINHO</v>
      </c>
      <c r="C6" s="39"/>
      <c r="D6" s="40">
        <v>90711</v>
      </c>
      <c r="E6" s="44">
        <v>189</v>
      </c>
      <c r="F6" s="46"/>
      <c r="G6" s="41"/>
      <c r="H6" s="41"/>
      <c r="I6" s="42">
        <v>46034</v>
      </c>
      <c r="J6"/>
    </row>
    <row r="7" spans="1:10" x14ac:dyDescent="0.25">
      <c r="A7">
        <v>500940</v>
      </c>
      <c r="B7" s="39" t="str">
        <f>IFERROR(VLOOKUP(A7,CLIENTES!A:E,2,0),"CADASTRAR CLIENTE")</f>
        <v>F. B. GOMES VETERINARIA LTDA</v>
      </c>
      <c r="C7" s="39"/>
      <c r="D7" s="40">
        <v>90709</v>
      </c>
      <c r="E7" s="44">
        <v>8127</v>
      </c>
      <c r="F7" s="46"/>
      <c r="G7" s="41"/>
      <c r="H7" s="41"/>
      <c r="I7" s="42">
        <v>46034</v>
      </c>
      <c r="J7"/>
    </row>
    <row r="8" spans="1:10" x14ac:dyDescent="0.25">
      <c r="A8">
        <v>500859</v>
      </c>
      <c r="B8" s="39" t="str">
        <f>IFERROR(VLOOKUP(A8,CLIENTES!A:E,2,0),"CADASTRAR CLIENTE")</f>
        <v>ASSOCIACAO HOSPITALAR BENEFICENTE DE PINHALZINHO</v>
      </c>
      <c r="C8" s="39"/>
      <c r="D8" s="40">
        <v>90765</v>
      </c>
      <c r="E8" s="44">
        <v>395</v>
      </c>
      <c r="F8" s="46"/>
      <c r="G8" s="41"/>
      <c r="H8" s="41"/>
      <c r="I8" s="42">
        <v>46035</v>
      </c>
      <c r="J8"/>
    </row>
    <row r="9" spans="1:10" x14ac:dyDescent="0.25">
      <c r="A9">
        <v>500717</v>
      </c>
      <c r="B9" s="39" t="str">
        <f>IFERROR(VLOOKUP(A9,CLIENTES!A:E,2,0),"CADASTRAR CLIENTE")</f>
        <v>FUNDACAO EDUCACIONAL LUCAS MACHADO FELUMA</v>
      </c>
      <c r="C9" s="39"/>
      <c r="D9" s="40">
        <v>90769</v>
      </c>
      <c r="E9" s="44">
        <v>241.6</v>
      </c>
      <c r="F9" s="46"/>
      <c r="G9" s="41"/>
      <c r="H9" s="41"/>
      <c r="I9" s="42">
        <v>46035</v>
      </c>
      <c r="J9"/>
    </row>
    <row r="10" spans="1:10" x14ac:dyDescent="0.25">
      <c r="A10">
        <v>500717</v>
      </c>
      <c r="B10" s="39" t="str">
        <f>IFERROR(VLOOKUP(A10,CLIENTES!A:E,2,0),"CADASTRAR CLIENTE")</f>
        <v>FUNDACAO EDUCACIONAL LUCAS MACHADO FELUMA</v>
      </c>
      <c r="C10" s="39"/>
      <c r="D10" s="40">
        <v>90770</v>
      </c>
      <c r="E10" s="44">
        <v>147.30000000000001</v>
      </c>
      <c r="F10" s="46"/>
      <c r="G10" s="41"/>
      <c r="H10" s="41"/>
      <c r="I10" s="42">
        <v>46035</v>
      </c>
      <c r="J10"/>
    </row>
    <row r="11" spans="1:10" x14ac:dyDescent="0.25">
      <c r="A11">
        <v>3327</v>
      </c>
      <c r="B11" s="39" t="str">
        <f>IFERROR(VLOOKUP(A11,CLIENTES!A:E,2,0),"CADASTRAR CLIENTE")</f>
        <v>IRMANDADE SAO JOSE DE NOVO HORIZONTE</v>
      </c>
      <c r="C11" s="39"/>
      <c r="D11" s="40">
        <v>90785</v>
      </c>
      <c r="E11" s="44">
        <v>244</v>
      </c>
      <c r="F11" s="46"/>
      <c r="G11" s="41"/>
      <c r="H11" s="41"/>
      <c r="I11" s="42">
        <v>46035</v>
      </c>
      <c r="J11"/>
    </row>
    <row r="12" spans="1:10" x14ac:dyDescent="0.25">
      <c r="A12">
        <v>500618</v>
      </c>
      <c r="B12" s="39" t="str">
        <f>IFERROR(VLOOKUP(A12,CLIENTES!A:E,2,0),"CADASTRAR CLIENTE")</f>
        <v>NATHIELI RENATA GALDINO</v>
      </c>
      <c r="C12" s="39"/>
      <c r="D12" s="40">
        <v>90815</v>
      </c>
      <c r="E12" s="44">
        <v>160</v>
      </c>
      <c r="F12" s="46"/>
      <c r="G12" s="41"/>
      <c r="H12" s="41"/>
      <c r="I12" s="42">
        <v>46036</v>
      </c>
      <c r="J12"/>
    </row>
    <row r="13" spans="1:10" x14ac:dyDescent="0.25">
      <c r="A13">
        <v>1147</v>
      </c>
      <c r="B13" s="39" t="str">
        <f>IFERROR(VLOOKUP(A13,CLIENTES!A:E,2,0),"CADASTRAR CLIENTE")</f>
        <v>LABORPATAS LABORATORIO VETERINARIO LTDA</v>
      </c>
      <c r="C13" s="39"/>
      <c r="D13" s="40">
        <v>90836</v>
      </c>
      <c r="E13" s="44">
        <v>378.9</v>
      </c>
      <c r="F13" s="46"/>
      <c r="G13" s="41"/>
      <c r="H13" s="41"/>
      <c r="I13" s="42">
        <v>46037</v>
      </c>
      <c r="J13"/>
    </row>
    <row r="14" spans="1:10" x14ac:dyDescent="0.25">
      <c r="A14">
        <v>592</v>
      </c>
      <c r="B14" s="39" t="str">
        <f>IFERROR(VLOOKUP(A14,CLIENTES!A:E,2,0),"CADASTRAR CLIENTE")</f>
        <v>PINDORAMA LABORATORIO DE ANALISES CLINICAS LTDA ME</v>
      </c>
      <c r="C14" s="39"/>
      <c r="D14" s="40">
        <v>90844</v>
      </c>
      <c r="E14" s="44">
        <v>2813.49</v>
      </c>
      <c r="F14" s="46"/>
      <c r="G14" s="41"/>
      <c r="H14" s="41"/>
      <c r="I14" s="42">
        <v>46037</v>
      </c>
      <c r="J14"/>
    </row>
    <row r="15" spans="1:10" x14ac:dyDescent="0.25">
      <c r="A15">
        <v>51090</v>
      </c>
      <c r="B15" s="39" t="str">
        <f>IFERROR(VLOOKUP(A15,CLIENTES!A:E,2,0),"CADASTRAR CLIENTE")</f>
        <v>REAL E BENEMERITA ASSOCIACAO PORTUGUESA DE BENEFICENCIA</v>
      </c>
      <c r="C15" s="39"/>
      <c r="D15" s="40">
        <v>90842</v>
      </c>
      <c r="E15" s="44">
        <v>6673.4</v>
      </c>
      <c r="F15" s="46"/>
      <c r="G15" s="41"/>
      <c r="H15" s="41"/>
      <c r="I15" s="42">
        <v>46037</v>
      </c>
      <c r="J15"/>
    </row>
    <row r="16" spans="1:10" x14ac:dyDescent="0.25">
      <c r="A16">
        <v>3120</v>
      </c>
      <c r="B16" s="39" t="str">
        <f>IFERROR(VLOOKUP(A16,CLIENTES!A:E,2,0),"CADASTRAR CLIENTE")</f>
        <v>VANDERLEI SALVADOR BAGNATO</v>
      </c>
      <c r="C16" s="39"/>
      <c r="D16" s="40">
        <v>90825</v>
      </c>
      <c r="E16" s="44">
        <v>720</v>
      </c>
      <c r="F16" s="46"/>
      <c r="G16" s="41"/>
      <c r="H16" s="41"/>
      <c r="I16" s="42">
        <v>46037</v>
      </c>
      <c r="J16"/>
    </row>
    <row r="17" spans="1:10" x14ac:dyDescent="0.25">
      <c r="A17">
        <v>592</v>
      </c>
      <c r="B17" s="39" t="str">
        <f>IFERROR(VLOOKUP(A17,CLIENTES!A:E,2,0),"CADASTRAR CLIENTE")</f>
        <v>PINDORAMA LABORATORIO DE ANALISES CLINICAS LTDA ME</v>
      </c>
      <c r="C17" s="39"/>
      <c r="D17" s="40">
        <v>90843</v>
      </c>
      <c r="E17" s="44">
        <v>788</v>
      </c>
      <c r="F17" s="46"/>
      <c r="G17" s="41"/>
      <c r="H17" s="41"/>
      <c r="I17" s="42">
        <v>46037</v>
      </c>
      <c r="J17"/>
    </row>
    <row r="18" spans="1:10" x14ac:dyDescent="0.25">
      <c r="A18">
        <v>1654</v>
      </c>
      <c r="B18" s="39" t="str">
        <f>IFERROR(VLOOKUP(A18,CLIENTES!A:E,2,0),"CADASTRAR CLIENTE")</f>
        <v>CONGR. DAS FILHAS DE N. SRA.STELLA MARIS</v>
      </c>
      <c r="C18" s="39"/>
      <c r="D18" s="40">
        <v>90893</v>
      </c>
      <c r="E18" s="44">
        <v>158.69999999999999</v>
      </c>
      <c r="F18" s="46"/>
      <c r="G18" s="41"/>
      <c r="H18" s="41"/>
      <c r="I18" s="42">
        <v>46038</v>
      </c>
      <c r="J18"/>
    </row>
    <row r="19" spans="1:10" x14ac:dyDescent="0.25">
      <c r="A19">
        <v>3309</v>
      </c>
      <c r="B19" s="39" t="str">
        <f>IFERROR(VLOOKUP(A19,CLIENTES!A:E,2,0),"CADASTRAR CLIENTE")</f>
        <v>FUNDACAO FACULDADE DE MEDICINA</v>
      </c>
      <c r="C19" s="39"/>
      <c r="D19" s="40">
        <v>90877</v>
      </c>
      <c r="E19" s="44">
        <v>3234.9</v>
      </c>
      <c r="F19" s="46"/>
      <c r="G19" s="41"/>
      <c r="H19" s="41"/>
      <c r="I19" s="42">
        <v>46038</v>
      </c>
      <c r="J19"/>
    </row>
    <row r="20" spans="1:10" x14ac:dyDescent="0.25">
      <c r="A20">
        <v>758</v>
      </c>
      <c r="B20" s="39" t="str">
        <f>IFERROR(VLOOKUP(A20,CLIENTES!A:E,2,0),"CADASTRAR CLIENTE")</f>
        <v>IRMANDADE DA SANTA CASA DE ANDRADINA</v>
      </c>
      <c r="C20" s="39"/>
      <c r="D20" s="40">
        <v>90868</v>
      </c>
      <c r="E20" s="44">
        <v>1944</v>
      </c>
      <c r="F20" s="46"/>
      <c r="G20" s="41"/>
      <c r="H20" s="41"/>
      <c r="I20" s="42">
        <v>46038</v>
      </c>
      <c r="J20"/>
    </row>
    <row r="21" spans="1:10" x14ac:dyDescent="0.25">
      <c r="A21">
        <v>50955</v>
      </c>
      <c r="B21" s="39" t="str">
        <f>IFERROR(VLOOKUP(A21,CLIENTES!A:E,2,0),"CADASTRAR CLIENTE")</f>
        <v>LACAP LABORATORIO DE ANALISES CLINICAS LTDA</v>
      </c>
      <c r="C21" s="39"/>
      <c r="D21" s="40">
        <v>90862</v>
      </c>
      <c r="E21" s="44">
        <v>1909.62</v>
      </c>
      <c r="F21" s="46"/>
      <c r="G21" s="41"/>
      <c r="H21" s="41"/>
      <c r="I21" s="42">
        <v>46038</v>
      </c>
      <c r="J21"/>
    </row>
    <row r="22" spans="1:10" x14ac:dyDescent="0.25">
      <c r="A22">
        <v>2192</v>
      </c>
      <c r="B22" s="39" t="str">
        <f>IFERROR(VLOOKUP(A22,CLIENTES!A:E,2,0),"CADASTRAR CLIENTE")</f>
        <v>CDAC CENTRO DIAGNOSTICO DE ANALISES CLINICAS LTDA</v>
      </c>
      <c r="C22" s="39"/>
      <c r="D22" s="40">
        <v>90912</v>
      </c>
      <c r="E22" s="44">
        <v>1850.77</v>
      </c>
      <c r="F22" s="46"/>
      <c r="G22" s="41"/>
      <c r="H22" s="41"/>
      <c r="I22" s="42">
        <v>46041</v>
      </c>
      <c r="J22"/>
    </row>
    <row r="23" spans="1:10" x14ac:dyDescent="0.25">
      <c r="A23">
        <v>2192</v>
      </c>
      <c r="B23" s="39" t="str">
        <f>IFERROR(VLOOKUP(A23,CLIENTES!A:E,2,0),"CADASTRAR CLIENTE")</f>
        <v>CDAC CENTRO DIAGNOSTICO DE ANALISES CLINICAS LTDA</v>
      </c>
      <c r="C23" s="39"/>
      <c r="D23" s="40">
        <v>90926</v>
      </c>
      <c r="E23" s="44">
        <v>50.2</v>
      </c>
      <c r="F23" s="46"/>
      <c r="G23" s="41"/>
      <c r="H23" s="41"/>
      <c r="I23" s="42">
        <v>46041</v>
      </c>
      <c r="J23"/>
    </row>
    <row r="24" spans="1:10" x14ac:dyDescent="0.25">
      <c r="A24">
        <v>500598</v>
      </c>
      <c r="B24" s="39" t="str">
        <f>IFERROR(VLOOKUP(A24,CLIENTES!A:E,2,0),"CADASTRAR CLIENTE")</f>
        <v>FUNDACAO DE ASSISTENCIA SOCIAL DE JANAUBA</v>
      </c>
      <c r="C24" s="39"/>
      <c r="D24" s="40">
        <v>90923</v>
      </c>
      <c r="E24" s="44">
        <v>285</v>
      </c>
      <c r="F24" s="46"/>
      <c r="G24" s="41"/>
      <c r="H24" s="41"/>
      <c r="I24" s="42">
        <v>46041</v>
      </c>
      <c r="J24"/>
    </row>
    <row r="25" spans="1:10" x14ac:dyDescent="0.25">
      <c r="A25">
        <v>500411</v>
      </c>
      <c r="B25" s="39" t="str">
        <f>IFERROR(VLOOKUP(A25,CLIENTES!A:E,2,0),"CADASTRAR CLIENTE")</f>
        <v>FUNDACAO HOSPITALAR DR. MOISES MAGALHAES FREIRE</v>
      </c>
      <c r="C25" s="39"/>
      <c r="D25" s="40">
        <v>90900</v>
      </c>
      <c r="E25" s="44">
        <v>2262.15</v>
      </c>
      <c r="F25" s="46"/>
      <c r="G25" s="41"/>
      <c r="H25" s="41"/>
      <c r="I25" s="42">
        <v>46041</v>
      </c>
      <c r="J25"/>
    </row>
    <row r="26" spans="1:10" x14ac:dyDescent="0.25">
      <c r="A26">
        <v>3327</v>
      </c>
      <c r="B26" s="39" t="str">
        <f>IFERROR(VLOOKUP(A26,CLIENTES!A:E,2,0),"CADASTRAR CLIENTE")</f>
        <v>IRMANDADE SAO JOSE DE NOVO HORIZONTE</v>
      </c>
      <c r="C26" s="39"/>
      <c r="D26" s="40">
        <v>90927</v>
      </c>
      <c r="E26" s="44">
        <v>245</v>
      </c>
      <c r="F26" s="46"/>
      <c r="G26" s="41"/>
      <c r="H26" s="41"/>
      <c r="I26" s="42">
        <v>46041</v>
      </c>
      <c r="J26"/>
    </row>
    <row r="27" spans="1:10" x14ac:dyDescent="0.25">
      <c r="A27">
        <v>915</v>
      </c>
      <c r="B27" s="39" t="str">
        <f>IFERROR(VLOOKUP(A27,CLIENTES!A:E,2,0),"CADASTRAR CLIENTE")</f>
        <v>LAB.DR RAUF EID ANAL.CLINICAS SS LTDA</v>
      </c>
      <c r="C27" s="39"/>
      <c r="D27" s="40">
        <v>90916</v>
      </c>
      <c r="E27" s="44">
        <v>1494.8</v>
      </c>
      <c r="F27" s="46"/>
      <c r="G27" s="41"/>
      <c r="H27" s="41"/>
      <c r="I27" s="42">
        <v>46041</v>
      </c>
      <c r="J27"/>
    </row>
    <row r="28" spans="1:10" x14ac:dyDescent="0.25">
      <c r="A28">
        <v>869</v>
      </c>
      <c r="B28" s="39" t="str">
        <f>IFERROR(VLOOKUP(A28,CLIENTES!A:E,2,0),"CADASTRAR CLIENTE")</f>
        <v>&amp;CO. INDUSTRIA E COMERCIO DE COSMETICOS LTDA</v>
      </c>
      <c r="C28" s="39"/>
      <c r="D28" s="40">
        <v>90960</v>
      </c>
      <c r="E28" s="44">
        <v>6241</v>
      </c>
      <c r="F28" s="46"/>
      <c r="G28" s="41"/>
      <c r="H28" s="41"/>
      <c r="I28" s="42">
        <v>46042</v>
      </c>
      <c r="J28"/>
    </row>
    <row r="29" spans="1:10" x14ac:dyDescent="0.25">
      <c r="A29">
        <v>2059</v>
      </c>
      <c r="B29" s="39" t="str">
        <f>IFERROR(VLOOKUP(A29,CLIENTES!A:E,2,0),"CADASTRAR CLIENTE")</f>
        <v>GENESIS DIAGNOSTICA &amp; CIENTIFICA LTDA ME</v>
      </c>
      <c r="C29" s="39"/>
      <c r="D29" s="40">
        <v>90961</v>
      </c>
      <c r="E29" s="44">
        <v>2751.2</v>
      </c>
      <c r="F29" s="46"/>
      <c r="G29" s="41"/>
      <c r="H29" s="41"/>
      <c r="I29" s="42">
        <v>46042</v>
      </c>
      <c r="J29"/>
    </row>
    <row r="30" spans="1:10" x14ac:dyDescent="0.25">
      <c r="A30">
        <v>93</v>
      </c>
      <c r="B30" s="39" t="str">
        <f>IFERROR(VLOOKUP(A30,CLIENTES!A:E,2,0),"CADASTRAR CLIENTE")</f>
        <v>LAB. ANAL. CLIN. SAO JORGE SC  LTDA.</v>
      </c>
      <c r="C30" s="39"/>
      <c r="D30" s="40">
        <v>90977</v>
      </c>
      <c r="E30" s="44">
        <v>720</v>
      </c>
      <c r="F30" s="46"/>
      <c r="G30" s="41"/>
      <c r="H30" s="41"/>
      <c r="I30" s="42">
        <v>46042</v>
      </c>
      <c r="J30"/>
    </row>
    <row r="31" spans="1:10" x14ac:dyDescent="0.25">
      <c r="A31">
        <v>1096</v>
      </c>
      <c r="B31" s="39" t="str">
        <f>IFERROR(VLOOKUP(A31,CLIENTES!A:E,2,0),"CADASTRAR CLIENTE")</f>
        <v>LAB. DR. SHOITI MITSUUSHI S/C LTDA</v>
      </c>
      <c r="C31" s="39"/>
      <c r="D31" s="40">
        <v>90979</v>
      </c>
      <c r="E31" s="44">
        <v>315</v>
      </c>
      <c r="F31" s="46"/>
      <c r="G31" s="41"/>
      <c r="H31" s="41"/>
      <c r="I31" s="42">
        <v>46042</v>
      </c>
      <c r="J31"/>
    </row>
    <row r="32" spans="1:10" x14ac:dyDescent="0.25">
      <c r="A32">
        <v>1362</v>
      </c>
      <c r="B32" s="39" t="str">
        <f>IFERROR(VLOOKUP(A32,CLIENTES!A:E,2,0),"CADASTRAR CLIENTE")</f>
        <v>CENTROLAB  LABORATORIO ANAL. CLIN. SC LTDA</v>
      </c>
      <c r="C32" s="39"/>
      <c r="D32" s="40">
        <v>91016</v>
      </c>
      <c r="E32" s="44">
        <v>514</v>
      </c>
      <c r="F32" s="46"/>
      <c r="G32" s="41"/>
      <c r="H32" s="41"/>
      <c r="I32" s="42">
        <v>46043</v>
      </c>
      <c r="J32"/>
    </row>
    <row r="33" spans="1:10" x14ac:dyDescent="0.25">
      <c r="A33">
        <v>456</v>
      </c>
      <c r="B33" s="39" t="str">
        <f>IFERROR(VLOOKUP(A33,CLIENTES!A:E,2,0),"CADASTRAR CLIENTE")</f>
        <v>FUNDACAO HOSPITALAR NOSSA SENHORA DE LOURDES</v>
      </c>
      <c r="C33" s="39"/>
      <c r="D33" s="40">
        <v>91036</v>
      </c>
      <c r="E33" s="44">
        <v>429.9</v>
      </c>
      <c r="F33" s="46"/>
      <c r="G33" s="41"/>
      <c r="H33" s="41"/>
      <c r="I33" s="42">
        <v>46043</v>
      </c>
      <c r="J33"/>
    </row>
    <row r="34" spans="1:10" x14ac:dyDescent="0.25">
      <c r="A34">
        <v>6</v>
      </c>
      <c r="B34" s="39" t="str">
        <f>IFERROR(VLOOKUP(A34,CLIENTES!A:E,2,0),"CADASTRAR CLIENTE")</f>
        <v>LABORATORIO DE ANALISES CLINICAS QUIEZIE &amp; QUIEZIE LTDA-EPP</v>
      </c>
      <c r="C34" s="39"/>
      <c r="D34" s="40">
        <v>91003</v>
      </c>
      <c r="E34" s="44">
        <v>858.6</v>
      </c>
      <c r="F34" s="46"/>
      <c r="G34" s="41"/>
      <c r="H34" s="41"/>
      <c r="I34" s="42">
        <v>46043</v>
      </c>
      <c r="J34"/>
    </row>
    <row r="35" spans="1:10" x14ac:dyDescent="0.25">
      <c r="A35">
        <v>1147</v>
      </c>
      <c r="B35" s="39" t="str">
        <f>IFERROR(VLOOKUP(A35,CLIENTES!A:E,2,0),"CADASTRAR CLIENTE")</f>
        <v>LABORPATAS LABORATORIO VETERINARIO LTDA</v>
      </c>
      <c r="C35" s="39"/>
      <c r="D35" s="40">
        <v>91018</v>
      </c>
      <c r="E35" s="44">
        <v>353.5</v>
      </c>
      <c r="F35" s="46"/>
      <c r="G35" s="41"/>
      <c r="H35" s="41"/>
      <c r="I35" s="42">
        <v>46043</v>
      </c>
      <c r="J35"/>
    </row>
    <row r="36" spans="1:10" x14ac:dyDescent="0.25">
      <c r="A36">
        <v>1378</v>
      </c>
      <c r="B36" s="39" t="str">
        <f>IFERROR(VLOOKUP(A36,CLIENTES!A:E,2,0),"CADASTRAR CLIENTE")</f>
        <v>ASS.CARIDADE DA SANTA CASA MISERIC.DE ASSIS</v>
      </c>
      <c r="C36" s="39"/>
      <c r="D36" s="40">
        <v>91094</v>
      </c>
      <c r="E36" s="44">
        <v>2000</v>
      </c>
      <c r="F36" s="46"/>
      <c r="G36" s="41"/>
      <c r="H36" s="41"/>
      <c r="I36" s="42">
        <v>46045</v>
      </c>
      <c r="J36"/>
    </row>
    <row r="37" spans="1:10" x14ac:dyDescent="0.25">
      <c r="A37">
        <v>1378</v>
      </c>
      <c r="B37" s="39" t="str">
        <f>IFERROR(VLOOKUP(A37,CLIENTES!A:E,2,0),"CADASTRAR CLIENTE")</f>
        <v>ASS.CARIDADE DA SANTA CASA MISERIC.DE ASSIS</v>
      </c>
      <c r="C37" s="39"/>
      <c r="D37" s="40">
        <v>91095</v>
      </c>
      <c r="E37" s="44">
        <v>1633</v>
      </c>
      <c r="F37" s="46"/>
      <c r="G37" s="41"/>
      <c r="H37" s="41"/>
      <c r="I37" s="42">
        <v>46045</v>
      </c>
      <c r="J37"/>
    </row>
    <row r="38" spans="1:10" x14ac:dyDescent="0.25">
      <c r="A38">
        <v>51190</v>
      </c>
      <c r="B38" s="39" t="str">
        <f>IFERROR(VLOOKUP(A38,CLIENTES!A:E,2,0),"CADASTRAR CLIENTE")</f>
        <v>HOSPITAL SANTA IGNES LTDA</v>
      </c>
      <c r="C38" s="39"/>
      <c r="D38" s="40">
        <v>91089</v>
      </c>
      <c r="E38" s="44">
        <v>2700</v>
      </c>
      <c r="F38" s="46"/>
      <c r="G38" s="41"/>
      <c r="H38" s="41"/>
      <c r="I38" s="42">
        <v>46045</v>
      </c>
      <c r="J38"/>
    </row>
    <row r="39" spans="1:10" x14ac:dyDescent="0.25">
      <c r="A39">
        <v>500948</v>
      </c>
      <c r="B39" s="39" t="str">
        <f>IFERROR(VLOOKUP(A39,CLIENTES!A:E,2,0),"CADASTRAR CLIENTE")</f>
        <v>JORGE EIMORI</v>
      </c>
      <c r="C39" s="39"/>
      <c r="D39" s="40">
        <v>91090</v>
      </c>
      <c r="E39" s="44">
        <v>180.5</v>
      </c>
      <c r="F39" s="46"/>
      <c r="G39" s="41"/>
      <c r="H39" s="41"/>
      <c r="I39" s="42">
        <v>46045</v>
      </c>
      <c r="J39"/>
    </row>
    <row r="40" spans="1:10" x14ac:dyDescent="0.25">
      <c r="A40">
        <v>500379</v>
      </c>
      <c r="B40" s="39" t="str">
        <f>IFERROR(VLOOKUP(A40,CLIENTES!A:E,2,0),"CADASTRAR CLIENTE")</f>
        <v>SAMEDIL - SERVICOS DE ATENDIMENTO MEDICO S/A</v>
      </c>
      <c r="C40" s="39"/>
      <c r="D40" s="40">
        <v>91108</v>
      </c>
      <c r="E40" s="44">
        <v>275</v>
      </c>
      <c r="F40" s="46"/>
      <c r="G40" s="41"/>
      <c r="H40" s="41"/>
      <c r="I40" s="42">
        <v>46045</v>
      </c>
      <c r="J40"/>
    </row>
    <row r="41" spans="1:10" x14ac:dyDescent="0.25">
      <c r="A41">
        <v>93</v>
      </c>
      <c r="B41" s="39" t="str">
        <f>IFERROR(VLOOKUP(A41,CLIENTES!A:E,2,0),"CADASTRAR CLIENTE")</f>
        <v>LAB. ANAL. CLIN. SAO JORGE SC  LTDA.</v>
      </c>
      <c r="C41" s="39"/>
      <c r="D41" s="40">
        <v>91157</v>
      </c>
      <c r="E41" s="44">
        <v>268.8</v>
      </c>
      <c r="F41" s="46"/>
      <c r="G41" s="41"/>
      <c r="H41" s="41"/>
      <c r="I41" s="42">
        <v>46048</v>
      </c>
      <c r="J41"/>
    </row>
    <row r="42" spans="1:10" x14ac:dyDescent="0.25">
      <c r="A42">
        <v>1147</v>
      </c>
      <c r="B42" s="39" t="str">
        <f>IFERROR(VLOOKUP(A42,CLIENTES!A:E,2,0),"CADASTRAR CLIENTE")</f>
        <v>LABORPATAS LABORATORIO VETERINARIO LTDA</v>
      </c>
      <c r="C42" s="39"/>
      <c r="D42" s="40">
        <v>91138</v>
      </c>
      <c r="E42" s="44">
        <v>332.5</v>
      </c>
      <c r="F42" s="46"/>
      <c r="G42" s="41"/>
      <c r="H42" s="41"/>
      <c r="I42" s="42">
        <v>46048</v>
      </c>
      <c r="J42"/>
    </row>
    <row r="43" spans="1:10" x14ac:dyDescent="0.25">
      <c r="A43">
        <v>500520</v>
      </c>
      <c r="B43" s="39" t="str">
        <f>IFERROR(VLOOKUP(A43,CLIENTES!A:E,2,0),"CADASTRAR CLIENTE")</f>
        <v>HOSPITAL LEONARDO DA VINCI LTDA</v>
      </c>
      <c r="C43" s="39"/>
      <c r="D43" s="40">
        <v>91226</v>
      </c>
      <c r="E43" s="44">
        <v>358.45</v>
      </c>
      <c r="F43" s="46"/>
      <c r="G43" s="41"/>
      <c r="H43" s="41"/>
      <c r="I43" s="42">
        <v>46049</v>
      </c>
      <c r="J43"/>
    </row>
    <row r="44" spans="1:10" x14ac:dyDescent="0.25">
      <c r="A44">
        <v>500367</v>
      </c>
      <c r="B44" s="39" t="str">
        <f>IFERROR(VLOOKUP(A44,CLIENTES!A:E,2,0),"CADASTRAR CLIENTE")</f>
        <v>PRO SCIENCE SAUDE ANIMAL LTDA</v>
      </c>
      <c r="C44" s="39"/>
      <c r="D44" s="40">
        <v>91195</v>
      </c>
      <c r="E44" s="44">
        <v>610</v>
      </c>
      <c r="F44" s="46"/>
      <c r="G44" s="41"/>
      <c r="H44" s="41"/>
      <c r="I44" s="42">
        <v>46049</v>
      </c>
      <c r="J44"/>
    </row>
    <row r="45" spans="1:10" x14ac:dyDescent="0.25">
      <c r="A45">
        <v>977</v>
      </c>
      <c r="B45" s="39" t="str">
        <f>IFERROR(VLOOKUP(A45,CLIENTES!A:E,2,0),"CADASTRAR CLIENTE")</f>
        <v>LAFROIS LABORATORIO DE ANALISES CLINICAS LTDA</v>
      </c>
      <c r="C45" s="39"/>
      <c r="D45" s="40">
        <v>91230</v>
      </c>
      <c r="E45" s="44">
        <v>1142.75</v>
      </c>
      <c r="F45" s="46"/>
      <c r="G45" s="41"/>
      <c r="H45" s="41"/>
      <c r="I45" s="42">
        <v>46050</v>
      </c>
      <c r="J45"/>
    </row>
    <row r="46" spans="1:10" x14ac:dyDescent="0.25">
      <c r="A46">
        <v>3327</v>
      </c>
      <c r="B46" s="39" t="str">
        <f>IFERROR(VLOOKUP(A46,CLIENTES!A:E,2,0),"CADASTRAR CLIENTE")</f>
        <v>IRMANDADE SAO JOSE DE NOVO HORIZONTE</v>
      </c>
      <c r="C46" s="39"/>
      <c r="D46" s="40">
        <v>91282</v>
      </c>
      <c r="E46" s="44">
        <v>435</v>
      </c>
      <c r="F46" s="46"/>
      <c r="G46" s="41"/>
      <c r="H46" s="41"/>
      <c r="I46" s="42">
        <v>46051</v>
      </c>
      <c r="J46"/>
    </row>
    <row r="47" spans="1:10" x14ac:dyDescent="0.25">
      <c r="A47">
        <v>842</v>
      </c>
      <c r="B47" s="39" t="str">
        <f>IFERROR(VLOOKUP(A47,CLIENTES!A:E,2,0),"CADASTRAR CLIENTE")</f>
        <v>LABORATORIO HEMOPACLI  SC LTDA</v>
      </c>
      <c r="C47" s="39"/>
      <c r="D47" s="40">
        <v>91288</v>
      </c>
      <c r="E47" s="44">
        <v>549</v>
      </c>
      <c r="F47" s="46"/>
      <c r="G47" s="41"/>
      <c r="H47" s="41"/>
      <c r="I47" s="42">
        <v>46051</v>
      </c>
      <c r="J47"/>
    </row>
    <row r="48" spans="1:10" x14ac:dyDescent="0.25">
      <c r="A48">
        <v>869</v>
      </c>
      <c r="B48" s="39" t="str">
        <f>IFERROR(VLOOKUP(A48,CLIENTES!A:E,2,0),"CADASTRAR CLIENTE")</f>
        <v>&amp;CO. INDUSTRIA E COMERCIO DE COSMETICOS LTDA</v>
      </c>
      <c r="C48" s="39"/>
      <c r="D48" s="40">
        <v>91330</v>
      </c>
      <c r="E48" s="44">
        <v>982.5</v>
      </c>
      <c r="F48" s="46"/>
      <c r="G48" s="41"/>
      <c r="H48" s="41"/>
      <c r="I48" s="42">
        <v>46052</v>
      </c>
      <c r="J48"/>
    </row>
    <row r="49" spans="1:10" x14ac:dyDescent="0.25">
      <c r="A49">
        <v>2192</v>
      </c>
      <c r="B49" s="39" t="str">
        <f>IFERROR(VLOOKUP(A49,CLIENTES!A:E,2,0),"CADASTRAR CLIENTE")</f>
        <v>CDAC CENTRO DIAGNOSTICO DE ANALISES CLINICAS LTDA</v>
      </c>
      <c r="C49" s="39"/>
      <c r="D49" s="40">
        <v>91324</v>
      </c>
      <c r="E49" s="44">
        <v>89</v>
      </c>
      <c r="F49" s="46"/>
      <c r="G49" s="41"/>
      <c r="H49" s="41"/>
      <c r="I49" s="42">
        <v>46052</v>
      </c>
      <c r="J49"/>
    </row>
    <row r="50" spans="1:10" x14ac:dyDescent="0.25">
      <c r="A50">
        <v>758</v>
      </c>
      <c r="B50" s="39" t="str">
        <f>IFERROR(VLOOKUP(A50,CLIENTES!A:E,2,0),"CADASTRAR CLIENTE")</f>
        <v>IRMANDADE DA SANTA CASA DE ANDRADINA</v>
      </c>
      <c r="C50" s="39"/>
      <c r="D50" s="40">
        <v>91326</v>
      </c>
      <c r="E50" s="44">
        <v>558</v>
      </c>
      <c r="F50" s="46"/>
      <c r="G50" s="41"/>
      <c r="H50" s="41"/>
      <c r="I50" s="42">
        <v>46052</v>
      </c>
      <c r="J50"/>
    </row>
    <row r="51" spans="1:10" x14ac:dyDescent="0.25">
      <c r="A51">
        <v>500391</v>
      </c>
      <c r="B51" s="39" t="str">
        <f>IFERROR(VLOOKUP(A51,CLIENTES!A:E,2,0),"CADASTRAR CLIENTE")</f>
        <v>TCS - LABORATORIO DE PATOLOGIA CLINICA VETERINARIA LTDA</v>
      </c>
      <c r="C51" s="39"/>
      <c r="D51" s="40">
        <v>91327</v>
      </c>
      <c r="E51" s="44">
        <v>490.2</v>
      </c>
      <c r="F51" s="46"/>
      <c r="G51" s="41"/>
      <c r="H51" s="41"/>
      <c r="I51" s="42">
        <v>46052</v>
      </c>
      <c r="J51"/>
    </row>
    <row r="52" spans="1:10" x14ac:dyDescent="0.25">
      <c r="A52">
        <v>500529</v>
      </c>
      <c r="B52" s="39" t="str">
        <f>IFERROR(VLOOKUP(A52,CLIENTES!A:E,2,0),"CADASTRAR CLIENTE")</f>
        <v>FUNDACAO SANTARRITENSE DE SAUDE E ASSISTENCIA SOCIAL</v>
      </c>
      <c r="C52" s="39"/>
      <c r="D52" s="40">
        <v>91349</v>
      </c>
      <c r="E52" s="44">
        <v>1294.5</v>
      </c>
      <c r="F52" s="46"/>
      <c r="G52" s="41"/>
      <c r="H52" s="41"/>
      <c r="I52" s="42">
        <v>46055</v>
      </c>
      <c r="J52"/>
    </row>
    <row r="53" spans="1:10" x14ac:dyDescent="0.25">
      <c r="A53">
        <v>1486</v>
      </c>
      <c r="B53" s="39" t="str">
        <f>IFERROR(VLOOKUP(A53,CLIENTES!A:E,2,0),"CADASTRAR CLIENTE")</f>
        <v>IRMANDADE SANTA CASA DE MISER. DE LIMEIRA</v>
      </c>
      <c r="C53" s="39"/>
      <c r="D53" s="40">
        <v>91358</v>
      </c>
      <c r="E53" s="44">
        <v>2340</v>
      </c>
      <c r="F53" s="46"/>
      <c r="G53" s="41"/>
      <c r="H53" s="41"/>
      <c r="I53" s="42">
        <v>46055</v>
      </c>
      <c r="J53"/>
    </row>
    <row r="54" spans="1:10" x14ac:dyDescent="0.25">
      <c r="A54">
        <v>500448</v>
      </c>
      <c r="B54" s="39" t="str">
        <f>IFERROR(VLOOKUP(A54,CLIENTES!A:E,2,0),"CADASTRAR CLIENTE")</f>
        <v>UNIMED DE CACAPAVA COOPERATIVA DE TRABALHO MEDICO</v>
      </c>
      <c r="C54" s="39"/>
      <c r="D54" s="40">
        <v>91389</v>
      </c>
      <c r="E54" s="44">
        <v>1208.0999999999999</v>
      </c>
      <c r="F54" s="46"/>
      <c r="G54" s="41"/>
      <c r="H54" s="41"/>
      <c r="I54" s="42">
        <v>46055</v>
      </c>
      <c r="J54"/>
    </row>
    <row r="55" spans="1:10" x14ac:dyDescent="0.25">
      <c r="A55">
        <v>3508</v>
      </c>
      <c r="B55" s="39" t="str">
        <f>IFERROR(VLOOKUP(A55,CLIENTES!A:E,2,0),"CADASTRAR CLIENTE")</f>
        <v>FUNDACAO FACULDADE MEDICINA/ICESP</v>
      </c>
      <c r="C55" s="39"/>
      <c r="D55" s="40">
        <v>91409</v>
      </c>
      <c r="E55" s="44">
        <v>291.02</v>
      </c>
      <c r="F55" s="46"/>
      <c r="G55" s="41"/>
      <c r="H55" s="41"/>
      <c r="I55" s="42">
        <v>46056</v>
      </c>
      <c r="J55"/>
    </row>
    <row r="56" spans="1:10" x14ac:dyDescent="0.25">
      <c r="A56">
        <v>51230</v>
      </c>
      <c r="B56" s="39" t="str">
        <f>IFERROR(VLOOKUP(A56,CLIENTES!A:E,2,0),"CADASTRAR CLIENTE")</f>
        <v>RAD LABORATORIO DE ANALISES CLINICAS LTDA</v>
      </c>
      <c r="C56" s="39"/>
      <c r="D56" s="40">
        <v>91402</v>
      </c>
      <c r="E56" s="44">
        <v>246</v>
      </c>
      <c r="F56" s="46"/>
      <c r="G56" s="41"/>
      <c r="H56" s="41"/>
      <c r="I56" s="42">
        <v>46056</v>
      </c>
      <c r="J56"/>
    </row>
    <row r="57" spans="1:10" x14ac:dyDescent="0.25">
      <c r="A57">
        <v>51090</v>
      </c>
      <c r="B57" s="39" t="str">
        <f>IFERROR(VLOOKUP(A57,CLIENTES!A:E,2,0),"CADASTRAR CLIENTE")</f>
        <v>REAL E BENEMERITA ASSOCIACAO PORTUGUESA DE BENEFICENCIA</v>
      </c>
      <c r="C57" s="39"/>
      <c r="D57" s="40">
        <v>91414</v>
      </c>
      <c r="E57" s="44">
        <v>4702.8999999999996</v>
      </c>
      <c r="F57" s="46"/>
      <c r="G57" s="41"/>
      <c r="H57" s="41"/>
      <c r="I57" s="42">
        <v>46056</v>
      </c>
      <c r="J57"/>
    </row>
    <row r="58" spans="1:10" x14ac:dyDescent="0.25">
      <c r="A58">
        <v>51090</v>
      </c>
      <c r="B58" s="39" t="str">
        <f>IFERROR(VLOOKUP(A58,CLIENTES!A:E,2,0),"CADASTRAR CLIENTE")</f>
        <v>REAL E BENEMERITA ASSOCIACAO PORTUGUESA DE BENEFICENCIA</v>
      </c>
      <c r="C58" s="39"/>
      <c r="D58" s="40">
        <v>91415</v>
      </c>
      <c r="E58" s="44">
        <v>3619</v>
      </c>
      <c r="F58" s="46"/>
      <c r="G58" s="41"/>
      <c r="H58" s="41"/>
      <c r="I58" s="42">
        <v>46056</v>
      </c>
      <c r="J58"/>
    </row>
    <row r="59" spans="1:10" x14ac:dyDescent="0.25">
      <c r="A59">
        <v>51090</v>
      </c>
      <c r="B59" s="39" t="str">
        <f>IFERROR(VLOOKUP(A59,CLIENTES!A:E,2,0),"CADASTRAR CLIENTE")</f>
        <v>REAL E BENEMERITA ASSOCIACAO PORTUGUESA DE BENEFICENCIA</v>
      </c>
      <c r="C59" s="39"/>
      <c r="D59" s="40">
        <v>91416</v>
      </c>
      <c r="E59" s="44">
        <v>1601.8</v>
      </c>
      <c r="F59" s="46"/>
      <c r="G59" s="41"/>
      <c r="H59" s="41"/>
      <c r="I59" s="42">
        <v>46056</v>
      </c>
      <c r="J59"/>
    </row>
    <row r="60" spans="1:10" x14ac:dyDescent="0.25">
      <c r="A60">
        <v>500839</v>
      </c>
      <c r="B60" s="39" t="str">
        <f>IFERROR(VLOOKUP(A60,CLIENTES!A:E,2,0),"CADASTRAR CLIENTE")</f>
        <v>IRMANDADE DA SANTA CASA DE MISERICORDIA DE PITANGUI</v>
      </c>
      <c r="C60" s="39"/>
      <c r="D60" s="40">
        <v>91518</v>
      </c>
      <c r="E60" s="44">
        <v>900</v>
      </c>
      <c r="F60" s="46"/>
      <c r="G60" s="41"/>
      <c r="H60" s="41"/>
      <c r="I60" s="42">
        <v>46059</v>
      </c>
      <c r="J60"/>
    </row>
    <row r="61" spans="1:10" x14ac:dyDescent="0.25">
      <c r="A61">
        <v>3120</v>
      </c>
      <c r="B61" s="39" t="str">
        <f>IFERROR(VLOOKUP(A61,CLIENTES!A:E,2,0),"CADASTRAR CLIENTE")</f>
        <v>VANDERLEI SALVADOR BAGNATO</v>
      </c>
      <c r="C61" s="39"/>
      <c r="D61" s="40">
        <v>91508</v>
      </c>
      <c r="E61" s="44">
        <v>960</v>
      </c>
      <c r="F61" s="46"/>
      <c r="G61" s="41"/>
      <c r="H61" s="41"/>
      <c r="I61" s="42">
        <v>46059</v>
      </c>
      <c r="J61"/>
    </row>
    <row r="62" spans="1:10" x14ac:dyDescent="0.25">
      <c r="A62">
        <v>1770</v>
      </c>
      <c r="B62" s="39" t="str">
        <f>IFERROR(VLOOKUP(A62,CLIENTES!A:E,2,0),"CADASTRAR CLIENTE")</f>
        <v>VITALABOR LABORATORIO DE ANALISES CLINICAS S/C LTDA</v>
      </c>
      <c r="C62" s="39"/>
      <c r="D62" s="40">
        <v>91513</v>
      </c>
      <c r="E62" s="44">
        <v>45</v>
      </c>
      <c r="F62" s="46"/>
      <c r="G62" s="41"/>
      <c r="H62" s="41"/>
      <c r="I62" s="42">
        <v>46059</v>
      </c>
      <c r="J62"/>
    </row>
    <row r="63" spans="1:10" x14ac:dyDescent="0.25">
      <c r="A63">
        <v>869</v>
      </c>
      <c r="B63" s="39" t="str">
        <f>IFERROR(VLOOKUP(A63,CLIENTES!A:E,2,0),"CADASTRAR CLIENTE")</f>
        <v>&amp;CO. INDUSTRIA E COMERCIO DE COSMETICOS LTDA</v>
      </c>
      <c r="C63" s="39"/>
      <c r="D63" s="40">
        <v>91548</v>
      </c>
      <c r="E63" s="44">
        <v>230</v>
      </c>
      <c r="F63" s="46"/>
      <c r="G63" s="41"/>
      <c r="H63" s="41"/>
      <c r="I63" s="42">
        <v>46062</v>
      </c>
      <c r="J63"/>
    </row>
    <row r="64" spans="1:10" x14ac:dyDescent="0.25">
      <c r="A64">
        <v>500972</v>
      </c>
      <c r="B64" s="39" t="str">
        <f>IFERROR(VLOOKUP(A64,CLIENTES!A:E,2,0),"CADASTRAR CLIENTE")</f>
        <v>A3Q LABORATORIOS LTDA</v>
      </c>
      <c r="C64" s="39"/>
      <c r="D64" s="40">
        <v>94342</v>
      </c>
      <c r="E64" s="44">
        <v>70</v>
      </c>
      <c r="F64" s="46"/>
      <c r="G64" s="41"/>
      <c r="H64" s="41"/>
      <c r="I64" s="42">
        <v>46063</v>
      </c>
      <c r="J64"/>
    </row>
    <row r="65" spans="1:10" x14ac:dyDescent="0.25">
      <c r="A65">
        <v>2059</v>
      </c>
      <c r="B65" s="39" t="str">
        <f>IFERROR(VLOOKUP(A65,CLIENTES!A:E,2,0),"CADASTRAR CLIENTE")</f>
        <v>GENESIS DIAGNOSTICA &amp; CIENTIFICA LTDA ME</v>
      </c>
      <c r="C65" s="39"/>
      <c r="D65" s="40">
        <v>91624</v>
      </c>
      <c r="E65" s="44">
        <v>900</v>
      </c>
      <c r="F65" s="46"/>
      <c r="G65" s="41"/>
      <c r="H65" s="41"/>
      <c r="I65" s="42">
        <v>46063</v>
      </c>
      <c r="J65"/>
    </row>
    <row r="66" spans="1:10" x14ac:dyDescent="0.25">
      <c r="A66">
        <v>50467</v>
      </c>
      <c r="B66" s="39" t="str">
        <f>IFERROR(VLOOKUP(A66,CLIENTES!A:E,2,0),"CADASTRAR CLIENTE")</f>
        <v>LABORATORIO MONTE SINAI LTDA</v>
      </c>
      <c r="C66" s="39"/>
      <c r="D66" s="40">
        <v>91644</v>
      </c>
      <c r="E66" s="44">
        <v>871.5</v>
      </c>
      <c r="F66" s="46"/>
      <c r="G66" s="41"/>
      <c r="H66" s="41"/>
      <c r="I66" s="42">
        <v>46063</v>
      </c>
      <c r="J66"/>
    </row>
    <row r="67" spans="1:10" x14ac:dyDescent="0.25">
      <c r="A67">
        <v>500379</v>
      </c>
      <c r="B67" s="39" t="str">
        <f>IFERROR(VLOOKUP(A67,CLIENTES!A:E,2,0),"CADASTRAR CLIENTE")</f>
        <v>SAMEDIL - SERVICOS DE ATENDIMENTO MEDICO S/A</v>
      </c>
      <c r="C67" s="39"/>
      <c r="D67" s="40">
        <v>91601</v>
      </c>
      <c r="E67" s="44">
        <v>491</v>
      </c>
      <c r="F67" s="46"/>
      <c r="G67" s="41"/>
      <c r="H67" s="41"/>
      <c r="I67" s="42">
        <v>46063</v>
      </c>
      <c r="J67"/>
    </row>
    <row r="68" spans="1:10" x14ac:dyDescent="0.25">
      <c r="A68">
        <v>1283</v>
      </c>
      <c r="B68" s="39" t="str">
        <f>IFERROR(VLOOKUP(A68,CLIENTES!A:E,2,0),"CADASTRAR CLIENTE")</f>
        <v>ANDERSON BARROSO FAVACHO LABORATORIO ME</v>
      </c>
      <c r="C68" s="39"/>
      <c r="D68" s="40">
        <v>91663</v>
      </c>
      <c r="E68" s="44">
        <v>227.9</v>
      </c>
      <c r="F68" s="46"/>
      <c r="G68" s="41"/>
      <c r="H68" s="41"/>
      <c r="I68" s="42">
        <v>46064</v>
      </c>
      <c r="J68"/>
    </row>
    <row r="69" spans="1:10" x14ac:dyDescent="0.25">
      <c r="A69">
        <v>1378</v>
      </c>
      <c r="B69" s="39" t="str">
        <f>IFERROR(VLOOKUP(A69,CLIENTES!A:E,2,0),"CADASTRAR CLIENTE")</f>
        <v>ASS.CARIDADE DA SANTA CASA MISERIC.DE ASSIS</v>
      </c>
      <c r="C69" s="39"/>
      <c r="D69" s="40">
        <v>91666</v>
      </c>
      <c r="E69" s="44">
        <v>178</v>
      </c>
      <c r="F69" s="46"/>
      <c r="G69" s="41"/>
      <c r="H69" s="41"/>
      <c r="I69" s="42">
        <v>46064</v>
      </c>
      <c r="J69"/>
    </row>
    <row r="70" spans="1:10" x14ac:dyDescent="0.25">
      <c r="A70">
        <v>500839</v>
      </c>
      <c r="B70" s="39" t="str">
        <f>IFERROR(VLOOKUP(A70,CLIENTES!A:E,2,0),"CADASTRAR CLIENTE")</f>
        <v>IRMANDADE DA SANTA CASA DE MISERICORDIA DE PITANGUI</v>
      </c>
      <c r="C70" s="39"/>
      <c r="D70" s="40">
        <v>91654</v>
      </c>
      <c r="E70" s="44">
        <v>1580</v>
      </c>
      <c r="F70" s="46"/>
      <c r="G70" s="41"/>
      <c r="H70" s="41"/>
      <c r="I70" s="42">
        <v>46064</v>
      </c>
      <c r="J70"/>
    </row>
    <row r="71" spans="1:10" x14ac:dyDescent="0.25">
      <c r="A71">
        <v>1316</v>
      </c>
      <c r="B71" s="39" t="str">
        <f>IFERROR(VLOOKUP(A71,CLIENTES!A:E,2,0),"CADASTRAR CLIENTE")</f>
        <v>IRMANDADE SANTA CASA DE MISERICORDIA DE MOCOCA</v>
      </c>
      <c r="C71" s="39"/>
      <c r="D71" s="40">
        <v>91661</v>
      </c>
      <c r="E71" s="44">
        <v>573</v>
      </c>
      <c r="F71" s="46"/>
      <c r="G71" s="41"/>
      <c r="H71" s="41"/>
      <c r="I71" s="42">
        <v>46064</v>
      </c>
      <c r="J71"/>
    </row>
    <row r="72" spans="1:10" x14ac:dyDescent="0.25">
      <c r="A72">
        <v>500624</v>
      </c>
      <c r="B72" s="39" t="str">
        <f>IFERROR(VLOOKUP(A72,CLIENTES!A:E,2,0),"CADASTRAR CLIENTE")</f>
        <v xml:space="preserve">MEDICAL CENTER DIAGNOSE </v>
      </c>
      <c r="C72" s="39"/>
      <c r="D72" s="40">
        <v>91665</v>
      </c>
      <c r="E72" s="44">
        <v>39.9</v>
      </c>
      <c r="F72" s="46"/>
      <c r="G72" s="41"/>
      <c r="H72" s="41"/>
      <c r="I72" s="42">
        <v>46064</v>
      </c>
      <c r="J72"/>
    </row>
    <row r="73" spans="1:10" x14ac:dyDescent="0.25">
      <c r="A73">
        <v>1486</v>
      </c>
      <c r="B73" s="39" t="str">
        <f>IFERROR(VLOOKUP(A73,CLIENTES!A:E,2,0),"CADASTRAR CLIENTE")</f>
        <v>IRMANDADE SANTA CASA DE MISER. DE LIMEIRA</v>
      </c>
      <c r="C73" s="39"/>
      <c r="D73" s="40">
        <v>91708</v>
      </c>
      <c r="E73" s="44">
        <v>9477</v>
      </c>
      <c r="F73" s="46"/>
      <c r="G73" s="41"/>
      <c r="H73" s="41"/>
      <c r="I73" s="42">
        <v>46065</v>
      </c>
      <c r="J73"/>
    </row>
    <row r="74" spans="1:10" x14ac:dyDescent="0.25">
      <c r="A74">
        <v>50392</v>
      </c>
      <c r="B74" s="39" t="str">
        <f>IFERROR(VLOOKUP(A74,CLIENTES!A:E,2,0),"CADASTRAR CLIENTE")</f>
        <v>HELLEN CRISTINA SOUTO LTDA</v>
      </c>
      <c r="C74" s="39"/>
      <c r="D74" s="40">
        <v>91754</v>
      </c>
      <c r="E74" s="44">
        <v>609.5</v>
      </c>
      <c r="F74" s="46"/>
      <c r="G74" s="41"/>
      <c r="H74" s="41"/>
      <c r="I74" s="42">
        <v>46066</v>
      </c>
      <c r="J74"/>
    </row>
    <row r="75" spans="1:10" x14ac:dyDescent="0.25">
      <c r="A75">
        <v>758</v>
      </c>
      <c r="B75" s="39" t="str">
        <f>IFERROR(VLOOKUP(A75,CLIENTES!A:E,2,0),"CADASTRAR CLIENTE")</f>
        <v>IRMANDADE DA SANTA CASA DE ANDRADINA</v>
      </c>
      <c r="C75" s="39"/>
      <c r="D75" s="40">
        <v>91770</v>
      </c>
      <c r="E75" s="44">
        <v>4816.3</v>
      </c>
      <c r="F75" s="46"/>
      <c r="G75" s="41"/>
      <c r="H75" s="41"/>
      <c r="I75" s="42">
        <v>46066</v>
      </c>
      <c r="J75"/>
    </row>
    <row r="76" spans="1:10" x14ac:dyDescent="0.25">
      <c r="A76">
        <v>500361</v>
      </c>
      <c r="B76" s="39" t="str">
        <f>IFERROR(VLOOKUP(A76,CLIENTES!A:E,2,0),"CADASTRAR CLIENTE")</f>
        <v>SANTA CASA DE MISER DA IRSENHOR DOS PASSOS DE UBATUBA</v>
      </c>
      <c r="C76" s="39"/>
      <c r="D76" s="40">
        <v>91761</v>
      </c>
      <c r="E76" s="44">
        <v>300</v>
      </c>
      <c r="F76" s="46"/>
      <c r="G76" s="41"/>
      <c r="H76" s="41"/>
      <c r="I76" s="42">
        <v>46066</v>
      </c>
      <c r="J76"/>
    </row>
    <row r="77" spans="1:10" x14ac:dyDescent="0.25">
      <c r="A77">
        <v>500361</v>
      </c>
      <c r="B77" s="39" t="str">
        <f>IFERROR(VLOOKUP(A77,CLIENTES!A:E,2,0),"CADASTRAR CLIENTE")</f>
        <v>SANTA CASA DE MISER DA IRSENHOR DOS PASSOS DE UBATUBA</v>
      </c>
      <c r="C77" s="39"/>
      <c r="D77" s="40">
        <v>91762</v>
      </c>
      <c r="E77" s="44">
        <v>81</v>
      </c>
      <c r="F77" s="46"/>
      <c r="G77" s="41"/>
      <c r="H77" s="41"/>
      <c r="I77" s="42">
        <v>46066</v>
      </c>
      <c r="J77"/>
    </row>
    <row r="78" spans="1:10" x14ac:dyDescent="0.25">
      <c r="A78">
        <v>1378</v>
      </c>
      <c r="B78" s="39" t="str">
        <f>IFERROR(VLOOKUP(A78,CLIENTES!A:E,2,0),"CADASTRAR CLIENTE")</f>
        <v>ASS.CARIDADE DA SANTA CASA MISERIC.DE ASSIS</v>
      </c>
      <c r="C78" s="39"/>
      <c r="D78" s="40">
        <v>91813</v>
      </c>
      <c r="E78" s="44">
        <v>7188.75</v>
      </c>
      <c r="F78" s="46"/>
      <c r="G78" s="41"/>
      <c r="H78" s="41"/>
      <c r="I78" s="42">
        <v>46069</v>
      </c>
      <c r="J78"/>
    </row>
    <row r="79" spans="1:10" x14ac:dyDescent="0.25">
      <c r="A79">
        <v>500904</v>
      </c>
      <c r="B79" s="39" t="str">
        <f>IFERROR(VLOOKUP(A79,CLIENTES!A:E,2,0),"CADASTRAR CLIENTE")</f>
        <v>DUAL VET CLINICA VETERINARIA LTDA</v>
      </c>
      <c r="C79" s="39"/>
      <c r="D79" s="40">
        <v>91794</v>
      </c>
      <c r="E79" s="44">
        <v>157.5</v>
      </c>
      <c r="F79" s="46"/>
      <c r="G79" s="41"/>
      <c r="H79" s="41"/>
      <c r="I79" s="42">
        <v>46069</v>
      </c>
      <c r="J79"/>
    </row>
    <row r="80" spans="1:10" x14ac:dyDescent="0.25">
      <c r="A80">
        <v>1991</v>
      </c>
      <c r="B80" s="39" t="str">
        <f>IFERROR(VLOOKUP(A80,CLIENTES!A:E,2,0),"CADASTRAR CLIENTE")</f>
        <v>IRMAND.DA SANTA CASA DE MISERICORDIA DE TAMBAU</v>
      </c>
      <c r="C80" s="39"/>
      <c r="D80" s="40">
        <v>91777</v>
      </c>
      <c r="E80" s="44">
        <v>481.65</v>
      </c>
      <c r="F80" s="46"/>
      <c r="G80" s="41"/>
      <c r="H80" s="41"/>
      <c r="I80" s="42">
        <v>46069</v>
      </c>
      <c r="J80"/>
    </row>
    <row r="81" spans="1:10" x14ac:dyDescent="0.25">
      <c r="A81">
        <v>3327</v>
      </c>
      <c r="B81" s="39" t="str">
        <f>IFERROR(VLOOKUP(A81,CLIENTES!A:E,2,0),"CADASTRAR CLIENTE")</f>
        <v>IRMANDADE SAO JOSE DE NOVO HORIZONTE</v>
      </c>
      <c r="C81" s="39"/>
      <c r="D81" s="40">
        <v>91833</v>
      </c>
      <c r="E81" s="44">
        <v>563</v>
      </c>
      <c r="F81" s="46"/>
      <c r="G81" s="41"/>
      <c r="H81" s="41"/>
      <c r="I81" s="42">
        <v>46071</v>
      </c>
      <c r="J81"/>
    </row>
    <row r="82" spans="1:10" x14ac:dyDescent="0.25">
      <c r="A82">
        <v>592</v>
      </c>
      <c r="B82" s="39" t="str">
        <f>IFERROR(VLOOKUP(A82,CLIENTES!A:E,2,0),"CADASTRAR CLIENTE")</f>
        <v>PINDORAMA LABORATORIO DE ANALISES CLINICAS LTDA ME</v>
      </c>
      <c r="C82" s="39"/>
      <c r="D82" s="40">
        <v>91834</v>
      </c>
      <c r="E82" s="44">
        <v>566.6</v>
      </c>
      <c r="F82" s="46"/>
      <c r="G82" s="41"/>
      <c r="H82" s="41"/>
      <c r="I82" s="42">
        <v>46071</v>
      </c>
      <c r="J82"/>
    </row>
    <row r="83" spans="1:10" x14ac:dyDescent="0.25">
      <c r="A83">
        <v>500839</v>
      </c>
      <c r="B83" s="39" t="str">
        <f>IFERROR(VLOOKUP(A83,CLIENTES!A:E,2,0),"CADASTRAR CLIENTE")</f>
        <v>IRMANDADE DA SANTA CASA DE MISERICORDIA DE PITANGUI</v>
      </c>
      <c r="C83" s="39"/>
      <c r="D83" s="40">
        <v>91902</v>
      </c>
      <c r="E83" s="44">
        <v>745.2</v>
      </c>
      <c r="F83" s="46"/>
      <c r="G83" s="41"/>
      <c r="H83" s="41"/>
      <c r="I83" s="42">
        <v>46072</v>
      </c>
      <c r="J83"/>
    </row>
    <row r="84" spans="1:10" x14ac:dyDescent="0.25">
      <c r="A84">
        <v>500846</v>
      </c>
      <c r="B84" s="39" t="str">
        <f>IFERROR(VLOOKUP(A84,CLIENTES!A:E,2,0),"CADASTRAR CLIENTE")</f>
        <v>LUIS PAULO FROELICH FERREIRA LTDA</v>
      </c>
      <c r="C84" s="39"/>
      <c r="D84" s="40">
        <v>91866</v>
      </c>
      <c r="E84" s="44">
        <v>365</v>
      </c>
      <c r="F84" s="46"/>
      <c r="G84" s="41"/>
      <c r="H84" s="41"/>
      <c r="I84" s="42">
        <v>46072</v>
      </c>
      <c r="J84"/>
    </row>
    <row r="85" spans="1:10" x14ac:dyDescent="0.25">
      <c r="A85">
        <v>1378</v>
      </c>
      <c r="B85" s="39" t="str">
        <f>IFERROR(VLOOKUP(A85,CLIENTES!A:E,2,0),"CADASTRAR CLIENTE")</f>
        <v>ASS.CARIDADE DA SANTA CASA MISERIC.DE ASSIS</v>
      </c>
      <c r="C85" s="39"/>
      <c r="D85" s="40">
        <v>91929</v>
      </c>
      <c r="E85" s="44">
        <v>747</v>
      </c>
      <c r="F85" s="46"/>
      <c r="G85" s="41"/>
      <c r="H85" s="41"/>
      <c r="I85" s="42">
        <v>46073</v>
      </c>
      <c r="J85"/>
    </row>
    <row r="86" spans="1:10" x14ac:dyDescent="0.25">
      <c r="A86">
        <v>500520</v>
      </c>
      <c r="B86" s="39" t="str">
        <f>IFERROR(VLOOKUP(A86,CLIENTES!A:E,2,0),"CADASTRAR CLIENTE")</f>
        <v>HOSPITAL LEONARDO DA VINCI LTDA</v>
      </c>
      <c r="C86" s="39"/>
      <c r="D86" s="40">
        <v>91930</v>
      </c>
      <c r="E86" s="44">
        <v>732.4</v>
      </c>
      <c r="F86" s="46"/>
      <c r="G86" s="41"/>
      <c r="H86" s="41"/>
      <c r="I86" s="42">
        <v>46073</v>
      </c>
      <c r="J86"/>
    </row>
    <row r="87" spans="1:10" x14ac:dyDescent="0.25">
      <c r="A87">
        <v>456</v>
      </c>
      <c r="B87" s="39" t="str">
        <f>IFERROR(VLOOKUP(A87,CLIENTES!A:E,2,0),"CADASTRAR CLIENTE")</f>
        <v>FUNDACAO HOSPITALAR NOSSA SENHORA DE LOURDES</v>
      </c>
      <c r="C87" s="39"/>
      <c r="D87" s="40">
        <v>91906</v>
      </c>
      <c r="E87" s="44">
        <v>24390</v>
      </c>
      <c r="F87" s="46"/>
      <c r="G87" s="41"/>
      <c r="H87" s="41"/>
      <c r="I87" s="42">
        <v>46073</v>
      </c>
      <c r="J87"/>
    </row>
    <row r="88" spans="1:10" x14ac:dyDescent="0.25">
      <c r="A88">
        <v>500607</v>
      </c>
      <c r="B88" s="39" t="str">
        <f>IFERROR(VLOOKUP(A88,CLIENTES!A:E,2,0),"CADASTRAR CLIENTE")</f>
        <v>BIOLABOR - LABORATORIO DE ANALISES CLINICAS LTDA.</v>
      </c>
      <c r="C88" s="39"/>
      <c r="D88" s="40">
        <v>91970</v>
      </c>
      <c r="E88" s="44">
        <v>297</v>
      </c>
      <c r="F88" s="46"/>
      <c r="G88" s="41"/>
      <c r="H88" s="41"/>
      <c r="I88" s="42">
        <v>46076</v>
      </c>
      <c r="J88"/>
    </row>
    <row r="89" spans="1:10" x14ac:dyDescent="0.25">
      <c r="A89">
        <v>500419</v>
      </c>
      <c r="B89" s="39" t="str">
        <f>IFERROR(VLOOKUP(A89,CLIENTES!A:E,2,0),"CADASTRAR CLIENTE")</f>
        <v>FUNDACAO DE ASSISTENCIA ESTUDO E PESQUISA DE UBERLANDIA</v>
      </c>
      <c r="C89" s="39"/>
      <c r="D89" s="40">
        <v>91982</v>
      </c>
      <c r="E89" s="44">
        <v>1110.5</v>
      </c>
      <c r="F89" s="46"/>
      <c r="G89" s="41"/>
      <c r="H89" s="41"/>
      <c r="I89" s="42">
        <v>46076</v>
      </c>
      <c r="J89"/>
    </row>
    <row r="90" spans="1:10" x14ac:dyDescent="0.25">
      <c r="A90">
        <v>93</v>
      </c>
      <c r="B90" s="39" t="str">
        <f>IFERROR(VLOOKUP(A90,CLIENTES!A:E,2,0),"CADASTRAR CLIENTE")</f>
        <v>LAB. ANAL. CLIN. SAO JORGE SC  LTDA.</v>
      </c>
      <c r="C90" s="39"/>
      <c r="D90" s="40">
        <v>91940</v>
      </c>
      <c r="E90" s="44">
        <v>489.5</v>
      </c>
      <c r="F90" s="46"/>
      <c r="G90" s="41"/>
      <c r="H90" s="41"/>
      <c r="I90" s="42">
        <v>46076</v>
      </c>
      <c r="J90"/>
    </row>
    <row r="91" spans="1:10" x14ac:dyDescent="0.25">
      <c r="A91">
        <v>101</v>
      </c>
      <c r="B91" s="39" t="str">
        <f>IFERROR(VLOOKUP(A91,CLIENTES!A:E,2,0),"CADASTRAR CLIENTE")</f>
        <v>LABORATORIO MEDICO ESPECIALIZADO LTDA</v>
      </c>
      <c r="C91" s="39"/>
      <c r="D91" s="40">
        <v>91983</v>
      </c>
      <c r="E91" s="44">
        <v>644.1</v>
      </c>
      <c r="F91" s="46"/>
      <c r="G91" s="41"/>
      <c r="H91" s="41"/>
      <c r="I91" s="42">
        <v>46076</v>
      </c>
      <c r="J91"/>
    </row>
    <row r="92" spans="1:10" x14ac:dyDescent="0.25">
      <c r="A92">
        <v>3309</v>
      </c>
      <c r="B92" s="39" t="str">
        <f>IFERROR(VLOOKUP(A92,CLIENTES!A:E,2,0),"CADASTRAR CLIENTE")</f>
        <v>FUNDACAO FACULDADE DE MEDICINA</v>
      </c>
      <c r="C92" s="39"/>
      <c r="D92" s="40">
        <v>92065</v>
      </c>
      <c r="E92" s="44">
        <v>159.08000000000001</v>
      </c>
      <c r="F92" s="46"/>
      <c r="G92" s="41"/>
      <c r="H92" s="41"/>
      <c r="I92" s="42">
        <v>46077</v>
      </c>
      <c r="J92"/>
    </row>
    <row r="93" spans="1:10" x14ac:dyDescent="0.25">
      <c r="A93">
        <v>500411</v>
      </c>
      <c r="B93" s="39" t="str">
        <f>IFERROR(VLOOKUP(A93,CLIENTES!A:E,2,0),"CADASTRAR CLIENTE")</f>
        <v>FUNDACAO HOSPITALAR DR. MOISES MAGALHAES FREIRE</v>
      </c>
      <c r="C93" s="39"/>
      <c r="D93" s="40">
        <v>92006</v>
      </c>
      <c r="E93" s="44">
        <v>1561.2</v>
      </c>
      <c r="F93" s="46"/>
      <c r="G93" s="41"/>
      <c r="H93" s="41"/>
      <c r="I93" s="42">
        <v>46077</v>
      </c>
      <c r="J93"/>
    </row>
    <row r="94" spans="1:10" x14ac:dyDescent="0.25">
      <c r="A94">
        <v>500420</v>
      </c>
      <c r="B94" s="39" t="str">
        <f>IFERROR(VLOOKUP(A94,CLIENTES!A:E,2,0),"CADASTRAR CLIENTE")</f>
        <v>JANAINA MARCHESI TORREZAN</v>
      </c>
      <c r="C94" s="39"/>
      <c r="D94" s="40">
        <v>92007</v>
      </c>
      <c r="E94" s="44">
        <v>598.70000000000005</v>
      </c>
      <c r="F94" s="46"/>
      <c r="G94" s="41"/>
      <c r="H94" s="41"/>
      <c r="I94" s="42">
        <v>46077</v>
      </c>
      <c r="J94"/>
    </row>
    <row r="95" spans="1:10" x14ac:dyDescent="0.25">
      <c r="A95">
        <v>1147</v>
      </c>
      <c r="B95" s="39" t="str">
        <f>IFERROR(VLOOKUP(A95,CLIENTES!A:E,2,0),"CADASTRAR CLIENTE")</f>
        <v>LABORPATAS LABORATORIO VETERINARIO LTDA</v>
      </c>
      <c r="C95" s="39"/>
      <c r="D95" s="40">
        <v>92062</v>
      </c>
      <c r="E95" s="44">
        <v>388.55</v>
      </c>
      <c r="F95" s="46"/>
      <c r="G95" s="41"/>
      <c r="H95" s="41"/>
      <c r="I95" s="42">
        <v>46077</v>
      </c>
      <c r="J95"/>
    </row>
    <row r="96" spans="1:10" x14ac:dyDescent="0.25">
      <c r="A96">
        <v>1147</v>
      </c>
      <c r="B96" s="39" t="str">
        <f>IFERROR(VLOOKUP(A96,CLIENTES!A:E,2,0),"CADASTRAR CLIENTE")</f>
        <v>LABORPATAS LABORATORIO VETERINARIO LTDA</v>
      </c>
      <c r="C96" s="39"/>
      <c r="D96" s="40">
        <v>92069</v>
      </c>
      <c r="E96" s="44">
        <v>10900</v>
      </c>
      <c r="F96" s="46"/>
      <c r="G96" s="41"/>
      <c r="H96" s="41"/>
      <c r="I96" s="42">
        <v>46077</v>
      </c>
      <c r="J96"/>
    </row>
    <row r="97" spans="1:10" x14ac:dyDescent="0.25">
      <c r="A97">
        <v>500984</v>
      </c>
      <c r="B97" s="39" t="str">
        <f>IFERROR(VLOOKUP(A97,CLIENTES!A:E,2,0),"CADASTRAR CLIENTE")</f>
        <v>J. L. SAUDE - ASSISTENCIA MEDICA LTDA</v>
      </c>
      <c r="C97" s="39"/>
      <c r="D97" s="40">
        <v>92099</v>
      </c>
      <c r="E97" s="44">
        <v>1350</v>
      </c>
      <c r="F97" s="46"/>
      <c r="G97" s="41"/>
      <c r="H97" s="41"/>
      <c r="I97" s="42">
        <v>46078</v>
      </c>
      <c r="J97"/>
    </row>
    <row r="98" spans="1:10" x14ac:dyDescent="0.25">
      <c r="A98">
        <v>915</v>
      </c>
      <c r="B98" s="39" t="str">
        <f>IFERROR(VLOOKUP(A98,CLIENTES!A:E,2,0),"CADASTRAR CLIENTE")</f>
        <v>LAB.DR RAUF EID ANAL.CLINICAS SS LTDA</v>
      </c>
      <c r="C98" s="39"/>
      <c r="D98" s="40">
        <v>92111</v>
      </c>
      <c r="E98" s="44">
        <v>755.9</v>
      </c>
      <c r="F98" s="46"/>
      <c r="G98" s="41"/>
      <c r="H98" s="41"/>
      <c r="I98" s="42">
        <v>46078</v>
      </c>
      <c r="J98"/>
    </row>
    <row r="99" spans="1:10" x14ac:dyDescent="0.25">
      <c r="A99">
        <v>1147</v>
      </c>
      <c r="B99" s="39" t="str">
        <f>IFERROR(VLOOKUP(A99,CLIENTES!A:E,2,0),"CADASTRAR CLIENTE")</f>
        <v>LABORPATAS LABORATORIO VETERINARIO LTDA</v>
      </c>
      <c r="C99" s="39"/>
      <c r="D99" s="40">
        <v>92119</v>
      </c>
      <c r="E99" s="44">
        <v>10900</v>
      </c>
      <c r="F99" s="46"/>
      <c r="G99" s="41"/>
      <c r="H99" s="41"/>
      <c r="I99" s="42">
        <v>46078</v>
      </c>
      <c r="J99"/>
    </row>
    <row r="100" spans="1:10" x14ac:dyDescent="0.25">
      <c r="A100">
        <v>1991</v>
      </c>
      <c r="B100" s="39" t="str">
        <f>IFERROR(VLOOKUP(A100,CLIENTES!A:E,2,0),"CADASTRAR CLIENTE")</f>
        <v>IRMAND.DA SANTA CASA DE MISERICORDIA DE TAMBAU</v>
      </c>
      <c r="C100" s="39"/>
      <c r="D100" s="40">
        <v>92199</v>
      </c>
      <c r="E100" s="44">
        <v>108.75</v>
      </c>
      <c r="F100" s="46"/>
      <c r="G100" s="41"/>
      <c r="H100" s="41"/>
      <c r="I100" s="42">
        <v>46080</v>
      </c>
      <c r="J100"/>
    </row>
    <row r="101" spans="1:10" x14ac:dyDescent="0.25">
      <c r="A101">
        <v>977</v>
      </c>
      <c r="B101" s="39" t="str">
        <f>IFERROR(VLOOKUP(A101,CLIENTES!A:E,2,0),"CADASTRAR CLIENTE")</f>
        <v>LAFROIS LABORATORIO DE ANALISES CLINICAS LTDA</v>
      </c>
      <c r="C101" s="39"/>
      <c r="D101" s="40">
        <v>92178</v>
      </c>
      <c r="E101" s="44">
        <v>1979.7</v>
      </c>
      <c r="F101" s="46"/>
      <c r="G101" s="41"/>
      <c r="H101" s="41"/>
      <c r="I101" s="42">
        <v>46080</v>
      </c>
      <c r="J101"/>
    </row>
    <row r="102" spans="1:10" x14ac:dyDescent="0.25">
      <c r="A102">
        <v>500379</v>
      </c>
      <c r="B102" s="39" t="str">
        <f>IFERROR(VLOOKUP(A102,CLIENTES!A:E,2,0),"CADASTRAR CLIENTE")</f>
        <v>SAMEDIL - SERVICOS DE ATENDIMENTO MEDICO S/A</v>
      </c>
      <c r="C102" s="39"/>
      <c r="D102" s="40">
        <v>92182</v>
      </c>
      <c r="E102" s="44">
        <v>665</v>
      </c>
      <c r="F102" s="46"/>
      <c r="G102" s="41"/>
      <c r="H102" s="41"/>
      <c r="I102" s="42">
        <v>46080</v>
      </c>
      <c r="J102"/>
    </row>
    <row r="103" spans="1:10" x14ac:dyDescent="0.25">
      <c r="A103">
        <v>500361</v>
      </c>
      <c r="B103" s="39" t="str">
        <f>IFERROR(VLOOKUP(A103,CLIENTES!A:E,2,0),"CADASTRAR CLIENTE")</f>
        <v>SANTA CASA DE MISER DA IRSENHOR DOS PASSOS DE UBATUBA</v>
      </c>
      <c r="C103" s="39"/>
      <c r="D103" s="40">
        <v>92185</v>
      </c>
      <c r="E103" s="44">
        <v>750</v>
      </c>
      <c r="F103" s="46"/>
      <c r="G103" s="41"/>
      <c r="H103" s="41"/>
      <c r="I103" s="42">
        <v>46080</v>
      </c>
      <c r="J103"/>
    </row>
    <row r="104" spans="1:10" x14ac:dyDescent="0.25">
      <c r="A104">
        <v>500696</v>
      </c>
      <c r="B104" s="39" t="str">
        <f>IFERROR(VLOOKUP(A104,CLIENTES!A:E,2,0),"CADASTRAR CLIENTE")</f>
        <v>FUNDACAO DE ASSISTENCIA INTEGRAL A SAUDE - FAIS</v>
      </c>
      <c r="C104" s="39"/>
      <c r="D104" s="40">
        <v>92216</v>
      </c>
      <c r="E104" s="44">
        <v>457</v>
      </c>
      <c r="F104" s="46"/>
      <c r="G104" s="41"/>
      <c r="H104" s="41"/>
      <c r="I104" s="42">
        <v>46083</v>
      </c>
      <c r="J104"/>
    </row>
    <row r="105" spans="1:10" x14ac:dyDescent="0.25">
      <c r="A105">
        <v>51190</v>
      </c>
      <c r="B105" s="39" t="str">
        <f>IFERROR(VLOOKUP(A105,CLIENTES!A:E,2,0),"CADASTRAR CLIENTE")</f>
        <v>HOSPITAL SANTA IGNES LTDA</v>
      </c>
      <c r="C105" s="39"/>
      <c r="D105" s="40">
        <v>92226</v>
      </c>
      <c r="E105" s="44">
        <v>519</v>
      </c>
      <c r="F105" s="46"/>
      <c r="G105" s="41"/>
      <c r="H105" s="41"/>
      <c r="I105" s="42">
        <v>46083</v>
      </c>
      <c r="J105"/>
    </row>
    <row r="106" spans="1:10" x14ac:dyDescent="0.25">
      <c r="A106">
        <v>500858</v>
      </c>
      <c r="B106" s="39" t="str">
        <f>IFERROR(VLOOKUP(A106,CLIENTES!A:E,2,0),"CADASTRAR CLIENTE")</f>
        <v>IMLAB VETERINARIA LTDA</v>
      </c>
      <c r="C106" s="39"/>
      <c r="D106" s="40">
        <v>92223</v>
      </c>
      <c r="E106" s="44">
        <v>2130</v>
      </c>
      <c r="F106" s="46"/>
      <c r="G106" s="41"/>
      <c r="H106" s="41"/>
      <c r="I106" s="42">
        <v>46083</v>
      </c>
      <c r="J106"/>
    </row>
    <row r="107" spans="1:10" x14ac:dyDescent="0.25">
      <c r="A107">
        <v>1486</v>
      </c>
      <c r="B107" s="39" t="str">
        <f>IFERROR(VLOOKUP(A107,CLIENTES!A:E,2,0),"CADASTRAR CLIENTE")</f>
        <v>IRMANDADE SANTA CASA DE MISER. DE LIMEIRA</v>
      </c>
      <c r="C107" s="39"/>
      <c r="D107" s="40">
        <v>92227</v>
      </c>
      <c r="E107" s="44">
        <v>8041.2</v>
      </c>
      <c r="F107" s="46"/>
      <c r="G107" s="41"/>
      <c r="H107" s="41"/>
      <c r="I107" s="42">
        <v>46083</v>
      </c>
      <c r="J107"/>
    </row>
    <row r="108" spans="1:10" x14ac:dyDescent="0.25">
      <c r="A108">
        <v>977</v>
      </c>
      <c r="B108" s="39" t="str">
        <f>IFERROR(VLOOKUP(A108,CLIENTES!A:E,2,0),"CADASTRAR CLIENTE")</f>
        <v>LAFROIS LABORATORIO DE ANALISES CLINICAS LTDA</v>
      </c>
      <c r="C108" s="39"/>
      <c r="D108" s="40">
        <v>92221</v>
      </c>
      <c r="E108" s="44">
        <v>332</v>
      </c>
      <c r="F108" s="46"/>
      <c r="G108" s="41"/>
      <c r="H108" s="41"/>
      <c r="I108" s="42">
        <v>46083</v>
      </c>
      <c r="J108"/>
    </row>
    <row r="109" spans="1:10" x14ac:dyDescent="0.25">
      <c r="A109">
        <v>592</v>
      </c>
      <c r="B109" s="39" t="str">
        <f>IFERROR(VLOOKUP(A109,CLIENTES!A:E,2,0),"CADASTRAR CLIENTE")</f>
        <v>PINDORAMA LABORATORIO DE ANALISES CLINICAS LTDA ME</v>
      </c>
      <c r="C109" s="39"/>
      <c r="D109" s="40">
        <v>92236</v>
      </c>
      <c r="E109" s="44">
        <v>608</v>
      </c>
      <c r="F109" s="46"/>
      <c r="G109" s="41"/>
      <c r="H109" s="41"/>
      <c r="I109" s="42">
        <v>46083</v>
      </c>
      <c r="J109"/>
    </row>
    <row r="110" spans="1:10" x14ac:dyDescent="0.25">
      <c r="A110">
        <v>500367</v>
      </c>
      <c r="B110" s="39" t="str">
        <f>IFERROR(VLOOKUP(A110,CLIENTES!A:E,2,0),"CADASTRAR CLIENTE")</f>
        <v>PRO SCIENCE SAUDE ANIMAL LTDA</v>
      </c>
      <c r="C110" s="39"/>
      <c r="D110" s="40">
        <v>92234</v>
      </c>
      <c r="E110" s="44">
        <v>962.5</v>
      </c>
      <c r="F110" s="46"/>
      <c r="G110" s="41"/>
      <c r="H110" s="41"/>
      <c r="I110" s="42">
        <v>46083</v>
      </c>
      <c r="J110"/>
    </row>
    <row r="111" spans="1:10" x14ac:dyDescent="0.25">
      <c r="A111">
        <v>51090</v>
      </c>
      <c r="B111" s="39" t="str">
        <f>IFERROR(VLOOKUP(A111,CLIENTES!A:E,2,0),"CADASTRAR CLIENTE")</f>
        <v>REAL E BENEMERITA ASSOCIACAO PORTUGUESA DE BENEFICENCIA</v>
      </c>
      <c r="C111" s="39"/>
      <c r="D111" s="40">
        <v>92265</v>
      </c>
      <c r="E111" s="44">
        <v>27351.4</v>
      </c>
      <c r="F111" s="46"/>
      <c r="G111" s="41"/>
      <c r="H111" s="41"/>
      <c r="I111" s="42">
        <v>46083</v>
      </c>
      <c r="J111"/>
    </row>
    <row r="112" spans="1:10" x14ac:dyDescent="0.25">
      <c r="A112">
        <v>500448</v>
      </c>
      <c r="B112" s="39" t="str">
        <f>IFERROR(VLOOKUP(A112,CLIENTES!A:E,2,0),"CADASTRAR CLIENTE")</f>
        <v>UNIMED DE CACAPAVA COOPERATIVA DE TRABALHO MEDICO</v>
      </c>
      <c r="C112" s="39"/>
      <c r="D112" s="40">
        <v>92231</v>
      </c>
      <c r="E112" s="44">
        <v>737.05</v>
      </c>
      <c r="F112" s="46"/>
      <c r="G112" s="41"/>
      <c r="H112" s="41"/>
      <c r="I112" s="42">
        <v>46083</v>
      </c>
      <c r="J112"/>
    </row>
    <row r="113" spans="1:10" x14ac:dyDescent="0.25">
      <c r="A113">
        <v>3120</v>
      </c>
      <c r="B113" s="39" t="str">
        <f>IFERROR(VLOOKUP(A113,CLIENTES!A:E,2,0),"CADASTRAR CLIENTE")</f>
        <v>VANDERLEI SALVADOR BAGNATO</v>
      </c>
      <c r="C113" s="39"/>
      <c r="D113" s="40">
        <v>92235</v>
      </c>
      <c r="E113" s="44">
        <v>226</v>
      </c>
      <c r="F113" s="46"/>
      <c r="G113" s="41"/>
      <c r="H113" s="41"/>
      <c r="I113" s="42">
        <v>46083</v>
      </c>
      <c r="J113"/>
    </row>
    <row r="114" spans="1:10" x14ac:dyDescent="0.25">
      <c r="A114">
        <v>500984</v>
      </c>
      <c r="B114" s="39" t="str">
        <f>IFERROR(VLOOKUP(A114,CLIENTES!A:E,2,0),"CADASTRAR CLIENTE")</f>
        <v>J. L. SAUDE - ASSISTENCIA MEDICA LTDA</v>
      </c>
      <c r="C114" s="39"/>
      <c r="D114" s="40">
        <v>92281</v>
      </c>
      <c r="E114" s="44">
        <v>259.5</v>
      </c>
      <c r="F114" s="46"/>
      <c r="G114" s="41"/>
      <c r="H114" s="41"/>
      <c r="I114" s="42">
        <v>46084</v>
      </c>
      <c r="J114"/>
    </row>
    <row r="115" spans="1:10" x14ac:dyDescent="0.25">
      <c r="A115">
        <v>500992</v>
      </c>
      <c r="B115" s="39" t="str">
        <f>IFERROR(VLOOKUP(A115,CLIENTES!A:E,2,0),"CADASTRAR CLIENTE")</f>
        <v>ABERTTA SAUDE - ASSOCIACAO BENEFICENTE DOS EMPREGADOS DA ARCELORMITTAL NO BRASIL</v>
      </c>
      <c r="C115" s="39"/>
      <c r="D115" s="40">
        <v>92343</v>
      </c>
      <c r="E115" s="44">
        <v>495</v>
      </c>
      <c r="F115" s="46"/>
      <c r="G115" s="41"/>
      <c r="H115" s="41"/>
      <c r="I115" s="42">
        <v>46085</v>
      </c>
      <c r="J115"/>
    </row>
    <row r="116" spans="1:10" x14ac:dyDescent="0.25">
      <c r="A116">
        <v>1991</v>
      </c>
      <c r="B116" s="39" t="str">
        <f>IFERROR(VLOOKUP(A116,CLIENTES!A:E,2,0),"CADASTRAR CLIENTE")</f>
        <v>IRMAND.DA SANTA CASA DE MISERICORDIA DE TAMBAU</v>
      </c>
      <c r="C116" s="39"/>
      <c r="D116" s="40">
        <v>92378</v>
      </c>
      <c r="E116" s="44">
        <v>108.75</v>
      </c>
      <c r="F116" s="46"/>
      <c r="G116" s="41"/>
      <c r="H116" s="41"/>
      <c r="I116" s="42">
        <v>46085</v>
      </c>
      <c r="J116"/>
    </row>
    <row r="117" spans="1:10" x14ac:dyDescent="0.25">
      <c r="A117">
        <v>51190</v>
      </c>
      <c r="B117" s="39" t="str">
        <f>IFERROR(VLOOKUP(A117,CLIENTES!A:E,2,0),"CADASTRAR CLIENTE")</f>
        <v>HOSPITAL SANTA IGNES LTDA</v>
      </c>
      <c r="C117" s="39"/>
      <c r="D117" s="40">
        <v>92387</v>
      </c>
      <c r="E117" s="44">
        <v>646</v>
      </c>
      <c r="F117" s="46"/>
      <c r="G117" s="41"/>
      <c r="H117" s="41"/>
      <c r="I117" s="42">
        <v>46086</v>
      </c>
      <c r="J117"/>
    </row>
    <row r="118" spans="1:10" x14ac:dyDescent="0.25">
      <c r="A118">
        <v>93</v>
      </c>
      <c r="B118" s="39" t="str">
        <f>IFERROR(VLOOKUP(A118,CLIENTES!A:E,2,0),"CADASTRAR CLIENTE")</f>
        <v>LAB. ANAL. CLIN. SAO JORGE SC  LTDA.</v>
      </c>
      <c r="C118" s="39"/>
      <c r="D118" s="40">
        <v>92426</v>
      </c>
      <c r="E118" s="44">
        <v>310.7</v>
      </c>
      <c r="F118" s="46"/>
      <c r="G118" s="41"/>
      <c r="H118" s="41"/>
      <c r="I118" s="42">
        <v>46086</v>
      </c>
      <c r="J118"/>
    </row>
    <row r="119" spans="1:10" x14ac:dyDescent="0.25">
      <c r="A119">
        <v>500998</v>
      </c>
      <c r="B119" s="39" t="str">
        <f>IFERROR(VLOOKUP(A119,CLIENTES!A:E,2,0),"CADASTRAR CLIENTE")</f>
        <v>CASA DE SAUDE SANTA RITA S A</v>
      </c>
      <c r="C119" s="39"/>
      <c r="D119" s="40">
        <v>92457</v>
      </c>
      <c r="E119" s="44">
        <v>550</v>
      </c>
      <c r="F119" s="46"/>
      <c r="G119" s="41"/>
      <c r="H119" s="41"/>
      <c r="I119" s="42">
        <v>46087</v>
      </c>
      <c r="J119"/>
    </row>
    <row r="120" spans="1:10" x14ac:dyDescent="0.25">
      <c r="A120">
        <v>500996</v>
      </c>
      <c r="B120" s="39" t="str">
        <f>IFERROR(VLOOKUP(A120,CLIENTES!A:E,2,0),"CADASTRAR CLIENTE")</f>
        <v>FUNDACAO HOSPITAL SAO JOSE DE BOTELHOS</v>
      </c>
      <c r="C120" s="39"/>
      <c r="D120" s="40">
        <v>92451</v>
      </c>
      <c r="E120" s="44">
        <v>330</v>
      </c>
      <c r="F120" s="46"/>
      <c r="G120" s="41"/>
      <c r="H120" s="41"/>
      <c r="I120" s="42">
        <v>46087</v>
      </c>
      <c r="J120"/>
    </row>
    <row r="121" spans="1:10" x14ac:dyDescent="0.25">
      <c r="A121">
        <v>500987</v>
      </c>
      <c r="B121" s="39" t="str">
        <f>IFERROR(VLOOKUP(A121,CLIENTES!A:E,2,0),"CADASTRAR CLIENTE")</f>
        <v>ALESSANDRO DA SILVA PEREIRA</v>
      </c>
      <c r="C121" s="39"/>
      <c r="D121" s="40">
        <v>92520</v>
      </c>
      <c r="E121" s="44">
        <v>500</v>
      </c>
      <c r="F121" s="46"/>
      <c r="G121" s="41"/>
      <c r="H121" s="41"/>
      <c r="I121" s="42">
        <v>46090</v>
      </c>
      <c r="J121"/>
    </row>
    <row r="122" spans="1:10" x14ac:dyDescent="0.25">
      <c r="A122">
        <v>500997</v>
      </c>
      <c r="B122" s="39" t="str">
        <f>IFERROR(VLOOKUP(A122,CLIENTES!A:E,2,0),"CADASTRAR CLIENTE")</f>
        <v>CLINICA MED MAIS LTDA</v>
      </c>
      <c r="C122" s="39"/>
      <c r="D122" s="40">
        <v>92467</v>
      </c>
      <c r="E122" s="44">
        <v>1013.75</v>
      </c>
      <c r="F122" s="46"/>
      <c r="G122" s="41"/>
      <c r="H122" s="41"/>
      <c r="I122" s="42">
        <v>46090</v>
      </c>
      <c r="J122"/>
    </row>
    <row r="123" spans="1:10" x14ac:dyDescent="0.25">
      <c r="A123">
        <v>500997</v>
      </c>
      <c r="B123" s="39" t="str">
        <f>IFERROR(VLOOKUP(A123,CLIENTES!A:E,2,0),"CADASTRAR CLIENTE")</f>
        <v>CLINICA MED MAIS LTDA</v>
      </c>
      <c r="C123" s="39"/>
      <c r="D123" s="40">
        <v>92468</v>
      </c>
      <c r="E123" s="44">
        <v>87</v>
      </c>
      <c r="F123" s="46"/>
      <c r="G123" s="41"/>
      <c r="H123" s="41"/>
      <c r="I123" s="42">
        <v>46090</v>
      </c>
      <c r="J123"/>
    </row>
    <row r="124" spans="1:10" x14ac:dyDescent="0.25">
      <c r="A124">
        <v>456</v>
      </c>
      <c r="B124" s="39" t="str">
        <f>IFERROR(VLOOKUP(A124,CLIENTES!A:E,2,0),"CADASTRAR CLIENTE")</f>
        <v>FUNDACAO HOSPITALAR NOSSA SENHORA DE LOURDES</v>
      </c>
      <c r="C124" s="39"/>
      <c r="D124" s="40">
        <v>92476</v>
      </c>
      <c r="E124" s="44">
        <v>1293.45</v>
      </c>
      <c r="F124" s="46"/>
      <c r="G124" s="41"/>
      <c r="H124" s="41"/>
      <c r="I124" s="42">
        <v>46090</v>
      </c>
      <c r="J124"/>
    </row>
    <row r="125" spans="1:10" x14ac:dyDescent="0.25">
      <c r="A125">
        <v>456</v>
      </c>
      <c r="B125" s="39" t="str">
        <f>IFERROR(VLOOKUP(A125,CLIENTES!A:E,2,0),"CADASTRAR CLIENTE")</f>
        <v>FUNDACAO HOSPITALAR NOSSA SENHORA DE LOURDES</v>
      </c>
      <c r="C125" s="39"/>
      <c r="D125" s="40">
        <v>92477</v>
      </c>
      <c r="E125" s="44">
        <v>559</v>
      </c>
      <c r="F125" s="46"/>
      <c r="G125" s="41"/>
      <c r="H125" s="41"/>
      <c r="I125" s="42">
        <v>46090</v>
      </c>
      <c r="J125"/>
    </row>
    <row r="126" spans="1:10" x14ac:dyDescent="0.25">
      <c r="A126">
        <v>1147</v>
      </c>
      <c r="B126" s="39" t="str">
        <f>IFERROR(VLOOKUP(A126,CLIENTES!A:E,2,0),"CADASTRAR CLIENTE")</f>
        <v>LABORPATAS LABORATORIO VETERINARIO LTDA</v>
      </c>
      <c r="C126" s="39"/>
      <c r="D126" s="40">
        <v>92472</v>
      </c>
      <c r="E126" s="44">
        <v>695.6</v>
      </c>
      <c r="F126" s="46"/>
      <c r="G126" s="41"/>
      <c r="H126" s="41"/>
      <c r="I126" s="42">
        <v>46090</v>
      </c>
      <c r="J126"/>
    </row>
    <row r="127" spans="1:10" x14ac:dyDescent="0.25">
      <c r="A127">
        <v>1147</v>
      </c>
      <c r="B127" s="39" t="str">
        <f>IFERROR(VLOOKUP(A127,CLIENTES!A:E,2,0),"CADASTRAR CLIENTE")</f>
        <v>LABORPATAS LABORATORIO VETERINARIO LTDA</v>
      </c>
      <c r="C127" s="39"/>
      <c r="D127" s="40">
        <v>92473</v>
      </c>
      <c r="E127" s="44">
        <v>270.10000000000002</v>
      </c>
      <c r="F127" s="46"/>
      <c r="G127" s="41"/>
      <c r="H127" s="41"/>
      <c r="I127" s="42">
        <v>46090</v>
      </c>
      <c r="J127"/>
    </row>
    <row r="128" spans="1:10" x14ac:dyDescent="0.25">
      <c r="A128">
        <v>500997</v>
      </c>
      <c r="B128" s="39" t="str">
        <f>IFERROR(VLOOKUP(A128,CLIENTES!A:E,2,0),"CADASTRAR CLIENTE")</f>
        <v>CLINICA MED MAIS LTDA</v>
      </c>
      <c r="C128" s="39"/>
      <c r="D128" s="40">
        <v>92548</v>
      </c>
      <c r="E128" s="44">
        <v>166</v>
      </c>
      <c r="F128" s="46"/>
      <c r="G128" s="41"/>
      <c r="H128" s="41"/>
      <c r="I128" s="42">
        <v>46091</v>
      </c>
      <c r="J128"/>
    </row>
    <row r="129" spans="1:10" x14ac:dyDescent="0.25">
      <c r="A129">
        <v>1010</v>
      </c>
      <c r="B129" s="39" t="str">
        <f>IFERROR(VLOOKUP(A129,CLIENTES!A:E,2,0),"CADASTRAR CLIENTE")</f>
        <v>LABORATORIO SAO MARCOS DE ANALISES CLINICAS LTDA.</v>
      </c>
      <c r="C129" s="39"/>
      <c r="D129" s="40">
        <v>92547</v>
      </c>
      <c r="E129" s="44">
        <v>7624.1</v>
      </c>
      <c r="F129" s="46"/>
      <c r="G129" s="41"/>
      <c r="H129" s="41"/>
      <c r="I129" s="42">
        <v>46091</v>
      </c>
      <c r="J129"/>
    </row>
    <row r="130" spans="1:10" x14ac:dyDescent="0.25">
      <c r="A130">
        <v>977</v>
      </c>
      <c r="B130" s="39" t="str">
        <f>IFERROR(VLOOKUP(A130,CLIENTES!A:E,2,0),"CADASTRAR CLIENTE")</f>
        <v>LAFROIS LABORATORIO DE ANALISES CLINICAS LTDA</v>
      </c>
      <c r="C130" s="39"/>
      <c r="D130" s="40">
        <v>92550</v>
      </c>
      <c r="E130" s="44">
        <v>1777.4</v>
      </c>
      <c r="F130" s="46"/>
      <c r="G130" s="41"/>
      <c r="H130" s="41"/>
      <c r="I130" s="42">
        <v>46091</v>
      </c>
      <c r="J130"/>
    </row>
    <row r="131" spans="1:10" x14ac:dyDescent="0.25">
      <c r="A131">
        <v>500379</v>
      </c>
      <c r="B131" s="39" t="str">
        <f>IFERROR(VLOOKUP(A131,CLIENTES!A:E,2,0),"CADASTRAR CLIENTE")</f>
        <v>SAMEDIL - SERVICOS DE ATENDIMENTO MEDICO S/A</v>
      </c>
      <c r="C131" s="39"/>
      <c r="D131" s="40">
        <v>92533</v>
      </c>
      <c r="E131" s="44">
        <v>275</v>
      </c>
      <c r="F131" s="46"/>
      <c r="G131" s="41"/>
      <c r="H131" s="41"/>
      <c r="I131" s="42">
        <v>46091</v>
      </c>
      <c r="J131"/>
    </row>
    <row r="132" spans="1:10" x14ac:dyDescent="0.25">
      <c r="A132">
        <v>500904</v>
      </c>
      <c r="B132" s="39" t="str">
        <f>IFERROR(VLOOKUP(A132,CLIENTES!A:E,2,0),"CADASTRAR CLIENTE")</f>
        <v>DUAL VET CLINICA VETERINARIA LTDA</v>
      </c>
      <c r="C132" s="39"/>
      <c r="D132" s="40">
        <v>92569</v>
      </c>
      <c r="E132" s="44">
        <v>294</v>
      </c>
      <c r="F132" s="46"/>
      <c r="G132" s="41"/>
      <c r="H132" s="41"/>
      <c r="I132" s="42">
        <v>46092</v>
      </c>
      <c r="J132"/>
    </row>
    <row r="133" spans="1:10" x14ac:dyDescent="0.25">
      <c r="A133">
        <v>6</v>
      </c>
      <c r="B133" s="39" t="str">
        <f>IFERROR(VLOOKUP(A133,CLIENTES!A:E,2,0),"CADASTRAR CLIENTE")</f>
        <v>LABORATORIO DE ANALISES CLINICAS QUIEZIE &amp; QUIEZIE LTDA-EPP</v>
      </c>
      <c r="C133" s="39"/>
      <c r="D133" s="40">
        <v>92574</v>
      </c>
      <c r="E133" s="44">
        <v>705.4</v>
      </c>
      <c r="F133" s="46"/>
      <c r="G133" s="41"/>
      <c r="H133" s="41"/>
      <c r="I133" s="42">
        <v>46092</v>
      </c>
      <c r="J133"/>
    </row>
    <row r="134" spans="1:10" x14ac:dyDescent="0.25">
      <c r="A134">
        <v>1981</v>
      </c>
      <c r="B134" s="39" t="str">
        <f>IFERROR(VLOOKUP(A134,CLIENTES!A:E,2,0),"CADASTRAR CLIENTE")</f>
        <v>CASA DE CARIDADE DE OURO FINO</v>
      </c>
      <c r="C134" s="39"/>
      <c r="D134" s="40">
        <v>92613</v>
      </c>
      <c r="E134" s="44">
        <v>97.5</v>
      </c>
      <c r="F134" s="46"/>
      <c r="G134" s="41"/>
      <c r="H134" s="41"/>
      <c r="I134" s="42">
        <v>46093</v>
      </c>
      <c r="J134"/>
    </row>
    <row r="135" spans="1:10" x14ac:dyDescent="0.25">
      <c r="A135">
        <v>2367</v>
      </c>
      <c r="B135" s="39" t="str">
        <f>IFERROR(VLOOKUP(A135,CLIENTES!A:E,2,0),"CADASTRAR CLIENTE")</f>
        <v>EDNAIDE DA COSTA MARCONDES LABORAT. ME</v>
      </c>
      <c r="C135" s="39"/>
      <c r="D135" s="40">
        <v>92631</v>
      </c>
      <c r="E135" s="44">
        <v>445</v>
      </c>
      <c r="F135" s="46"/>
      <c r="G135" s="41"/>
      <c r="H135" s="41"/>
      <c r="I135" s="42">
        <v>46093</v>
      </c>
      <c r="J135"/>
    </row>
    <row r="136" spans="1:10" x14ac:dyDescent="0.25">
      <c r="A136">
        <v>1849</v>
      </c>
      <c r="B136" s="39" t="str">
        <f>IFERROR(VLOOKUP(A136,CLIENTES!A:E,2,0),"CADASTRAR CLIENTE")</f>
        <v>HOSPITAL REGIONAL DO SUL DE MINAS</v>
      </c>
      <c r="C136" s="39"/>
      <c r="D136" s="40">
        <v>92626</v>
      </c>
      <c r="E136" s="44">
        <v>406</v>
      </c>
      <c r="F136" s="46"/>
      <c r="G136" s="41"/>
      <c r="H136" s="41"/>
      <c r="I136" s="42">
        <v>46093</v>
      </c>
      <c r="J136"/>
    </row>
    <row r="137" spans="1:10" x14ac:dyDescent="0.25">
      <c r="A137">
        <v>500361</v>
      </c>
      <c r="B137" s="39" t="str">
        <f>IFERROR(VLOOKUP(A137,CLIENTES!A:E,2,0),"CADASTRAR CLIENTE")</f>
        <v>SANTA CASA DE MISER DA IRSENHOR DOS PASSOS DE UBATUBA</v>
      </c>
      <c r="C137" s="39"/>
      <c r="D137" s="40">
        <v>92618</v>
      </c>
      <c r="E137" s="44">
        <v>1890</v>
      </c>
      <c r="F137" s="46"/>
      <c r="G137" s="41"/>
      <c r="H137" s="41"/>
      <c r="I137" s="42">
        <v>46093</v>
      </c>
      <c r="J137"/>
    </row>
    <row r="138" spans="1:10" x14ac:dyDescent="0.25">
      <c r="A138">
        <v>923</v>
      </c>
      <c r="B138" s="39" t="str">
        <f>IFERROR(VLOOKUP(A138,CLIENTES!A:E,2,0),"CADASTRAR CLIENTE")</f>
        <v>STA. CASA MISERICORDIA DE AVARE</v>
      </c>
      <c r="C138" s="39"/>
      <c r="D138" s="40">
        <v>92617</v>
      </c>
      <c r="E138" s="44">
        <v>356</v>
      </c>
      <c r="F138" s="46"/>
      <c r="G138" s="41"/>
      <c r="H138" s="41"/>
      <c r="I138" s="42">
        <v>46093</v>
      </c>
      <c r="J138"/>
    </row>
    <row r="139" spans="1:10" x14ac:dyDescent="0.25">
      <c r="A139">
        <v>842</v>
      </c>
      <c r="B139" s="39" t="str">
        <f>IFERROR(VLOOKUP(A139,CLIENTES!A:E,2,0),"CADASTRAR CLIENTE")</f>
        <v>LABORATORIO HEMOPACLI  SC LTDA</v>
      </c>
      <c r="C139" s="39"/>
      <c r="D139" s="40">
        <v>92669</v>
      </c>
      <c r="E139" s="44">
        <v>562.04999999999995</v>
      </c>
      <c r="F139" s="46"/>
      <c r="G139" s="41"/>
      <c r="H139" s="41"/>
      <c r="I139" s="42">
        <v>46094</v>
      </c>
      <c r="J139"/>
    </row>
    <row r="140" spans="1:10" x14ac:dyDescent="0.25">
      <c r="A140">
        <v>1770</v>
      </c>
      <c r="B140" s="39" t="str">
        <f>IFERROR(VLOOKUP(A140,CLIENTES!A:E,2,0),"CADASTRAR CLIENTE")</f>
        <v>VITALABOR LABORATORIO DE ANALISES CLINICAS S/C LTDA</v>
      </c>
      <c r="C140" s="39"/>
      <c r="D140" s="40">
        <v>92684</v>
      </c>
      <c r="E140" s="44">
        <v>665</v>
      </c>
      <c r="F140" s="46"/>
      <c r="G140" s="41"/>
      <c r="H140" s="41"/>
      <c r="I140" s="42">
        <v>46094</v>
      </c>
      <c r="J140"/>
    </row>
    <row r="141" spans="1:10" x14ac:dyDescent="0.25">
      <c r="A141">
        <v>1378</v>
      </c>
      <c r="B141" s="39" t="str">
        <f>IFERROR(VLOOKUP(A141,CLIENTES!A:E,2,0),"CADASTRAR CLIENTE")</f>
        <v>ASS.CARIDADE DA SANTA CASA MISERIC.DE ASSIS</v>
      </c>
      <c r="C141" s="39"/>
      <c r="D141" s="40">
        <v>92704</v>
      </c>
      <c r="E141" s="44">
        <v>85</v>
      </c>
      <c r="F141" s="46"/>
      <c r="G141" s="41"/>
      <c r="H141" s="41"/>
      <c r="I141" s="42">
        <v>46097</v>
      </c>
      <c r="J141"/>
    </row>
    <row r="142" spans="1:10" x14ac:dyDescent="0.25">
      <c r="A142">
        <v>500598</v>
      </c>
      <c r="B142" s="39" t="str">
        <f>IFERROR(VLOOKUP(A142,CLIENTES!A:E,2,0),"CADASTRAR CLIENTE")</f>
        <v>FUNDACAO DE ASSISTENCIA SOCIAL DE JANAUBA</v>
      </c>
      <c r="C142" s="39"/>
      <c r="D142" s="40">
        <v>92693</v>
      </c>
      <c r="E142" s="44">
        <v>770.5</v>
      </c>
      <c r="F142" s="46"/>
      <c r="G142" s="41"/>
      <c r="H142" s="41"/>
      <c r="I142" s="42">
        <v>46097</v>
      </c>
      <c r="J142"/>
    </row>
    <row r="143" spans="1:10" x14ac:dyDescent="0.25">
      <c r="A143">
        <v>501005</v>
      </c>
      <c r="B143" s="39" t="str">
        <f>IFERROR(VLOOKUP(A143,CLIENTES!A:E,2,0),"CADASTRAR CLIENTE")</f>
        <v>INSTITUTO DE RESPONSABILIDADE SOCIAL SIRIO LIBANES</v>
      </c>
      <c r="C143" s="39"/>
      <c r="D143" s="40">
        <v>92692</v>
      </c>
      <c r="E143" s="44">
        <v>319</v>
      </c>
      <c r="F143" s="46"/>
      <c r="G143" s="41"/>
      <c r="H143" s="41"/>
      <c r="I143" s="42">
        <v>46097</v>
      </c>
      <c r="J143"/>
    </row>
    <row r="144" spans="1:10" x14ac:dyDescent="0.25">
      <c r="A144">
        <v>500367</v>
      </c>
      <c r="B144" s="39" t="str">
        <f>IFERROR(VLOOKUP(A144,CLIENTES!A:E,2,0),"CADASTRAR CLIENTE")</f>
        <v>PRO SCIENCE SAUDE ANIMAL LTDA</v>
      </c>
      <c r="C144" s="39"/>
      <c r="D144" s="40">
        <v>92695</v>
      </c>
      <c r="E144" s="44">
        <v>394.6</v>
      </c>
      <c r="F144" s="46"/>
      <c r="G144" s="41"/>
      <c r="H144" s="41"/>
      <c r="I144" s="42">
        <v>46097</v>
      </c>
      <c r="J144"/>
    </row>
    <row r="145" spans="1:10" x14ac:dyDescent="0.25">
      <c r="A145">
        <v>3120</v>
      </c>
      <c r="B145" s="39" t="str">
        <f>IFERROR(VLOOKUP(A145,CLIENTES!A:E,2,0),"CADASTRAR CLIENTE")</f>
        <v>VANDERLEI SALVADOR BAGNATO</v>
      </c>
      <c r="C145" s="39"/>
      <c r="D145" s="40">
        <v>92697</v>
      </c>
      <c r="E145" s="44">
        <v>912</v>
      </c>
      <c r="F145" s="46"/>
      <c r="G145" s="41"/>
      <c r="H145" s="41"/>
      <c r="I145" s="42">
        <v>46097</v>
      </c>
      <c r="J145"/>
    </row>
    <row r="146" spans="1:10" x14ac:dyDescent="0.25">
      <c r="A146">
        <v>500520</v>
      </c>
      <c r="B146" s="39" t="str">
        <f>IFERROR(VLOOKUP(A146,CLIENTES!A:E,2,0),"CADASTRAR CLIENTE")</f>
        <v>HOSPITAL LEONARDO DA VINCI LTDA</v>
      </c>
      <c r="C146" s="39"/>
      <c r="D146" s="40">
        <v>92762</v>
      </c>
      <c r="E146" s="44">
        <v>104.25</v>
      </c>
      <c r="F146" s="46"/>
      <c r="G146" s="41"/>
      <c r="H146" s="41"/>
      <c r="I146" s="42">
        <v>46098</v>
      </c>
      <c r="J146"/>
    </row>
    <row r="147" spans="1:10" x14ac:dyDescent="0.25">
      <c r="A147">
        <v>50137</v>
      </c>
      <c r="B147" s="39" t="str">
        <f>IFERROR(VLOOKUP(A147,CLIENTES!A:E,2,0),"CADASTRAR CLIENTE")</f>
        <v>I.S.B.J.P DA STA CASA DE MISER. DE BRAG. PAULISTA</v>
      </c>
      <c r="C147" s="39"/>
      <c r="D147" s="40">
        <v>92754</v>
      </c>
      <c r="E147" s="44">
        <v>254.3</v>
      </c>
      <c r="F147" s="46"/>
      <c r="G147" s="41"/>
      <c r="H147" s="41"/>
      <c r="I147" s="42">
        <v>46098</v>
      </c>
      <c r="J147"/>
    </row>
    <row r="148" spans="1:10" x14ac:dyDescent="0.25">
      <c r="A148">
        <v>50137</v>
      </c>
      <c r="B148" s="39" t="str">
        <f>IFERROR(VLOOKUP(A148,CLIENTES!A:E,2,0),"CADASTRAR CLIENTE")</f>
        <v>I.S.B.J.P DA STA CASA DE MISER. DE BRAG. PAULISTA</v>
      </c>
      <c r="C148" s="39"/>
      <c r="D148" s="40">
        <v>92755</v>
      </c>
      <c r="E148" s="44">
        <v>200.6</v>
      </c>
      <c r="F148" s="46"/>
      <c r="G148" s="41"/>
      <c r="H148" s="41"/>
      <c r="I148" s="42">
        <v>46098</v>
      </c>
      <c r="J148"/>
    </row>
    <row r="149" spans="1:10" x14ac:dyDescent="0.25">
      <c r="A149">
        <v>3327</v>
      </c>
      <c r="B149" s="39" t="str">
        <f>IFERROR(VLOOKUP(A149,CLIENTES!A:E,2,0),"CADASTRAR CLIENTE")</f>
        <v>IRMANDADE SAO JOSE DE NOVO HORIZONTE</v>
      </c>
      <c r="C149" s="39"/>
      <c r="D149" s="40">
        <v>92757</v>
      </c>
      <c r="E149" s="44">
        <v>1038</v>
      </c>
      <c r="F149" s="46"/>
      <c r="G149" s="41"/>
      <c r="H149" s="41"/>
      <c r="I149" s="42">
        <v>46098</v>
      </c>
      <c r="J149"/>
    </row>
    <row r="150" spans="1:10" x14ac:dyDescent="0.25">
      <c r="A150">
        <v>3327</v>
      </c>
      <c r="B150" s="39" t="str">
        <f>IFERROR(VLOOKUP(A150,CLIENTES!A:E,2,0),"CADASTRAR CLIENTE")</f>
        <v>IRMANDADE SAO JOSE DE NOVO HORIZONTE</v>
      </c>
      <c r="C150" s="39"/>
      <c r="D150" s="40">
        <v>92758</v>
      </c>
      <c r="E150" s="44">
        <v>415</v>
      </c>
      <c r="F150" s="46"/>
      <c r="G150" s="41"/>
      <c r="H150" s="41"/>
      <c r="I150" s="42">
        <v>46098</v>
      </c>
      <c r="J150"/>
    </row>
    <row r="151" spans="1:10" x14ac:dyDescent="0.25">
      <c r="A151">
        <v>101</v>
      </c>
      <c r="B151" s="39" t="str">
        <f>IFERROR(VLOOKUP(A151,CLIENTES!A:E,2,0),"CADASTRAR CLIENTE")</f>
        <v>LABORATORIO MEDICO ESPECIALIZADO LTDA</v>
      </c>
      <c r="C151" s="39"/>
      <c r="D151" s="40">
        <v>92781</v>
      </c>
      <c r="E151" s="44">
        <v>1435.4</v>
      </c>
      <c r="F151" s="46"/>
      <c r="G151" s="41"/>
      <c r="H151" s="41"/>
      <c r="I151" s="42">
        <v>46098</v>
      </c>
      <c r="J151"/>
    </row>
    <row r="152" spans="1:10" x14ac:dyDescent="0.25">
      <c r="A152">
        <v>500391</v>
      </c>
      <c r="B152" s="39" t="str">
        <f>IFERROR(VLOOKUP(A152,CLIENTES!A:E,2,0),"CADASTRAR CLIENTE")</f>
        <v>TCS - LABORATORIO DE PATOLOGIA CLINICA VETERINARIA LTDA</v>
      </c>
      <c r="C152" s="39"/>
      <c r="D152" s="40">
        <v>92775</v>
      </c>
      <c r="E152" s="44">
        <v>870.7</v>
      </c>
      <c r="F152" s="46"/>
      <c r="G152" s="41"/>
      <c r="H152" s="41"/>
      <c r="I152" s="42">
        <v>46098</v>
      </c>
      <c r="J152"/>
    </row>
    <row r="153" spans="1:10" x14ac:dyDescent="0.25">
      <c r="A153">
        <v>500972</v>
      </c>
      <c r="B153" s="39" t="str">
        <f>IFERROR(VLOOKUP(A153,CLIENTES!A:E,2,0),"CADASTRAR CLIENTE")</f>
        <v>A3Q LABORATORIOS LTDA</v>
      </c>
      <c r="C153" s="39"/>
      <c r="D153" s="40">
        <v>94342</v>
      </c>
      <c r="E153" s="44">
        <v>225</v>
      </c>
      <c r="F153" s="46"/>
      <c r="G153" s="41"/>
      <c r="H153" s="41"/>
      <c r="I153" s="42">
        <v>46099</v>
      </c>
      <c r="J153"/>
    </row>
    <row r="154" spans="1:10" x14ac:dyDescent="0.25">
      <c r="A154">
        <v>2059</v>
      </c>
      <c r="B154" s="39" t="str">
        <f>IFERROR(VLOOKUP(A154,CLIENTES!A:E,2,0),"CADASTRAR CLIENTE")</f>
        <v>GENESIS DIAGNOSTICA &amp; CIENTIFICA LTDA ME</v>
      </c>
      <c r="C154" s="39"/>
      <c r="D154" s="40">
        <v>92809</v>
      </c>
      <c r="E154" s="44">
        <v>2150.9</v>
      </c>
      <c r="F154" s="46"/>
      <c r="G154" s="41"/>
      <c r="H154" s="41"/>
      <c r="I154" s="42">
        <v>46099</v>
      </c>
      <c r="J154"/>
    </row>
    <row r="155" spans="1:10" x14ac:dyDescent="0.25">
      <c r="A155">
        <v>500858</v>
      </c>
      <c r="B155" s="39" t="str">
        <f>IFERROR(VLOOKUP(A155,CLIENTES!A:E,2,0),"CADASTRAR CLIENTE")</f>
        <v>IMLAB VETERINARIA LTDA</v>
      </c>
      <c r="C155" s="39"/>
      <c r="D155" s="40">
        <v>92801</v>
      </c>
      <c r="E155" s="44">
        <v>289</v>
      </c>
      <c r="F155" s="46"/>
      <c r="G155" s="41"/>
      <c r="H155" s="41"/>
      <c r="I155" s="42">
        <v>46099</v>
      </c>
      <c r="J155"/>
    </row>
    <row r="156" spans="1:10" x14ac:dyDescent="0.25">
      <c r="A156">
        <v>50955</v>
      </c>
      <c r="B156" s="39" t="str">
        <f>IFERROR(VLOOKUP(A156,CLIENTES!A:E,2,0),"CADASTRAR CLIENTE")</f>
        <v>LACAP LABORATORIO DE ANALISES CLINICAS LTDA</v>
      </c>
      <c r="C156" s="39"/>
      <c r="D156" s="40">
        <v>92804</v>
      </c>
      <c r="E156" s="44">
        <v>1496.9</v>
      </c>
      <c r="F156" s="46"/>
      <c r="G156" s="41"/>
      <c r="H156" s="41"/>
      <c r="I156" s="42">
        <v>46099</v>
      </c>
      <c r="J156"/>
    </row>
    <row r="157" spans="1:10" x14ac:dyDescent="0.25">
      <c r="A157">
        <v>2865</v>
      </c>
      <c r="B157" s="39" t="str">
        <f>IFERROR(VLOOKUP(A157,CLIENTES!A:E,2,0),"CADASTRAR CLIENTE")</f>
        <v>LABORATORIO DE ANALISES CLINICAS BARUK LTDA</v>
      </c>
      <c r="C157" s="39"/>
      <c r="D157" s="40">
        <v>92881</v>
      </c>
      <c r="E157" s="44">
        <v>2498.04</v>
      </c>
      <c r="F157" s="46"/>
      <c r="G157" s="41"/>
      <c r="H157" s="41"/>
      <c r="I157" s="42">
        <v>46100</v>
      </c>
      <c r="J157"/>
    </row>
    <row r="158" spans="1:10" x14ac:dyDescent="0.25">
      <c r="A158">
        <v>50590</v>
      </c>
      <c r="B158" s="39" t="str">
        <f>IFERROR(VLOOKUP(A158,CLIENTES!A:E,2,0),"CADASTRAR CLIENTE")</f>
        <v>LABORATORIO DE ANALISES CLINICAS ADOLFO LTDA ME</v>
      </c>
      <c r="C158" s="39"/>
      <c r="D158" s="40">
        <v>92927</v>
      </c>
      <c r="E158" s="44">
        <v>1668.8</v>
      </c>
      <c r="F158" s="46"/>
      <c r="G158" s="41"/>
      <c r="H158" s="41"/>
      <c r="I158" s="42">
        <v>46101</v>
      </c>
      <c r="J158"/>
    </row>
    <row r="159" spans="1:10" x14ac:dyDescent="0.25">
      <c r="A159">
        <v>500624</v>
      </c>
      <c r="B159" s="39" t="str">
        <f>IFERROR(VLOOKUP(A159,CLIENTES!A:E,2,0),"CADASTRAR CLIENTE")</f>
        <v xml:space="preserve">MEDICAL CENTER DIAGNOSE </v>
      </c>
      <c r="C159" s="39"/>
      <c r="D159" s="40">
        <v>92896</v>
      </c>
      <c r="E159" s="44">
        <v>39.9</v>
      </c>
      <c r="F159" s="46"/>
      <c r="G159" s="41"/>
      <c r="H159" s="41"/>
      <c r="I159" s="42">
        <v>46101</v>
      </c>
      <c r="J159"/>
    </row>
    <row r="160" spans="1:10" x14ac:dyDescent="0.25">
      <c r="A160">
        <v>500411</v>
      </c>
      <c r="B160" s="39" t="str">
        <f>IFERROR(VLOOKUP(A160,CLIENTES!A:E,2,0),"CADASTRAR CLIENTE")</f>
        <v>FUNDACAO HOSPITALAR DR. MOISES MAGALHAES FREIRE</v>
      </c>
      <c r="C160" s="39"/>
      <c r="D160" s="40">
        <v>92946</v>
      </c>
      <c r="E160" s="44">
        <v>2276.1</v>
      </c>
      <c r="F160" s="46"/>
      <c r="G160" s="41"/>
      <c r="H160" s="41"/>
      <c r="I160" s="42">
        <v>46104</v>
      </c>
      <c r="J160"/>
    </row>
    <row r="161" spans="1:10" x14ac:dyDescent="0.25">
      <c r="A161">
        <v>758</v>
      </c>
      <c r="B161" s="39" t="str">
        <f>IFERROR(VLOOKUP(A161,CLIENTES!A:E,2,0),"CADASTRAR CLIENTE")</f>
        <v>IRMANDADE DA SANTA CASA DE ANDRADINA</v>
      </c>
      <c r="C161" s="39"/>
      <c r="D161" s="40">
        <v>92947</v>
      </c>
      <c r="E161" s="44">
        <v>2631.6</v>
      </c>
      <c r="F161" s="46"/>
      <c r="G161" s="41"/>
      <c r="H161" s="41"/>
      <c r="I161" s="42">
        <v>46104</v>
      </c>
      <c r="J161"/>
    </row>
    <row r="162" spans="1:10" x14ac:dyDescent="0.25">
      <c r="A162">
        <v>3327</v>
      </c>
      <c r="B162" s="39" t="str">
        <f>IFERROR(VLOOKUP(A162,CLIENTES!A:E,2,0),"CADASTRAR CLIENTE")</f>
        <v>IRMANDADE SAO JOSE DE NOVO HORIZONTE</v>
      </c>
      <c r="C162" s="39"/>
      <c r="D162" s="40">
        <v>93010</v>
      </c>
      <c r="E162" s="44">
        <v>260</v>
      </c>
      <c r="F162" s="46"/>
      <c r="G162" s="41"/>
      <c r="H162" s="41"/>
      <c r="I162" s="42">
        <v>46105</v>
      </c>
      <c r="J162"/>
    </row>
    <row r="163" spans="1:10" x14ac:dyDescent="0.25">
      <c r="A163">
        <v>500984</v>
      </c>
      <c r="B163" s="39" t="str">
        <f>IFERROR(VLOOKUP(A163,CLIENTES!A:E,2,0),"CADASTRAR CLIENTE")</f>
        <v>J. L. SAUDE - ASSISTENCIA MEDICA LTDA</v>
      </c>
      <c r="C163" s="39"/>
      <c r="D163" s="40">
        <v>92997</v>
      </c>
      <c r="E163" s="44">
        <v>519</v>
      </c>
      <c r="F163" s="46"/>
      <c r="G163" s="41"/>
      <c r="H163" s="41"/>
      <c r="I163" s="42">
        <v>46105</v>
      </c>
      <c r="J163"/>
    </row>
    <row r="164" spans="1:10" x14ac:dyDescent="0.25">
      <c r="A164">
        <v>1147</v>
      </c>
      <c r="B164" s="39" t="str">
        <f>IFERROR(VLOOKUP(A164,CLIENTES!A:E,2,0),"CADASTRAR CLIENTE")</f>
        <v>LABORPATAS LABORATORIO VETERINARIO LTDA</v>
      </c>
      <c r="C164" s="39"/>
      <c r="D164" s="40">
        <v>92995</v>
      </c>
      <c r="E164" s="44">
        <v>249.5</v>
      </c>
      <c r="F164" s="46"/>
      <c r="G164" s="41"/>
      <c r="H164" s="41"/>
      <c r="I164" s="42">
        <v>46105</v>
      </c>
      <c r="J164"/>
    </row>
    <row r="165" spans="1:10" x14ac:dyDescent="0.25">
      <c r="A165">
        <v>592</v>
      </c>
      <c r="B165" s="39" t="str">
        <f>IFERROR(VLOOKUP(A165,CLIENTES!A:E,2,0),"CADASTRAR CLIENTE")</f>
        <v>PINDORAMA LABORATORIO DE ANALISES CLINICAS LTDA ME</v>
      </c>
      <c r="C165" s="39"/>
      <c r="D165" s="40">
        <v>93018</v>
      </c>
      <c r="E165" s="44">
        <v>845.9</v>
      </c>
      <c r="F165" s="46"/>
      <c r="G165" s="41"/>
      <c r="H165" s="41"/>
      <c r="I165" s="42">
        <v>46105</v>
      </c>
      <c r="J165"/>
    </row>
    <row r="166" spans="1:10" x14ac:dyDescent="0.25">
      <c r="A166">
        <v>1378</v>
      </c>
      <c r="B166" s="39" t="str">
        <f>IFERROR(VLOOKUP(A166,CLIENTES!A:E,2,0),"CADASTRAR CLIENTE")</f>
        <v>ASS.CARIDADE DA SANTA CASA MISERIC.DE ASSIS</v>
      </c>
      <c r="C166" s="39"/>
      <c r="D166" s="40">
        <v>93059</v>
      </c>
      <c r="E166" s="44">
        <v>1649.3</v>
      </c>
      <c r="F166" s="46"/>
      <c r="G166" s="41"/>
      <c r="H166" s="41"/>
      <c r="I166" s="42">
        <v>46106</v>
      </c>
      <c r="J166"/>
    </row>
    <row r="167" spans="1:10" x14ac:dyDescent="0.25">
      <c r="A167">
        <v>500641</v>
      </c>
      <c r="B167" s="39" t="str">
        <f>IFERROR(VLOOKUP(A167,CLIENTES!A:E,2,0),"CADASTRAR CLIENTE")</f>
        <v>VEROS HOSPITAL VETERINARIO LTDA.</v>
      </c>
      <c r="C167" s="39"/>
      <c r="D167" s="40">
        <v>93035</v>
      </c>
      <c r="E167" s="44">
        <v>4549.6000000000004</v>
      </c>
      <c r="F167" s="46"/>
      <c r="G167" s="41"/>
      <c r="H167" s="41"/>
      <c r="I167" s="42">
        <v>46106</v>
      </c>
      <c r="J167"/>
    </row>
    <row r="168" spans="1:10" x14ac:dyDescent="0.25">
      <c r="A168">
        <v>758</v>
      </c>
      <c r="B168" s="39" t="str">
        <f>IFERROR(VLOOKUP(A168,CLIENTES!A:E,2,0),"CADASTRAR CLIENTE")</f>
        <v>IRMANDADE DA SANTA CASA DE ANDRADINA</v>
      </c>
      <c r="C168" s="39"/>
      <c r="D168" s="40">
        <v>93119</v>
      </c>
      <c r="E168" s="44">
        <v>420</v>
      </c>
      <c r="F168" s="46"/>
      <c r="G168" s="41"/>
      <c r="H168" s="41"/>
      <c r="I168" s="42">
        <v>46107</v>
      </c>
      <c r="J168"/>
    </row>
    <row r="169" spans="1:10" x14ac:dyDescent="0.25">
      <c r="A169">
        <v>50415</v>
      </c>
      <c r="B169" s="39" t="str">
        <f>IFERROR(VLOOKUP(A169,CLIENTES!A:E,2,0),"CADASTRAR CLIENTE")</f>
        <v>SPDM- ASSOCIAÇAO PAULISTA PARA O DESENV DA MEDICINA</v>
      </c>
      <c r="C169" s="39"/>
      <c r="D169" s="40">
        <v>93117</v>
      </c>
      <c r="E169" s="44">
        <v>3228.3</v>
      </c>
      <c r="F169" s="46"/>
      <c r="G169" s="41"/>
      <c r="H169" s="41"/>
      <c r="I169" s="42">
        <v>46107</v>
      </c>
      <c r="J169"/>
    </row>
    <row r="170" spans="1:10" x14ac:dyDescent="0.25">
      <c r="A170">
        <v>500419</v>
      </c>
      <c r="B170" s="39" t="str">
        <f>IFERROR(VLOOKUP(A170,CLIENTES!A:E,2,0),"CADASTRAR CLIENTE")</f>
        <v>FUNDACAO DE ASSISTENCIA ESTUDO E PESQUISA DE UBERLANDIA</v>
      </c>
      <c r="C170" s="39"/>
      <c r="D170" s="40">
        <v>93133</v>
      </c>
      <c r="E170" s="44">
        <v>17111</v>
      </c>
      <c r="F170" s="46"/>
      <c r="G170" s="41"/>
      <c r="H170" s="41"/>
      <c r="I170" s="42">
        <v>46108</v>
      </c>
      <c r="J170"/>
    </row>
    <row r="171" spans="1:10" x14ac:dyDescent="0.25">
      <c r="A171">
        <v>501019</v>
      </c>
      <c r="B171" s="39" t="str">
        <f>IFERROR(VLOOKUP(A171,CLIENTES!A:E,2,0),"CADASTRAR CLIENTE")</f>
        <v>ELAB - EXAMES LABORATORIAIS LTDA</v>
      </c>
      <c r="C171" s="39"/>
      <c r="D171" s="40">
        <v>93183</v>
      </c>
      <c r="E171" s="44">
        <v>250</v>
      </c>
      <c r="F171" s="46"/>
      <c r="G171" s="41"/>
      <c r="H171" s="41"/>
      <c r="I171" s="42">
        <v>46111</v>
      </c>
      <c r="J171"/>
    </row>
    <row r="172" spans="1:10" x14ac:dyDescent="0.25">
      <c r="A172">
        <v>2527</v>
      </c>
      <c r="B172" s="39" t="str">
        <f>IFERROR(VLOOKUP(A172,CLIENTES!A:E,2,0),"CADASTRAR CLIENTE")</f>
        <v>F &amp; N CENTRO DIAG E PATOLOGIA CLINICA VETERINARIA LTDA</v>
      </c>
      <c r="C172" s="39"/>
      <c r="D172" s="40">
        <v>93172</v>
      </c>
      <c r="E172" s="44">
        <v>238.6</v>
      </c>
      <c r="F172" s="46"/>
      <c r="G172" s="41"/>
      <c r="H172" s="41"/>
      <c r="I172" s="42">
        <v>46111</v>
      </c>
      <c r="J172"/>
    </row>
    <row r="173" spans="1:10" x14ac:dyDescent="0.25">
      <c r="A173">
        <v>500696</v>
      </c>
      <c r="B173" s="39" t="str">
        <f>IFERROR(VLOOKUP(A173,CLIENTES!A:E,2,0),"CADASTRAR CLIENTE")</f>
        <v>FUNDACAO DE ASSISTENCIA INTEGRAL A SAUDE - FAIS</v>
      </c>
      <c r="C173" s="39"/>
      <c r="D173" s="40">
        <v>93158</v>
      </c>
      <c r="E173" s="44">
        <v>626.5</v>
      </c>
      <c r="F173" s="46"/>
      <c r="G173" s="41"/>
      <c r="H173" s="41"/>
      <c r="I173" s="42">
        <v>46111</v>
      </c>
      <c r="J173"/>
    </row>
    <row r="174" spans="1:10" x14ac:dyDescent="0.25">
      <c r="A174">
        <v>893</v>
      </c>
      <c r="B174" s="39" t="str">
        <f>IFERROR(VLOOKUP(A174,CLIENTES!A:E,2,0),"CADASTRAR CLIENTE")</f>
        <v>HOSPITAL SAO FRANCISCO SC LTDA</v>
      </c>
      <c r="C174" s="39"/>
      <c r="D174" s="40">
        <v>93235</v>
      </c>
      <c r="E174" s="44">
        <v>2736.9</v>
      </c>
      <c r="F174" s="46"/>
      <c r="G174" s="41"/>
      <c r="H174" s="41"/>
      <c r="I174" s="42">
        <v>46111</v>
      </c>
      <c r="J174"/>
    </row>
    <row r="175" spans="1:10" x14ac:dyDescent="0.25">
      <c r="A175">
        <v>977</v>
      </c>
      <c r="B175" s="39" t="str">
        <f>IFERROR(VLOOKUP(A175,CLIENTES!A:E,2,0),"CADASTRAR CLIENTE")</f>
        <v>LAFROIS LABORATORIO DE ANALISES CLINICAS LTDA</v>
      </c>
      <c r="C175" s="39"/>
      <c r="D175" s="40">
        <v>93233</v>
      </c>
      <c r="E175" s="44">
        <v>565.5</v>
      </c>
      <c r="F175" s="46"/>
      <c r="G175" s="41"/>
      <c r="H175" s="41"/>
      <c r="I175" s="42">
        <v>46111</v>
      </c>
      <c r="J175"/>
    </row>
    <row r="176" spans="1:10" x14ac:dyDescent="0.25">
      <c r="A176">
        <v>977</v>
      </c>
      <c r="B176" s="39" t="str">
        <f>IFERROR(VLOOKUP(A176,CLIENTES!A:E,2,0),"CADASTRAR CLIENTE")</f>
        <v>LAFROIS LABORATORIO DE ANALISES CLINICAS LTDA</v>
      </c>
      <c r="C176" s="39"/>
      <c r="D176" s="40">
        <v>93234</v>
      </c>
      <c r="E176" s="44">
        <v>49.9</v>
      </c>
      <c r="F176" s="46"/>
      <c r="G176" s="41"/>
      <c r="H176" s="41"/>
      <c r="I176" s="42">
        <v>46111</v>
      </c>
      <c r="J176"/>
    </row>
    <row r="177" spans="1:10" x14ac:dyDescent="0.25">
      <c r="A177">
        <v>500367</v>
      </c>
      <c r="B177" s="39" t="str">
        <f>IFERROR(VLOOKUP(A177,CLIENTES!A:E,2,0),"CADASTRAR CLIENTE")</f>
        <v>PRO SCIENCE SAUDE ANIMAL LTDA</v>
      </c>
      <c r="C177" s="39"/>
      <c r="D177" s="40">
        <v>93195</v>
      </c>
      <c r="E177" s="44">
        <v>1582</v>
      </c>
      <c r="F177" s="46"/>
      <c r="G177" s="41"/>
      <c r="H177" s="41"/>
      <c r="I177" s="42">
        <v>46111</v>
      </c>
      <c r="J177"/>
    </row>
    <row r="178" spans="1:10" x14ac:dyDescent="0.25">
      <c r="A178">
        <v>3120</v>
      </c>
      <c r="B178" s="39" t="str">
        <f>IFERROR(VLOOKUP(A178,CLIENTES!A:E,2,0),"CADASTRAR CLIENTE")</f>
        <v>VANDERLEI SALVADOR BAGNATO</v>
      </c>
      <c r="C178" s="39"/>
      <c r="D178" s="40">
        <v>93169</v>
      </c>
      <c r="E178" s="44">
        <v>960</v>
      </c>
      <c r="F178" s="46"/>
      <c r="G178" s="41"/>
      <c r="H178" s="41"/>
      <c r="I178" s="42">
        <v>46111</v>
      </c>
      <c r="J178"/>
    </row>
    <row r="179" spans="1:10" x14ac:dyDescent="0.25">
      <c r="A179">
        <v>3120</v>
      </c>
      <c r="B179" s="39" t="str">
        <f>IFERROR(VLOOKUP(A179,CLIENTES!A:E,2,0),"CADASTRAR CLIENTE")</f>
        <v>VANDERLEI SALVADOR BAGNATO</v>
      </c>
      <c r="C179" s="39"/>
      <c r="D179" s="40">
        <v>93170</v>
      </c>
      <c r="E179" s="44">
        <v>86.9</v>
      </c>
      <c r="F179" s="46"/>
      <c r="G179" s="41"/>
      <c r="H179" s="41"/>
      <c r="I179" s="42">
        <v>46111</v>
      </c>
      <c r="J179"/>
    </row>
    <row r="180" spans="1:10" x14ac:dyDescent="0.25">
      <c r="A180">
        <v>500926</v>
      </c>
      <c r="B180" s="39" t="str">
        <f>IFERROR(VLOOKUP(A180,CLIENTES!A:E,2,0),"CADASTRAR CLIENTE")</f>
        <v>FUNDACAO DR. JAYME RODRIGUES</v>
      </c>
      <c r="C180" s="39"/>
      <c r="D180" s="40">
        <v>93296</v>
      </c>
      <c r="E180" s="44">
        <v>272</v>
      </c>
      <c r="F180" s="46"/>
      <c r="G180" s="41"/>
      <c r="H180" s="41"/>
      <c r="I180" s="42">
        <v>46113</v>
      </c>
      <c r="J180"/>
    </row>
    <row r="181" spans="1:10" x14ac:dyDescent="0.25">
      <c r="A181">
        <v>500448</v>
      </c>
      <c r="B181" s="39" t="str">
        <f>IFERROR(VLOOKUP(A181,CLIENTES!A:E,2,0),"CADASTRAR CLIENTE")</f>
        <v>UNIMED DE CACAPAVA COOPERATIVA DE TRABALHO MEDICO</v>
      </c>
      <c r="C181" s="39"/>
      <c r="D181" s="40">
        <v>93304</v>
      </c>
      <c r="E181" s="44">
        <v>1082.8399999999999</v>
      </c>
      <c r="F181" s="46"/>
      <c r="G181" s="41"/>
      <c r="H181" s="41"/>
      <c r="I181" s="42">
        <v>46113</v>
      </c>
      <c r="J181"/>
    </row>
    <row r="182" spans="1:10" x14ac:dyDescent="0.25">
      <c r="A182">
        <v>1486</v>
      </c>
      <c r="B182" s="39" t="str">
        <f>IFERROR(VLOOKUP(A182,CLIENTES!A:E,2,0),"CADASTRAR CLIENTE")</f>
        <v>IRMANDADE SANTA CASA DE MISER. DE LIMEIRA</v>
      </c>
      <c r="C182" s="39"/>
      <c r="D182" s="40">
        <v>93332</v>
      </c>
      <c r="E182" s="44">
        <v>4523.3999999999996</v>
      </c>
      <c r="F182" s="46"/>
      <c r="G182" s="41"/>
      <c r="H182" s="41"/>
      <c r="I182" s="42">
        <v>46114</v>
      </c>
      <c r="J182"/>
    </row>
    <row r="183" spans="1:10" x14ac:dyDescent="0.25">
      <c r="A183">
        <v>500846</v>
      </c>
      <c r="B183" s="39" t="str">
        <f>IFERROR(VLOOKUP(A183,CLIENTES!A:E,2,0),"CADASTRAR CLIENTE")</f>
        <v>LUIS PAULO FROELICH FERREIRA LTDA</v>
      </c>
      <c r="C183" s="39"/>
      <c r="D183" s="40">
        <v>93325</v>
      </c>
      <c r="E183" s="44">
        <v>165</v>
      </c>
      <c r="F183" s="46"/>
      <c r="G183" s="41"/>
      <c r="H183" s="41"/>
      <c r="I183" s="42">
        <v>46114</v>
      </c>
      <c r="J183"/>
    </row>
    <row r="184" spans="1:10" x14ac:dyDescent="0.25">
      <c r="A184">
        <v>500361</v>
      </c>
      <c r="B184" s="39" t="str">
        <f>IFERROR(VLOOKUP(A184,CLIENTES!A:E,2,0),"CADASTRAR CLIENTE")</f>
        <v>SANTA CASA DE MISER DA IRSENHOR DOS PASSOS DE UBATUBA</v>
      </c>
      <c r="C184" s="39"/>
      <c r="D184" s="40">
        <v>93333</v>
      </c>
      <c r="E184" s="44">
        <v>1666</v>
      </c>
      <c r="F184" s="46"/>
      <c r="G184" s="41"/>
      <c r="H184" s="41"/>
      <c r="I184" s="42">
        <v>46114</v>
      </c>
      <c r="J184"/>
    </row>
    <row r="185" spans="1:10" x14ac:dyDescent="0.25">
      <c r="A185">
        <v>500815</v>
      </c>
      <c r="B185" s="39" t="str">
        <f>IFERROR(VLOOKUP(A185,CLIENTES!A:E,2,0),"CADASTRAR CLIENTE")</f>
        <v>UNIMED VALE DO ACO COOPERATIVA DE TRABALHO MEDICO</v>
      </c>
      <c r="C185" s="39"/>
      <c r="D185" s="40">
        <v>93349</v>
      </c>
      <c r="E185" s="44">
        <v>1399</v>
      </c>
      <c r="F185" s="46"/>
      <c r="G185" s="41"/>
      <c r="H185" s="41"/>
      <c r="I185" s="42">
        <v>46114</v>
      </c>
      <c r="J185"/>
    </row>
    <row r="186" spans="1:10" x14ac:dyDescent="0.25">
      <c r="A186">
        <v>500696</v>
      </c>
      <c r="B186" s="39" t="str">
        <f>IFERROR(VLOOKUP(A186,CLIENTES!A:E,2,0),"CADASTRAR CLIENTE")</f>
        <v>FUNDACAO DE ASSISTENCIA INTEGRAL A SAUDE - FAIS</v>
      </c>
      <c r="C186" s="39"/>
      <c r="D186" s="40">
        <v>93391</v>
      </c>
      <c r="E186" s="44">
        <v>896.5</v>
      </c>
      <c r="F186" s="46"/>
      <c r="G186" s="41"/>
      <c r="H186" s="41"/>
      <c r="I186" s="42">
        <v>46118</v>
      </c>
      <c r="J186"/>
    </row>
    <row r="187" spans="1:10" x14ac:dyDescent="0.25">
      <c r="A187">
        <v>500589</v>
      </c>
      <c r="B187" s="39" t="str">
        <f>IFERROR(VLOOKUP(A187,CLIENTES!A:E,2,0),"CADASTRAR CLIENTE")</f>
        <v>LABORACELL LABORATORIO VETERINARIO LTDA</v>
      </c>
      <c r="C187" s="39"/>
      <c r="D187" s="40">
        <v>93358</v>
      </c>
      <c r="E187" s="44">
        <v>1257.69</v>
      </c>
      <c r="F187" s="46"/>
      <c r="G187" s="41"/>
      <c r="H187" s="41"/>
      <c r="I187" s="42">
        <v>46118</v>
      </c>
      <c r="J187"/>
    </row>
    <row r="188" spans="1:10" x14ac:dyDescent="0.25">
      <c r="A188">
        <v>1303</v>
      </c>
      <c r="B188" s="39" t="str">
        <f>IFERROR(VLOOKUP(A188,CLIENTES!A:E,2,0),"CADASTRAR CLIENTE")</f>
        <v>SOCIEDADE BENEFICIENTE SAO CAMILO</v>
      </c>
      <c r="C188" s="39"/>
      <c r="D188" s="40">
        <v>93368</v>
      </c>
      <c r="E188" s="44">
        <v>682.5</v>
      </c>
      <c r="F188" s="46"/>
      <c r="G188" s="41"/>
      <c r="H188" s="41"/>
      <c r="I188" s="42">
        <v>46118</v>
      </c>
      <c r="J188"/>
    </row>
    <row r="189" spans="1:10" x14ac:dyDescent="0.25">
      <c r="A189">
        <v>50291</v>
      </c>
      <c r="B189" s="39" t="str">
        <f>IFERROR(VLOOKUP(A189,CLIENTES!A:E,2,0),"CADASTRAR CLIENTE")</f>
        <v>UNIMED DE CATANDUVA COOPERATIVA DE TRABALHO MEDICO</v>
      </c>
      <c r="C189" s="39"/>
      <c r="D189" s="40">
        <v>93408</v>
      </c>
      <c r="E189" s="44">
        <v>503</v>
      </c>
      <c r="F189" s="46"/>
      <c r="G189" s="41"/>
      <c r="H189" s="41"/>
      <c r="I189" s="42">
        <v>46119</v>
      </c>
      <c r="J189"/>
    </row>
    <row r="190" spans="1:10" x14ac:dyDescent="0.25">
      <c r="A190">
        <v>2059</v>
      </c>
      <c r="B190" s="39" t="str">
        <f>IFERROR(VLOOKUP(A190,CLIENTES!A:E,2,0),"CADASTRAR CLIENTE")</f>
        <v>GENESIS DIAGNOSTICA &amp; CIENTIFICA LTDA ME</v>
      </c>
      <c r="C190" s="39"/>
      <c r="D190" s="40">
        <v>93479</v>
      </c>
      <c r="E190" s="44">
        <v>2325.8000000000002</v>
      </c>
      <c r="F190" s="46"/>
      <c r="G190" s="41"/>
      <c r="H190" s="41"/>
      <c r="I190" s="42">
        <v>46120</v>
      </c>
      <c r="J190"/>
    </row>
    <row r="191" spans="1:10" x14ac:dyDescent="0.25">
      <c r="A191">
        <v>842</v>
      </c>
      <c r="B191" s="39" t="str">
        <f>IFERROR(VLOOKUP(A191,CLIENTES!A:E,2,0),"CADASTRAR CLIENTE")</f>
        <v>LABORATORIO HEMOPACLI  SC LTDA</v>
      </c>
      <c r="C191" s="39"/>
      <c r="D191" s="40">
        <v>93444</v>
      </c>
      <c r="E191" s="44">
        <v>819.3</v>
      </c>
      <c r="F191" s="46"/>
      <c r="G191" s="41"/>
      <c r="H191" s="41"/>
      <c r="I191" s="42">
        <v>46120</v>
      </c>
      <c r="J191"/>
    </row>
    <row r="192" spans="1:10" x14ac:dyDescent="0.25">
      <c r="A192">
        <v>501030</v>
      </c>
      <c r="B192" s="39" t="str">
        <f>IFERROR(VLOOKUP(A192,CLIENTES!A:E,2,0),"CADASTRAR CLIENTE")</f>
        <v>ASSOC. L. S. FRANC. DE A. NA P. DE DEUS</v>
      </c>
      <c r="C192" s="39"/>
      <c r="D192" s="40">
        <v>93484</v>
      </c>
      <c r="E192" s="44">
        <v>220</v>
      </c>
      <c r="F192" s="46"/>
      <c r="G192" s="41"/>
      <c r="H192" s="41"/>
      <c r="I192" s="42">
        <v>46121</v>
      </c>
      <c r="J192"/>
    </row>
    <row r="193" spans="1:10" x14ac:dyDescent="0.25">
      <c r="A193">
        <v>500645</v>
      </c>
      <c r="B193" s="39" t="str">
        <f>IFERROR(VLOOKUP(A193,CLIENTES!A:E,2,0),"CADASTRAR CLIENTE")</f>
        <v>EXAME MEDICINA DIAGNOSTICA LTDA</v>
      </c>
      <c r="C193" s="39"/>
      <c r="D193" s="40">
        <v>93483</v>
      </c>
      <c r="E193" s="44">
        <v>590.70000000000005</v>
      </c>
      <c r="F193" s="46"/>
      <c r="G193" s="41"/>
      <c r="H193" s="41"/>
      <c r="I193" s="42">
        <v>46121</v>
      </c>
      <c r="J193"/>
    </row>
    <row r="194" spans="1:10" x14ac:dyDescent="0.25">
      <c r="A194">
        <v>500992</v>
      </c>
      <c r="B194" s="39" t="str">
        <f>IFERROR(VLOOKUP(A194,CLIENTES!A:E,2,0),"CADASTRAR CLIENTE")</f>
        <v>ABERTTA SAUDE - ASSOCIACAO BENEFICENTE DOS EMPREGADOS DA ARCELORMITTAL NO BRASIL</v>
      </c>
      <c r="C194" s="39"/>
      <c r="D194" s="40">
        <v>93520</v>
      </c>
      <c r="E194" s="44">
        <v>1470</v>
      </c>
      <c r="F194" s="46"/>
      <c r="G194" s="41"/>
      <c r="H194" s="41"/>
      <c r="I194" s="42">
        <v>46122</v>
      </c>
      <c r="J194"/>
    </row>
    <row r="195" spans="1:10" x14ac:dyDescent="0.25">
      <c r="A195">
        <v>500940</v>
      </c>
      <c r="B195" s="39" t="str">
        <f>IFERROR(VLOOKUP(A195,CLIENTES!A:E,2,0),"CADASTRAR CLIENTE")</f>
        <v>F. B. GOMES VETERINARIA LTDA</v>
      </c>
      <c r="C195" s="39"/>
      <c r="D195" s="40">
        <v>93547</v>
      </c>
      <c r="E195" s="44">
        <v>241.8</v>
      </c>
      <c r="F195" s="46"/>
      <c r="G195" s="41"/>
      <c r="H195" s="41"/>
      <c r="I195" s="42">
        <v>46122</v>
      </c>
      <c r="J195"/>
    </row>
    <row r="196" spans="1:10" x14ac:dyDescent="0.25">
      <c r="A196">
        <v>50955</v>
      </c>
      <c r="B196" s="39" t="str">
        <f>IFERROR(VLOOKUP(A196,CLIENTES!A:E,2,0),"CADASTRAR CLIENTE")</f>
        <v>LACAP LABORATORIO DE ANALISES CLINICAS LTDA</v>
      </c>
      <c r="C196" s="39"/>
      <c r="D196" s="40">
        <v>93523</v>
      </c>
      <c r="E196" s="44">
        <v>1454.1</v>
      </c>
      <c r="F196" s="46"/>
      <c r="G196" s="41"/>
      <c r="H196" s="41"/>
      <c r="I196" s="42">
        <v>46122</v>
      </c>
      <c r="J196"/>
    </row>
    <row r="197" spans="1:10" x14ac:dyDescent="0.25">
      <c r="A197">
        <v>500858</v>
      </c>
      <c r="B197" s="39" t="str">
        <f>IFERROR(VLOOKUP(A197,CLIENTES!A:E,2,0),"CADASTRAR CLIENTE")</f>
        <v>IMLAB VETERINARIA LTDA</v>
      </c>
      <c r="C197" s="39"/>
      <c r="D197" s="40">
        <v>93565</v>
      </c>
      <c r="E197" s="44">
        <v>721.95</v>
      </c>
      <c r="F197" s="46"/>
      <c r="G197" s="41"/>
      <c r="H197" s="41"/>
      <c r="I197" s="42">
        <v>46125</v>
      </c>
      <c r="J197"/>
    </row>
    <row r="198" spans="1:10" x14ac:dyDescent="0.25">
      <c r="A198">
        <v>3327</v>
      </c>
      <c r="B198" s="39" t="str">
        <f>IFERROR(VLOOKUP(A198,CLIENTES!A:E,2,0),"CADASTRAR CLIENTE")</f>
        <v>IRMANDADE SAO JOSE DE NOVO HORIZONTE</v>
      </c>
      <c r="C198" s="39"/>
      <c r="D198" s="40">
        <v>93555</v>
      </c>
      <c r="E198" s="44">
        <v>893.5</v>
      </c>
      <c r="F198" s="46"/>
      <c r="G198" s="41"/>
      <c r="H198" s="41"/>
      <c r="I198" s="42">
        <v>46125</v>
      </c>
      <c r="J198"/>
    </row>
    <row r="199" spans="1:10" x14ac:dyDescent="0.25">
      <c r="A199">
        <v>1852</v>
      </c>
      <c r="B199" s="39" t="str">
        <f>IFERROR(VLOOKUP(A199,CLIENTES!A:E,2,0),"CADASTRAR CLIENTE")</f>
        <v>LAB. MANOEL DIAS LTDA</v>
      </c>
      <c r="C199" s="39"/>
      <c r="D199" s="40">
        <v>93553</v>
      </c>
      <c r="E199" s="44">
        <v>596.9</v>
      </c>
      <c r="F199" s="46"/>
      <c r="G199" s="41"/>
      <c r="H199" s="41"/>
      <c r="I199" s="42">
        <v>46125</v>
      </c>
      <c r="J199"/>
    </row>
    <row r="200" spans="1:10" x14ac:dyDescent="0.25">
      <c r="A200">
        <v>977</v>
      </c>
      <c r="B200" s="39" t="str">
        <f>IFERROR(VLOOKUP(A200,CLIENTES!A:E,2,0),"CADASTRAR CLIENTE")</f>
        <v>LAFROIS LABORATORIO DE ANALISES CLINICAS LTDA</v>
      </c>
      <c r="C200" s="39"/>
      <c r="D200" s="40">
        <v>93594</v>
      </c>
      <c r="E200" s="44">
        <v>1197.5</v>
      </c>
      <c r="F200" s="46"/>
      <c r="G200" s="41"/>
      <c r="H200" s="41"/>
      <c r="I200" s="42">
        <v>46125</v>
      </c>
      <c r="J200"/>
    </row>
    <row r="201" spans="1:10" x14ac:dyDescent="0.25">
      <c r="A201">
        <v>500361</v>
      </c>
      <c r="B201" s="39" t="str">
        <f>IFERROR(VLOOKUP(A201,CLIENTES!A:E,2,0),"CADASTRAR CLIENTE")</f>
        <v>SANTA CASA DE MISER DA IRSENHOR DOS PASSOS DE UBATUBA</v>
      </c>
      <c r="C201" s="39"/>
      <c r="D201" s="40">
        <v>93580</v>
      </c>
      <c r="E201" s="44">
        <v>790</v>
      </c>
      <c r="F201" s="46"/>
      <c r="G201" s="41"/>
      <c r="H201" s="41"/>
      <c r="I201" s="42">
        <v>46125</v>
      </c>
      <c r="J201"/>
    </row>
    <row r="202" spans="1:10" x14ac:dyDescent="0.25">
      <c r="A202">
        <v>500361</v>
      </c>
      <c r="B202" s="39" t="str">
        <f>IFERROR(VLOOKUP(A202,CLIENTES!A:E,2,0),"CADASTRAR CLIENTE")</f>
        <v>SANTA CASA DE MISER DA IRSENHOR DOS PASSOS DE UBATUBA</v>
      </c>
      <c r="C202" s="39"/>
      <c r="D202" s="40">
        <v>93579</v>
      </c>
      <c r="E202" s="44">
        <v>950</v>
      </c>
      <c r="F202" s="46"/>
      <c r="G202" s="41"/>
      <c r="H202" s="41"/>
      <c r="I202" s="42">
        <v>46125</v>
      </c>
      <c r="J202"/>
    </row>
    <row r="203" spans="1:10" x14ac:dyDescent="0.25">
      <c r="A203">
        <v>51190</v>
      </c>
      <c r="B203" s="39" t="str">
        <f>IFERROR(VLOOKUP(A203,CLIENTES!A:E,2,0),"CADASTRAR CLIENTE")</f>
        <v>HOSPITAL SANTA IGNES LTDA</v>
      </c>
      <c r="C203" s="39"/>
      <c r="D203" s="40">
        <v>93599</v>
      </c>
      <c r="E203" s="44">
        <v>1116.5999999999999</v>
      </c>
      <c r="F203" s="46"/>
      <c r="G203" s="41"/>
      <c r="H203" s="41"/>
      <c r="I203" s="42">
        <v>46126</v>
      </c>
      <c r="J203"/>
    </row>
    <row r="204" spans="1:10" x14ac:dyDescent="0.25">
      <c r="A204">
        <v>93</v>
      </c>
      <c r="B204" s="39" t="str">
        <f>IFERROR(VLOOKUP(A204,CLIENTES!A:E,2,0),"CADASTRAR CLIENTE")</f>
        <v>LAB. ANAL. CLIN. SAO JORGE SC  LTDA.</v>
      </c>
      <c r="C204" s="39"/>
      <c r="D204" s="40">
        <v>93606</v>
      </c>
      <c r="E204" s="44">
        <v>908.1</v>
      </c>
      <c r="F204" s="46"/>
      <c r="G204" s="41"/>
      <c r="H204" s="41"/>
      <c r="I204" s="42">
        <v>46126</v>
      </c>
      <c r="J204"/>
    </row>
    <row r="205" spans="1:10" x14ac:dyDescent="0.25">
      <c r="A205">
        <v>1147</v>
      </c>
      <c r="B205" s="39" t="str">
        <f>IFERROR(VLOOKUP(A205,CLIENTES!A:E,2,0),"CADASTRAR CLIENTE")</f>
        <v>LABORPATAS LABORATORIO VETERINARIO LTDA</v>
      </c>
      <c r="C205" s="39"/>
      <c r="D205" s="40">
        <v>93597</v>
      </c>
      <c r="E205" s="44">
        <v>355.3</v>
      </c>
      <c r="F205" s="46"/>
      <c r="G205" s="41"/>
      <c r="H205" s="41"/>
      <c r="I205" s="42">
        <v>46126</v>
      </c>
      <c r="J205"/>
    </row>
    <row r="206" spans="1:10" x14ac:dyDescent="0.25">
      <c r="A206">
        <v>500696</v>
      </c>
      <c r="B206" s="39" t="str">
        <f>IFERROR(VLOOKUP(A206,CLIENTES!A:E,2,0),"CADASTRAR CLIENTE")</f>
        <v>FUNDACAO DE ASSISTENCIA INTEGRAL A SAUDE - FAIS</v>
      </c>
      <c r="C206" s="39"/>
      <c r="D206" s="40">
        <v>93663</v>
      </c>
      <c r="E206" s="44">
        <v>270</v>
      </c>
      <c r="F206" s="46"/>
      <c r="G206" s="41"/>
      <c r="H206" s="41"/>
      <c r="I206" s="42">
        <v>46127</v>
      </c>
      <c r="J206"/>
    </row>
    <row r="207" spans="1:10" x14ac:dyDescent="0.25">
      <c r="A207">
        <v>500926</v>
      </c>
      <c r="B207" s="39" t="str">
        <f>IFERROR(VLOOKUP(A207,CLIENTES!A:E,2,0),"CADASTRAR CLIENTE")</f>
        <v>FUNDACAO DR. JAYME RODRIGUES</v>
      </c>
      <c r="C207" s="39"/>
      <c r="D207" s="40">
        <v>93679</v>
      </c>
      <c r="E207" s="44">
        <v>272</v>
      </c>
      <c r="F207" s="46"/>
      <c r="G207" s="41"/>
      <c r="H207" s="41"/>
      <c r="I207" s="42">
        <v>46127</v>
      </c>
      <c r="J207"/>
    </row>
    <row r="208" spans="1:10" x14ac:dyDescent="0.25">
      <c r="A208">
        <v>500379</v>
      </c>
      <c r="B208" s="39" t="str">
        <f>IFERROR(VLOOKUP(A208,CLIENTES!A:E,2,0),"CADASTRAR CLIENTE")</f>
        <v>SAMEDIL - SERVICOS DE ATENDIMENTO MEDICO S/A</v>
      </c>
      <c r="C208" s="39"/>
      <c r="D208" s="40">
        <v>93664</v>
      </c>
      <c r="E208" s="44">
        <v>275</v>
      </c>
      <c r="F208" s="46"/>
      <c r="G208" s="41"/>
      <c r="H208" s="41"/>
      <c r="I208" s="42">
        <v>46127</v>
      </c>
      <c r="J208"/>
    </row>
    <row r="209" spans="1:10" x14ac:dyDescent="0.25">
      <c r="A209">
        <v>500379</v>
      </c>
      <c r="B209" s="39" t="str">
        <f>IFERROR(VLOOKUP(A209,CLIENTES!A:E,2,0),"CADASTRAR CLIENTE")</f>
        <v>SAMEDIL - SERVICOS DE ATENDIMENTO MEDICO S/A</v>
      </c>
      <c r="C209" s="39"/>
      <c r="D209" s="40">
        <v>93667</v>
      </c>
      <c r="E209" s="44">
        <v>406.6</v>
      </c>
      <c r="F209" s="46"/>
      <c r="G209" s="41"/>
      <c r="H209" s="41"/>
      <c r="I209" s="42">
        <v>46127</v>
      </c>
      <c r="J209"/>
    </row>
    <row r="210" spans="1:10" x14ac:dyDescent="0.25">
      <c r="A210">
        <v>1378</v>
      </c>
      <c r="B210" s="39" t="str">
        <f>IFERROR(VLOOKUP(A210,CLIENTES!A:E,2,0),"CADASTRAR CLIENTE")</f>
        <v>ASS.CARIDADE DA SANTA CASA MISERIC.DE ASSIS</v>
      </c>
      <c r="C210" s="39"/>
      <c r="D210" s="40">
        <v>93735</v>
      </c>
      <c r="E210" s="44">
        <v>523.5</v>
      </c>
      <c r="F210" s="46"/>
      <c r="G210" s="41"/>
      <c r="H210" s="41"/>
      <c r="I210" s="42">
        <v>46128</v>
      </c>
      <c r="J210"/>
    </row>
    <row r="211" spans="1:10" x14ac:dyDescent="0.25">
      <c r="A211">
        <v>758</v>
      </c>
      <c r="B211" s="39" t="str">
        <f>IFERROR(VLOOKUP(A211,CLIENTES!A:E,2,0),"CADASTRAR CLIENTE")</f>
        <v>IRMANDADE DA SANTA CASA DE ANDRADINA</v>
      </c>
      <c r="C211" s="39"/>
      <c r="D211" s="40">
        <v>93714</v>
      </c>
      <c r="E211" s="44">
        <v>7071.1</v>
      </c>
      <c r="F211" s="46"/>
      <c r="G211" s="41"/>
      <c r="H211" s="41"/>
      <c r="I211" s="42">
        <v>46128</v>
      </c>
      <c r="J211"/>
    </row>
    <row r="212" spans="1:10" x14ac:dyDescent="0.25">
      <c r="A212">
        <v>500361</v>
      </c>
      <c r="B212" s="39" t="str">
        <f>IFERROR(VLOOKUP(A212,CLIENTES!A:E,2,0),"CADASTRAR CLIENTE")</f>
        <v>SANTA CASA DE MISER DA IRSENHOR DOS PASSOS DE UBATUBA</v>
      </c>
      <c r="C212" s="39"/>
      <c r="D212" s="40">
        <v>93730</v>
      </c>
      <c r="E212" s="44">
        <v>106.5</v>
      </c>
      <c r="F212" s="46"/>
      <c r="G212" s="41"/>
      <c r="H212" s="41"/>
      <c r="I212" s="42">
        <v>46128</v>
      </c>
      <c r="J212"/>
    </row>
    <row r="213" spans="1:10" x14ac:dyDescent="0.25">
      <c r="A213">
        <v>500419</v>
      </c>
      <c r="B213" s="39" t="str">
        <f>IFERROR(VLOOKUP(A213,CLIENTES!A:E,2,0),"CADASTRAR CLIENTE")</f>
        <v>FUNDACAO DE ASSISTENCIA ESTUDO E PESQUISA DE UBERLANDIA</v>
      </c>
      <c r="C213" s="39"/>
      <c r="D213" s="40">
        <v>93762</v>
      </c>
      <c r="E213" s="44">
        <v>2520</v>
      </c>
      <c r="F213" s="46"/>
      <c r="G213" s="41"/>
      <c r="H213" s="41"/>
      <c r="I213" s="42">
        <v>46129</v>
      </c>
      <c r="J213"/>
    </row>
    <row r="214" spans="1:10" x14ac:dyDescent="0.25">
      <c r="A214">
        <v>500598</v>
      </c>
      <c r="B214" s="39" t="str">
        <f>IFERROR(VLOOKUP(A214,CLIENTES!A:E,2,0),"CADASTRAR CLIENTE")</f>
        <v>FUNDACAO DE ASSISTENCIA SOCIAL DE JANAUBA</v>
      </c>
      <c r="C214" s="39"/>
      <c r="D214" s="40">
        <v>93781</v>
      </c>
      <c r="E214" s="44">
        <v>530.4</v>
      </c>
      <c r="F214" s="46"/>
      <c r="G214" s="41"/>
      <c r="H214" s="41"/>
      <c r="I214" s="42">
        <v>46129</v>
      </c>
      <c r="J214"/>
    </row>
    <row r="215" spans="1:10" x14ac:dyDescent="0.25">
      <c r="A215">
        <v>2059</v>
      </c>
      <c r="B215" s="39" t="str">
        <f>IFERROR(VLOOKUP(A215,CLIENTES!A:E,2,0),"CADASTRAR CLIENTE")</f>
        <v>GENESIS DIAGNOSTICA &amp; CIENTIFICA LTDA ME</v>
      </c>
      <c r="C215" s="39"/>
      <c r="D215" s="40">
        <v>93785</v>
      </c>
      <c r="E215" s="44">
        <v>325</v>
      </c>
      <c r="F215" s="46"/>
      <c r="G215" s="41"/>
      <c r="H215" s="41"/>
      <c r="I215" s="42">
        <v>46129</v>
      </c>
      <c r="J215"/>
    </row>
    <row r="216" spans="1:10" x14ac:dyDescent="0.25">
      <c r="A216">
        <v>2059</v>
      </c>
      <c r="B216" s="39" t="str">
        <f>IFERROR(VLOOKUP(A216,CLIENTES!A:E,2,0),"CADASTRAR CLIENTE")</f>
        <v>GENESIS DIAGNOSTICA &amp; CIENTIFICA LTDA ME</v>
      </c>
      <c r="C216" s="39"/>
      <c r="D216" s="40">
        <v>93784</v>
      </c>
      <c r="E216" s="44">
        <v>975</v>
      </c>
      <c r="F216" s="46"/>
      <c r="G216" s="41"/>
      <c r="H216" s="41"/>
      <c r="I216" s="42">
        <v>46129</v>
      </c>
      <c r="J216"/>
    </row>
    <row r="217" spans="1:10" x14ac:dyDescent="0.25">
      <c r="A217">
        <v>1683</v>
      </c>
      <c r="B217" s="39" t="str">
        <f>IFERROR(VLOOKUP(A217,CLIENTES!A:E,2,0),"CADASTRAR CLIENTE")</f>
        <v>HOSPITAL E MATERNIDADE SANTA TEREZA</v>
      </c>
      <c r="C217" s="39"/>
      <c r="D217" s="40">
        <v>93764</v>
      </c>
      <c r="E217" s="44">
        <v>1055.5</v>
      </c>
      <c r="F217" s="46"/>
      <c r="G217" s="41"/>
      <c r="H217" s="41"/>
      <c r="I217" s="42">
        <v>46129</v>
      </c>
      <c r="J217"/>
    </row>
    <row r="218" spans="1:10" x14ac:dyDescent="0.25">
      <c r="A218">
        <v>1147</v>
      </c>
      <c r="B218" s="39" t="str">
        <f>IFERROR(VLOOKUP(A218,CLIENTES!A:E,2,0),"CADASTRAR CLIENTE")</f>
        <v>LABORPATAS LABORATORIO VETERINARIO LTDA</v>
      </c>
      <c r="C218" s="39"/>
      <c r="D218" s="40">
        <v>93760</v>
      </c>
      <c r="E218" s="44">
        <v>184</v>
      </c>
      <c r="F218" s="46"/>
      <c r="G218" s="41"/>
      <c r="H218" s="41"/>
      <c r="I218" s="42">
        <v>46129</v>
      </c>
      <c r="J218"/>
    </row>
    <row r="219" spans="1:10" x14ac:dyDescent="0.25">
      <c r="A219">
        <v>500520</v>
      </c>
      <c r="B219" s="39" t="str">
        <f>IFERROR(VLOOKUP(A219,CLIENTES!A:E,2,0),"CADASTRAR CLIENTE")</f>
        <v>HOSPITAL LEONARDO DA VINCI LTDA</v>
      </c>
      <c r="C219" s="39"/>
      <c r="D219" s="40">
        <v>93843</v>
      </c>
      <c r="E219" s="44">
        <v>630</v>
      </c>
      <c r="F219" s="46"/>
      <c r="G219" s="41"/>
      <c r="H219" s="41"/>
      <c r="I219" s="42">
        <v>46132</v>
      </c>
      <c r="J219"/>
    </row>
    <row r="220" spans="1:10" x14ac:dyDescent="0.25">
      <c r="A220">
        <v>500520</v>
      </c>
      <c r="B220" s="39" t="str">
        <f>IFERROR(VLOOKUP(A220,CLIENTES!A:E,2,0),"CADASTRAR CLIENTE")</f>
        <v>HOSPITAL LEONARDO DA VINCI LTDA</v>
      </c>
      <c r="C220" s="39"/>
      <c r="D220" s="40">
        <v>93844</v>
      </c>
      <c r="E220" s="44">
        <v>210</v>
      </c>
      <c r="F220" s="46"/>
      <c r="G220" s="41"/>
      <c r="H220" s="41"/>
      <c r="I220" s="42">
        <v>46132</v>
      </c>
      <c r="J220"/>
    </row>
    <row r="221" spans="1:10" x14ac:dyDescent="0.25">
      <c r="A221">
        <v>1486</v>
      </c>
      <c r="B221" s="39" t="str">
        <f>IFERROR(VLOOKUP(A221,CLIENTES!A:E,2,0),"CADASTRAR CLIENTE")</f>
        <v>IRMANDADE SANTA CASA DE MISER. DE LIMEIRA</v>
      </c>
      <c r="C221" s="39"/>
      <c r="D221" s="40">
        <v>93855</v>
      </c>
      <c r="E221" s="44">
        <v>4049</v>
      </c>
      <c r="F221" s="46"/>
      <c r="G221" s="41"/>
      <c r="H221" s="41"/>
      <c r="I221" s="42">
        <v>46132</v>
      </c>
      <c r="J221"/>
    </row>
    <row r="222" spans="1:10" x14ac:dyDescent="0.25">
      <c r="A222">
        <v>977</v>
      </c>
      <c r="B222" s="39" t="str">
        <f>IFERROR(VLOOKUP(A222,CLIENTES!A:E,2,0),"CADASTRAR CLIENTE")</f>
        <v>LAFROIS LABORATORIO DE ANALISES CLINICAS LTDA</v>
      </c>
      <c r="C222" s="39"/>
      <c r="D222" s="40">
        <v>93851</v>
      </c>
      <c r="E222" s="44">
        <v>1548</v>
      </c>
      <c r="F222" s="46"/>
      <c r="G222" s="41"/>
      <c r="H222" s="41"/>
      <c r="I222" s="42">
        <v>46132</v>
      </c>
      <c r="J222"/>
    </row>
    <row r="223" spans="1:10" x14ac:dyDescent="0.25">
      <c r="A223">
        <v>977</v>
      </c>
      <c r="B223" s="39" t="str">
        <f>IFERROR(VLOOKUP(A223,CLIENTES!A:E,2,0),"CADASTRAR CLIENTE")</f>
        <v>LAFROIS LABORATORIO DE ANALISES CLINICAS LTDA</v>
      </c>
      <c r="C223" s="39"/>
      <c r="D223" s="40">
        <v>93852</v>
      </c>
      <c r="E223" s="44">
        <v>193.71</v>
      </c>
      <c r="F223" s="46"/>
      <c r="G223" s="41"/>
      <c r="H223" s="41"/>
      <c r="I223" s="42">
        <v>46132</v>
      </c>
      <c r="J223"/>
    </row>
    <row r="224" spans="1:10" x14ac:dyDescent="0.25">
      <c r="A224">
        <v>923</v>
      </c>
      <c r="B224" s="39" t="str">
        <f>IFERROR(VLOOKUP(A224,CLIENTES!A:E,2,0),"CADASTRAR CLIENTE")</f>
        <v>STA. CASA MISERICORDIA DE AVARE</v>
      </c>
      <c r="C224" s="39"/>
      <c r="D224" s="40">
        <v>93842</v>
      </c>
      <c r="E224" s="44">
        <v>722.5</v>
      </c>
      <c r="F224" s="46"/>
      <c r="G224" s="41"/>
      <c r="H224" s="41"/>
      <c r="I224" s="42">
        <v>46132</v>
      </c>
      <c r="J224"/>
    </row>
    <row r="225" spans="1:10" x14ac:dyDescent="0.25">
      <c r="A225">
        <v>50291</v>
      </c>
      <c r="B225" s="39" t="str">
        <f>IFERROR(VLOOKUP(A225,CLIENTES!A:E,2,0),"CADASTRAR CLIENTE")</f>
        <v>UNIMED DE CATANDUVA COOPERATIVA DE TRABALHO MEDICO</v>
      </c>
      <c r="C225" s="39"/>
      <c r="D225" s="40">
        <v>93847</v>
      </c>
      <c r="E225" s="44">
        <v>109.8</v>
      </c>
      <c r="F225" s="46"/>
      <c r="G225" s="41"/>
      <c r="H225" s="41"/>
      <c r="I225" s="42">
        <v>46132</v>
      </c>
      <c r="J225"/>
    </row>
    <row r="226" spans="1:10" x14ac:dyDescent="0.25">
      <c r="A226">
        <v>501030</v>
      </c>
      <c r="B226" s="39" t="str">
        <f>IFERROR(VLOOKUP(A226,CLIENTES!A:E,2,0),"CADASTRAR CLIENTE")</f>
        <v>ASSOC. L. S. FRANC. DE A. NA P. DE DEUS</v>
      </c>
      <c r="C226" s="39"/>
      <c r="D226" s="40">
        <v>93870</v>
      </c>
      <c r="E226" s="44">
        <v>660</v>
      </c>
      <c r="F226" s="46"/>
      <c r="G226" s="41"/>
      <c r="H226" s="41"/>
      <c r="I226" s="42">
        <v>46134</v>
      </c>
      <c r="J226"/>
    </row>
    <row r="227" spans="1:10" x14ac:dyDescent="0.25">
      <c r="A227">
        <v>500859</v>
      </c>
      <c r="B227" s="39" t="str">
        <f>IFERROR(VLOOKUP(A227,CLIENTES!A:E,2,0),"CADASTRAR CLIENTE")</f>
        <v>ASSOCIACAO HOSPITALAR BENEFICENTE DE PINHALZINHO</v>
      </c>
      <c r="C227" s="39"/>
      <c r="D227" s="40">
        <v>93866</v>
      </c>
      <c r="E227" s="44">
        <v>225</v>
      </c>
      <c r="F227" s="46"/>
      <c r="G227" s="41"/>
      <c r="H227" s="41"/>
      <c r="I227" s="42">
        <v>46134</v>
      </c>
      <c r="J227"/>
    </row>
    <row r="228" spans="1:10" x14ac:dyDescent="0.25">
      <c r="A228">
        <v>500998</v>
      </c>
      <c r="B228" s="39" t="str">
        <f>IFERROR(VLOOKUP(A228,CLIENTES!A:E,2,0),"CADASTRAR CLIENTE")</f>
        <v>CASA DE SAUDE SANTA RITA S A</v>
      </c>
      <c r="C228" s="39"/>
      <c r="D228" s="40">
        <v>93885</v>
      </c>
      <c r="E228" s="44">
        <v>1100</v>
      </c>
      <c r="F228" s="46"/>
      <c r="G228" s="41"/>
      <c r="H228" s="41"/>
      <c r="I228" s="42">
        <v>46134</v>
      </c>
      <c r="J228"/>
    </row>
    <row r="229" spans="1:10" x14ac:dyDescent="0.25">
      <c r="A229">
        <v>3327</v>
      </c>
      <c r="B229" s="39" t="str">
        <f>IFERROR(VLOOKUP(A229,CLIENTES!A:E,2,0),"CADASTRAR CLIENTE")</f>
        <v>IRMANDADE SAO JOSE DE NOVO HORIZONTE</v>
      </c>
      <c r="C229" s="39"/>
      <c r="D229" s="40">
        <v>93867</v>
      </c>
      <c r="E229" s="44">
        <v>1122.9000000000001</v>
      </c>
      <c r="F229" s="46"/>
      <c r="G229" s="41"/>
      <c r="H229" s="41"/>
      <c r="I229" s="42">
        <v>46134</v>
      </c>
      <c r="J229"/>
    </row>
    <row r="230" spans="1:10" x14ac:dyDescent="0.25">
      <c r="A230">
        <v>500361</v>
      </c>
      <c r="B230" s="39" t="str">
        <f>IFERROR(VLOOKUP(A230,CLIENTES!A:E,2,0),"CADASTRAR CLIENTE")</f>
        <v>SANTA CASA DE MISER DA IRSENHOR DOS PASSOS DE UBATUBA</v>
      </c>
      <c r="C230" s="39"/>
      <c r="D230" s="40">
        <v>93876</v>
      </c>
      <c r="E230" s="44">
        <v>802.3</v>
      </c>
      <c r="F230" s="46"/>
      <c r="G230" s="41"/>
      <c r="H230" s="41"/>
      <c r="I230" s="42">
        <v>46134</v>
      </c>
      <c r="J230"/>
    </row>
    <row r="231" spans="1:10" x14ac:dyDescent="0.25">
      <c r="A231">
        <v>500391</v>
      </c>
      <c r="B231" s="39" t="str">
        <f>IFERROR(VLOOKUP(A231,CLIENTES!A:E,2,0),"CADASTRAR CLIENTE")</f>
        <v>TCS - LABORATORIO DE PATOLOGIA CLINICA VETERINARIA LTDA</v>
      </c>
      <c r="C231" s="39"/>
      <c r="D231" s="40">
        <v>93884</v>
      </c>
      <c r="E231" s="44">
        <v>669.9</v>
      </c>
      <c r="F231" s="46"/>
      <c r="G231" s="41"/>
      <c r="H231" s="41"/>
      <c r="I231" s="42">
        <v>46134</v>
      </c>
      <c r="J231"/>
    </row>
    <row r="232" spans="1:10" x14ac:dyDescent="0.25">
      <c r="A232">
        <v>3309</v>
      </c>
      <c r="B232" s="39" t="str">
        <f>IFERROR(VLOOKUP(A232,CLIENTES!A:E,2,0),"CADASTRAR CLIENTE")</f>
        <v>FUNDACAO FACULDADE DE MEDICINA</v>
      </c>
      <c r="C232" s="39"/>
      <c r="D232" s="40">
        <v>93932</v>
      </c>
      <c r="E232" s="44">
        <v>451</v>
      </c>
      <c r="F232" s="46"/>
      <c r="G232" s="41"/>
      <c r="H232" s="41"/>
      <c r="I232" s="42">
        <v>46135</v>
      </c>
      <c r="J232"/>
    </row>
    <row r="233" spans="1:10" x14ac:dyDescent="0.25">
      <c r="A233">
        <v>93</v>
      </c>
      <c r="B233" s="39" t="str">
        <f>IFERROR(VLOOKUP(A233,CLIENTES!A:E,2,0),"CADASTRAR CLIENTE")</f>
        <v>LAB. ANAL. CLIN. SAO JORGE SC  LTDA.</v>
      </c>
      <c r="C233" s="39"/>
      <c r="D233" s="40">
        <v>93954</v>
      </c>
      <c r="E233" s="44">
        <v>575.1</v>
      </c>
      <c r="F233" s="46"/>
      <c r="G233" s="41"/>
      <c r="H233" s="41"/>
      <c r="I233" s="42">
        <v>46135</v>
      </c>
      <c r="J233"/>
    </row>
    <row r="234" spans="1:10" x14ac:dyDescent="0.25">
      <c r="A234">
        <v>592</v>
      </c>
      <c r="B234" s="39" t="str">
        <f>IFERROR(VLOOKUP(A234,CLIENTES!A:E,2,0),"CADASTRAR CLIENTE")</f>
        <v>PINDORAMA LABORATORIO DE ANALISES CLINICAS LTDA ME</v>
      </c>
      <c r="C234" s="39"/>
      <c r="D234" s="40">
        <v>93944</v>
      </c>
      <c r="E234" s="44">
        <v>895</v>
      </c>
      <c r="F234" s="46"/>
      <c r="G234" s="41"/>
      <c r="H234" s="41"/>
      <c r="I234" s="42">
        <v>46135</v>
      </c>
      <c r="J234"/>
    </row>
    <row r="235" spans="1:10" x14ac:dyDescent="0.25">
      <c r="A235">
        <v>1327</v>
      </c>
      <c r="B235" s="39" t="str">
        <f>IFERROR(VLOOKUP(A235,CLIENTES!A:E,2,0),"CADASTRAR CLIENTE")</f>
        <v>BISACCHI FENIX COMERCIAL EIRELI</v>
      </c>
      <c r="C235" s="39"/>
      <c r="D235" s="40">
        <v>94010</v>
      </c>
      <c r="E235" s="44">
        <v>655</v>
      </c>
      <c r="F235" s="46"/>
      <c r="G235" s="41"/>
      <c r="H235" s="41"/>
      <c r="I235" s="42">
        <v>46136</v>
      </c>
      <c r="J235"/>
    </row>
    <row r="236" spans="1:10" x14ac:dyDescent="0.25">
      <c r="A236">
        <v>500598</v>
      </c>
      <c r="B236" s="39" t="str">
        <f>IFERROR(VLOOKUP(A236,CLIENTES!A:E,2,0),"CADASTRAR CLIENTE")</f>
        <v>FUNDACAO DE ASSISTENCIA SOCIAL DE JANAUBA</v>
      </c>
      <c r="C236" s="39"/>
      <c r="D236" s="40">
        <v>94001</v>
      </c>
      <c r="E236" s="44">
        <v>2500.39</v>
      </c>
      <c r="F236" s="46"/>
      <c r="G236" s="41"/>
      <c r="H236" s="41"/>
      <c r="I236" s="42">
        <v>46136</v>
      </c>
      <c r="J236"/>
    </row>
    <row r="237" spans="1:10" x14ac:dyDescent="0.25">
      <c r="A237">
        <v>500940</v>
      </c>
      <c r="B237" s="39" t="str">
        <f>IFERROR(VLOOKUP(A237,CLIENTES!A:E,2,0),"CADASTRAR CLIENTE")</f>
        <v>F. B. GOMES VETERINARIA LTDA</v>
      </c>
      <c r="C237" s="39"/>
      <c r="D237" s="40">
        <v>94038</v>
      </c>
      <c r="E237" s="44">
        <v>105.8</v>
      </c>
      <c r="F237" s="46"/>
      <c r="G237" s="41"/>
      <c r="H237" s="41"/>
      <c r="I237" s="42">
        <v>46139</v>
      </c>
      <c r="J237"/>
    </row>
    <row r="238" spans="1:10" x14ac:dyDescent="0.25">
      <c r="A238">
        <v>500419</v>
      </c>
      <c r="B238" s="39" t="str">
        <f>IFERROR(VLOOKUP(A238,CLIENTES!A:E,2,0),"CADASTRAR CLIENTE")</f>
        <v>FUNDACAO DE ASSISTENCIA ESTUDO E PESQUISA DE UBERLANDIA</v>
      </c>
      <c r="C238" s="39"/>
      <c r="D238" s="40">
        <v>94066</v>
      </c>
      <c r="E238" s="44">
        <v>2835</v>
      </c>
      <c r="F238" s="46"/>
      <c r="G238" s="41"/>
      <c r="H238" s="41"/>
      <c r="I238" s="42">
        <v>46139</v>
      </c>
      <c r="J238"/>
    </row>
    <row r="239" spans="1:10" x14ac:dyDescent="0.25">
      <c r="A239">
        <v>500419</v>
      </c>
      <c r="B239" s="39" t="str">
        <f>IFERROR(VLOOKUP(A239,CLIENTES!A:E,2,0),"CADASTRAR CLIENTE")</f>
        <v>FUNDACAO DE ASSISTENCIA ESTUDO E PESQUISA DE UBERLANDIA</v>
      </c>
      <c r="C239" s="39"/>
      <c r="D239" s="40">
        <v>94067</v>
      </c>
      <c r="E239" s="44">
        <v>990</v>
      </c>
      <c r="F239" s="46"/>
      <c r="G239" s="41"/>
      <c r="H239" s="41"/>
      <c r="I239" s="42">
        <v>46139</v>
      </c>
      <c r="J239"/>
    </row>
    <row r="240" spans="1:10" x14ac:dyDescent="0.25">
      <c r="A240">
        <v>500696</v>
      </c>
      <c r="B240" s="39" t="str">
        <f>IFERROR(VLOOKUP(A240,CLIENTES!A:E,2,0),"CADASTRAR CLIENTE")</f>
        <v>FUNDACAO DE ASSISTENCIA INTEGRAL A SAUDE - FAIS</v>
      </c>
      <c r="C240" s="39"/>
      <c r="D240" s="40">
        <v>94035</v>
      </c>
      <c r="E240" s="44">
        <v>368.5</v>
      </c>
      <c r="F240" s="46"/>
      <c r="G240" s="41"/>
      <c r="H240" s="41"/>
      <c r="I240" s="42">
        <v>46139</v>
      </c>
      <c r="J240"/>
    </row>
    <row r="241" spans="1:10" x14ac:dyDescent="0.25">
      <c r="A241">
        <v>501050</v>
      </c>
      <c r="B241" s="39" t="str">
        <f>IFERROR(VLOOKUP(A241,CLIENTES!A:E,2,0),"CADASTRAR CLIENTE")</f>
        <v>FUNDO MUNICIPAL DE SAUDE DE PONTA GROSSA</v>
      </c>
      <c r="C241" s="39"/>
      <c r="D241" s="40">
        <v>94065</v>
      </c>
      <c r="E241" s="44">
        <v>4635</v>
      </c>
      <c r="F241" s="46"/>
      <c r="G241" s="41"/>
      <c r="H241" s="41"/>
      <c r="I241" s="42">
        <v>46139</v>
      </c>
      <c r="J241"/>
    </row>
    <row r="242" spans="1:10" x14ac:dyDescent="0.25">
      <c r="A242">
        <v>1683</v>
      </c>
      <c r="B242" s="39" t="str">
        <f>IFERROR(VLOOKUP(A242,CLIENTES!A:E,2,0),"CADASTRAR CLIENTE")</f>
        <v>HOSPITAL E MATERNIDADE SANTA TEREZA</v>
      </c>
      <c r="C242" s="39"/>
      <c r="D242" s="40">
        <v>94036</v>
      </c>
      <c r="E242" s="44">
        <v>907.8</v>
      </c>
      <c r="F242" s="46"/>
      <c r="G242" s="41"/>
      <c r="H242" s="41"/>
      <c r="I242" s="42">
        <v>46139</v>
      </c>
      <c r="J242"/>
    </row>
    <row r="243" spans="1:10" x14ac:dyDescent="0.25">
      <c r="A243">
        <v>1147</v>
      </c>
      <c r="B243" s="39" t="str">
        <f>IFERROR(VLOOKUP(A243,CLIENTES!A:E,2,0),"CADASTRAR CLIENTE")</f>
        <v>LABORPATAS LABORATORIO VETERINARIO LTDA</v>
      </c>
      <c r="C243" s="39"/>
      <c r="D243" s="40">
        <v>94091</v>
      </c>
      <c r="E243" s="44">
        <v>1066</v>
      </c>
      <c r="F243" s="46"/>
      <c r="G243" s="41"/>
      <c r="H243" s="41"/>
      <c r="I243" s="42">
        <v>46139</v>
      </c>
      <c r="J243"/>
    </row>
    <row r="244" spans="1:10" x14ac:dyDescent="0.25">
      <c r="A244">
        <v>3120</v>
      </c>
      <c r="B244" s="39" t="str">
        <f>IFERROR(VLOOKUP(A244,CLIENTES!A:E,2,0),"CADASTRAR CLIENTE")</f>
        <v>VANDERLEI SALVADOR BAGNATO</v>
      </c>
      <c r="C244" s="39"/>
      <c r="D244" s="40">
        <v>94045</v>
      </c>
      <c r="E244" s="44">
        <v>1238.9000000000001</v>
      </c>
      <c r="F244" s="46"/>
      <c r="G244" s="41"/>
      <c r="H244" s="41"/>
      <c r="I244" s="42">
        <v>46139</v>
      </c>
      <c r="J244"/>
    </row>
    <row r="245" spans="1:10" x14ac:dyDescent="0.25">
      <c r="A245">
        <v>2548</v>
      </c>
      <c r="B245" s="39" t="str">
        <f>IFERROR(VLOOKUP(A245,CLIENTES!A:E,2,0),"CADASTRAR CLIENTE")</f>
        <v>FUNDACAO P/ DES.MEDICO E HOSP. MATERNIDADE STA ISABEL</v>
      </c>
      <c r="C245" s="39"/>
      <c r="D245" s="40">
        <v>94122</v>
      </c>
      <c r="E245" s="44">
        <v>1266.4000000000001</v>
      </c>
      <c r="F245" s="46"/>
      <c r="G245" s="41"/>
      <c r="H245" s="41"/>
      <c r="I245" s="42">
        <v>46140</v>
      </c>
      <c r="J245"/>
    </row>
    <row r="246" spans="1:10" x14ac:dyDescent="0.25">
      <c r="A246">
        <v>500926</v>
      </c>
      <c r="B246" s="39" t="str">
        <f>IFERROR(VLOOKUP(A246,CLIENTES!A:E,2,0),"CADASTRAR CLIENTE")</f>
        <v>FUNDACAO DR. JAYME RODRIGUES</v>
      </c>
      <c r="C246" s="39"/>
      <c r="D246" s="40">
        <v>94158</v>
      </c>
      <c r="E246" s="44">
        <v>680</v>
      </c>
      <c r="F246" s="46"/>
      <c r="G246" s="41"/>
      <c r="H246" s="41"/>
      <c r="I246" s="42">
        <v>46141</v>
      </c>
      <c r="J246"/>
    </row>
    <row r="247" spans="1:10" x14ac:dyDescent="0.25">
      <c r="A247">
        <v>2059</v>
      </c>
      <c r="B247" s="39" t="str">
        <f>IFERROR(VLOOKUP(A247,CLIENTES!A:E,2,0),"CADASTRAR CLIENTE")</f>
        <v>GENESIS DIAGNOSTICA &amp; CIENTIFICA LTDA ME</v>
      </c>
      <c r="C247" s="39"/>
      <c r="D247" s="40">
        <v>94170</v>
      </c>
      <c r="E247" s="44">
        <v>552</v>
      </c>
      <c r="F247" s="46"/>
      <c r="G247" s="41"/>
      <c r="H247" s="41"/>
      <c r="I247" s="42">
        <v>46141</v>
      </c>
      <c r="J247"/>
    </row>
    <row r="248" spans="1:10" x14ac:dyDescent="0.25">
      <c r="A248">
        <v>500420</v>
      </c>
      <c r="B248" s="39" t="str">
        <f>IFERROR(VLOOKUP(A248,CLIENTES!A:E,2,0),"CADASTRAR CLIENTE")</f>
        <v>JANAINA MARCHESI TORREZAN</v>
      </c>
      <c r="C248" s="39"/>
      <c r="D248" s="40">
        <v>94188</v>
      </c>
      <c r="E248" s="44">
        <v>499</v>
      </c>
      <c r="F248" s="46"/>
      <c r="G248" s="41"/>
      <c r="H248" s="41"/>
      <c r="I248" s="42">
        <v>46141</v>
      </c>
      <c r="J248"/>
    </row>
    <row r="249" spans="1:10" x14ac:dyDescent="0.25">
      <c r="A249">
        <v>842</v>
      </c>
      <c r="B249" s="39" t="str">
        <f>IFERROR(VLOOKUP(A249,CLIENTES!A:E,2,0),"CADASTRAR CLIENTE")</f>
        <v>LABORATORIO HEMOPACLI  SC LTDA</v>
      </c>
      <c r="C249" s="39"/>
      <c r="D249" s="40">
        <v>94151</v>
      </c>
      <c r="E249" s="44">
        <v>280.7</v>
      </c>
      <c r="F249" s="46"/>
      <c r="G249" s="41"/>
      <c r="H249" s="41"/>
      <c r="I249" s="42">
        <v>46141</v>
      </c>
      <c r="J249"/>
    </row>
    <row r="250" spans="1:10" x14ac:dyDescent="0.25">
      <c r="A250">
        <v>500391</v>
      </c>
      <c r="B250" s="39" t="str">
        <f>IFERROR(VLOOKUP(A250,CLIENTES!A:E,2,0),"CADASTRAR CLIENTE")</f>
        <v>TCS - LABORATORIO DE PATOLOGIA CLINICA VETERINARIA LTDA</v>
      </c>
      <c r="C250" s="39"/>
      <c r="D250" s="40">
        <v>94150</v>
      </c>
      <c r="E250" s="44">
        <v>349.7</v>
      </c>
      <c r="F250" s="46"/>
      <c r="G250" s="41"/>
      <c r="H250" s="41"/>
      <c r="I250" s="42">
        <v>46141</v>
      </c>
      <c r="J250"/>
    </row>
    <row r="251" spans="1:10" x14ac:dyDescent="0.25">
      <c r="A251">
        <v>1378</v>
      </c>
      <c r="B251" s="39" t="str">
        <f>IFERROR(VLOOKUP(A251,CLIENTES!A:E,2,0),"CADASTRAR CLIENTE")</f>
        <v>ASS.CARIDADE DA SANTA CASA MISERIC.DE ASSIS</v>
      </c>
      <c r="C251" s="39"/>
      <c r="D251" s="40">
        <v>94241</v>
      </c>
      <c r="E251" s="44">
        <v>1570.8</v>
      </c>
      <c r="F251" s="46"/>
      <c r="G251" s="41"/>
      <c r="H251" s="41"/>
      <c r="I251" s="42">
        <v>46146</v>
      </c>
      <c r="J251"/>
    </row>
    <row r="252" spans="1:10" x14ac:dyDescent="0.25">
      <c r="A252">
        <v>1378</v>
      </c>
      <c r="B252" s="39" t="str">
        <f>IFERROR(VLOOKUP(A252,CLIENTES!A:E,2,0),"CADASTRAR CLIENTE")</f>
        <v>ASS.CARIDADE DA SANTA CASA MISERIC.DE ASSIS</v>
      </c>
      <c r="C252" s="39"/>
      <c r="D252" s="40">
        <v>94242</v>
      </c>
      <c r="E252" s="44">
        <v>96</v>
      </c>
      <c r="F252" s="46"/>
      <c r="G252" s="41"/>
      <c r="H252" s="41"/>
      <c r="I252" s="42">
        <v>46146</v>
      </c>
      <c r="J252"/>
    </row>
    <row r="253" spans="1:10" x14ac:dyDescent="0.25">
      <c r="A253">
        <v>500029</v>
      </c>
      <c r="B253" s="39" t="str">
        <f>IFERROR(VLOOKUP(A253,CLIENTES!A:E,2,0),"CADASTRAR CLIENTE")</f>
        <v>ASSOCIACAO BENEFICENTE SAMARITANO</v>
      </c>
      <c r="C253" s="39"/>
      <c r="D253" s="40">
        <v>94295</v>
      </c>
      <c r="E253" s="44">
        <v>408</v>
      </c>
      <c r="F253" s="46"/>
      <c r="G253" s="41"/>
      <c r="H253" s="41"/>
      <c r="I253" s="42">
        <v>46146</v>
      </c>
      <c r="J253"/>
    </row>
    <row r="254" spans="1:10" x14ac:dyDescent="0.25">
      <c r="A254">
        <v>456</v>
      </c>
      <c r="B254" s="39" t="str">
        <f>IFERROR(VLOOKUP(A254,CLIENTES!A:E,2,0),"CADASTRAR CLIENTE")</f>
        <v>FUNDACAO HOSPITALAR NOSSA SENHORA DE LOURDES</v>
      </c>
      <c r="C254" s="39"/>
      <c r="D254" s="40">
        <v>94234</v>
      </c>
      <c r="E254" s="44">
        <v>311</v>
      </c>
      <c r="F254" s="46"/>
      <c r="G254" s="41"/>
      <c r="H254" s="41"/>
      <c r="I254" s="42">
        <v>46146</v>
      </c>
      <c r="J254"/>
    </row>
    <row r="255" spans="1:10" x14ac:dyDescent="0.25">
      <c r="A255">
        <v>500529</v>
      </c>
      <c r="B255" s="39" t="str">
        <f>IFERROR(VLOOKUP(A255,CLIENTES!A:E,2,0),"CADASTRAR CLIENTE")</f>
        <v>FUNDACAO SANTARRITENSE DE SAUDE E ASSISTENCIA SOCIAL</v>
      </c>
      <c r="C255" s="39"/>
      <c r="D255" s="40">
        <v>94245</v>
      </c>
      <c r="E255" s="44">
        <v>616.79999999999995</v>
      </c>
      <c r="F255" s="46"/>
      <c r="G255" s="41"/>
      <c r="H255" s="41"/>
      <c r="I255" s="42">
        <v>46146</v>
      </c>
      <c r="J255"/>
    </row>
    <row r="256" spans="1:10" x14ac:dyDescent="0.25">
      <c r="A256">
        <v>500858</v>
      </c>
      <c r="B256" s="39" t="str">
        <f>IFERROR(VLOOKUP(A256,CLIENTES!A:E,2,0),"CADASTRAR CLIENTE")</f>
        <v>IMLAB VETERINARIA LTDA</v>
      </c>
      <c r="C256" s="39"/>
      <c r="D256" s="40">
        <v>94244</v>
      </c>
      <c r="E256" s="44">
        <v>320</v>
      </c>
      <c r="F256" s="46"/>
      <c r="G256" s="41"/>
      <c r="H256" s="41"/>
      <c r="I256" s="42">
        <v>46146</v>
      </c>
      <c r="J256"/>
    </row>
    <row r="257" spans="1:10" x14ac:dyDescent="0.25">
      <c r="A257">
        <v>500858</v>
      </c>
      <c r="B257" s="39" t="str">
        <f>IFERROR(VLOOKUP(A257,CLIENTES!A:E,2,0),"CADASTRAR CLIENTE")</f>
        <v>IMLAB VETERINARIA LTDA</v>
      </c>
      <c r="C257" s="39"/>
      <c r="D257" s="40">
        <v>94243</v>
      </c>
      <c r="E257" s="44">
        <v>682.5</v>
      </c>
      <c r="F257" s="46"/>
      <c r="G257" s="41"/>
      <c r="H257" s="41"/>
      <c r="I257" s="42">
        <v>46146</v>
      </c>
      <c r="J257"/>
    </row>
    <row r="258" spans="1:10" x14ac:dyDescent="0.25">
      <c r="A258">
        <v>758</v>
      </c>
      <c r="B258" s="39" t="str">
        <f>IFERROR(VLOOKUP(A258,CLIENTES!A:E,2,0),"CADASTRAR CLIENTE")</f>
        <v>IRMANDADE DA SANTA CASA DE ANDRADINA</v>
      </c>
      <c r="C258" s="39"/>
      <c r="D258" s="40">
        <v>94268</v>
      </c>
      <c r="E258" s="44">
        <v>6800</v>
      </c>
      <c r="F258" s="46"/>
      <c r="G258" s="41"/>
      <c r="H258" s="41"/>
      <c r="I258" s="42">
        <v>46146</v>
      </c>
      <c r="J258"/>
    </row>
    <row r="259" spans="1:10" x14ac:dyDescent="0.25">
      <c r="A259">
        <v>500984</v>
      </c>
      <c r="B259" s="39" t="str">
        <f>IFERROR(VLOOKUP(A259,CLIENTES!A:E,2,0),"CADASTRAR CLIENTE")</f>
        <v>J. L. SAUDE - ASSISTENCIA MEDICA LTDA</v>
      </c>
      <c r="C259" s="39"/>
      <c r="D259" s="40">
        <v>94239</v>
      </c>
      <c r="E259" s="44">
        <v>1408</v>
      </c>
      <c r="F259" s="46"/>
      <c r="G259" s="41"/>
      <c r="H259" s="41"/>
      <c r="I259" s="42">
        <v>46146</v>
      </c>
      <c r="J259"/>
    </row>
    <row r="260" spans="1:10" x14ac:dyDescent="0.25">
      <c r="A260">
        <v>500367</v>
      </c>
      <c r="B260" s="39" t="str">
        <f>IFERROR(VLOOKUP(A260,CLIENTES!A:E,2,0),"CADASTRAR CLIENTE")</f>
        <v>PRO SCIENCE SAUDE ANIMAL LTDA</v>
      </c>
      <c r="C260" s="39"/>
      <c r="D260" s="40">
        <v>94264</v>
      </c>
      <c r="E260" s="44">
        <v>2365</v>
      </c>
      <c r="F260" s="46"/>
      <c r="G260" s="41"/>
      <c r="H260" s="41"/>
      <c r="I260" s="42">
        <v>46146</v>
      </c>
      <c r="J260"/>
    </row>
    <row r="261" spans="1:10" x14ac:dyDescent="0.25">
      <c r="A261">
        <v>500379</v>
      </c>
      <c r="B261" s="39" t="str">
        <f>IFERROR(VLOOKUP(A261,CLIENTES!A:E,2,0),"CADASTRAR CLIENTE")</f>
        <v>SAMEDIL - SERVICOS DE ATENDIMENTO MEDICO S/A</v>
      </c>
      <c r="C261" s="39"/>
      <c r="D261" s="40">
        <v>94252</v>
      </c>
      <c r="E261" s="44">
        <v>1170</v>
      </c>
      <c r="F261" s="46"/>
      <c r="G261" s="41"/>
      <c r="H261" s="41"/>
      <c r="I261" s="42">
        <v>46146</v>
      </c>
      <c r="J261"/>
    </row>
    <row r="262" spans="1:10" x14ac:dyDescent="0.25">
      <c r="A262">
        <v>1147</v>
      </c>
      <c r="B262" s="39" t="str">
        <f>IFERROR(VLOOKUP(A262,CLIENTES!A:E,2,0),"CADASTRAR CLIENTE")</f>
        <v>LABORPATAS LABORATORIO VETERINARIO LTDA</v>
      </c>
      <c r="C262" s="39"/>
      <c r="D262" s="40">
        <v>94333</v>
      </c>
      <c r="E262" s="44">
        <v>431.4</v>
      </c>
      <c r="F262" s="46"/>
      <c r="G262" s="41"/>
      <c r="H262" s="41"/>
      <c r="I262" s="42">
        <v>46147</v>
      </c>
      <c r="J262"/>
    </row>
    <row r="263" spans="1:10" x14ac:dyDescent="0.25">
      <c r="A263">
        <v>1303</v>
      </c>
      <c r="B263" s="39" t="str">
        <f>IFERROR(VLOOKUP(A263,CLIENTES!A:E,2,0),"CADASTRAR CLIENTE")</f>
        <v>SOCIEDADE BENEFICIENTE SAO CAMILO</v>
      </c>
      <c r="C263" s="39"/>
      <c r="D263" s="40">
        <v>94341</v>
      </c>
      <c r="E263" s="44">
        <v>298.7</v>
      </c>
      <c r="F263" s="46"/>
      <c r="G263" s="41"/>
      <c r="H263" s="41"/>
      <c r="I263" s="42">
        <v>46147</v>
      </c>
      <c r="J263"/>
    </row>
    <row r="264" spans="1:10" x14ac:dyDescent="0.25">
      <c r="A264">
        <v>500846</v>
      </c>
      <c r="B264" s="39" t="str">
        <f>IFERROR(VLOOKUP(A264,CLIENTES!A:E,2,0),"CADASTRAR CLIENTE")</f>
        <v>LUIS PAULO FROELICH FERREIRA LTDA</v>
      </c>
      <c r="C264" s="39"/>
      <c r="D264" s="40">
        <v>94355</v>
      </c>
      <c r="E264" s="44">
        <v>355</v>
      </c>
      <c r="F264" s="46"/>
      <c r="G264" s="41"/>
      <c r="H264" s="41"/>
      <c r="I264" s="42">
        <v>46148</v>
      </c>
      <c r="J264"/>
    </row>
    <row r="265" spans="1:10" x14ac:dyDescent="0.25">
      <c r="A265">
        <v>500998</v>
      </c>
      <c r="B265" s="39" t="str">
        <f>IFERROR(VLOOKUP(A265,CLIENTES!A:E,2,0),"CADASTRAR CLIENTE")</f>
        <v>CASA DE SAUDE SANTA RITA S A</v>
      </c>
      <c r="C265" s="39"/>
      <c r="D265" s="40">
        <v>94424</v>
      </c>
      <c r="E265" s="44">
        <v>825</v>
      </c>
      <c r="F265" s="46"/>
      <c r="G265" s="41"/>
      <c r="H265" s="41"/>
      <c r="I265" s="42">
        <v>46149</v>
      </c>
      <c r="J265"/>
    </row>
    <row r="266" spans="1:10" x14ac:dyDescent="0.25">
      <c r="A266">
        <v>2548</v>
      </c>
      <c r="B266" s="39" t="str">
        <f>IFERROR(VLOOKUP(A266,CLIENTES!A:E,2,0),"CADASTRAR CLIENTE")</f>
        <v>FUNDACAO P/ DES.MEDICO E HOSP. MATERNIDADE STA ISABEL</v>
      </c>
      <c r="C266" s="39"/>
      <c r="D266" s="40">
        <v>94432</v>
      </c>
      <c r="E266" s="44">
        <v>490</v>
      </c>
      <c r="F266" s="46"/>
      <c r="G266" s="41"/>
      <c r="H266" s="41"/>
      <c r="I266" s="42">
        <v>46149</v>
      </c>
      <c r="J266"/>
    </row>
    <row r="267" spans="1:10" x14ac:dyDescent="0.25">
      <c r="A267">
        <v>1683</v>
      </c>
      <c r="B267" s="39" t="str">
        <f>IFERROR(VLOOKUP(A267,CLIENTES!A:E,2,0),"CADASTRAR CLIENTE")</f>
        <v>HOSPITAL E MATERNIDADE SANTA TEREZA</v>
      </c>
      <c r="C267" s="39"/>
      <c r="D267" s="40">
        <v>94434</v>
      </c>
      <c r="E267" s="44">
        <v>1192.8</v>
      </c>
      <c r="F267" s="46"/>
      <c r="G267" s="41"/>
      <c r="H267" s="41"/>
      <c r="I267" s="42">
        <v>46149</v>
      </c>
      <c r="J267"/>
    </row>
    <row r="268" spans="1:10" x14ac:dyDescent="0.25">
      <c r="A268">
        <v>1683</v>
      </c>
      <c r="B268" s="39" t="str">
        <f>IFERROR(VLOOKUP(A268,CLIENTES!A:E,2,0),"CADASTRAR CLIENTE")</f>
        <v>HOSPITAL E MATERNIDADE SANTA TEREZA</v>
      </c>
      <c r="C268" s="39"/>
      <c r="D268" s="40">
        <v>94435</v>
      </c>
      <c r="E268" s="44">
        <v>754.7</v>
      </c>
      <c r="F268" s="46"/>
      <c r="G268" s="41"/>
      <c r="H268" s="41"/>
      <c r="I268" s="42">
        <v>46149</v>
      </c>
      <c r="J268"/>
    </row>
    <row r="269" spans="1:10" x14ac:dyDescent="0.25">
      <c r="A269">
        <v>50137</v>
      </c>
      <c r="B269" s="39" t="str">
        <f>IFERROR(VLOOKUP(A269,CLIENTES!A:E,2,0),"CADASTRAR CLIENTE")</f>
        <v>I.S.B.J.P DA STA CASA DE MISER. DE BRAG. PAULISTA</v>
      </c>
      <c r="C269" s="39"/>
      <c r="D269" s="40">
        <v>94440</v>
      </c>
      <c r="E269" s="44">
        <v>291</v>
      </c>
      <c r="F269" s="46"/>
      <c r="G269" s="41"/>
      <c r="H269" s="41"/>
      <c r="I269" s="42">
        <v>46149</v>
      </c>
      <c r="J269"/>
    </row>
    <row r="270" spans="1:10" x14ac:dyDescent="0.25">
      <c r="A270">
        <v>50137</v>
      </c>
      <c r="B270" s="39" t="str">
        <f>IFERROR(VLOOKUP(A270,CLIENTES!A:E,2,0),"CADASTRAR CLIENTE")</f>
        <v>I.S.B.J.P DA STA CASA DE MISER. DE BRAG. PAULISTA</v>
      </c>
      <c r="C270" s="39"/>
      <c r="D270" s="40">
        <v>94441</v>
      </c>
      <c r="E270" s="44">
        <v>297</v>
      </c>
      <c r="F270" s="46"/>
      <c r="G270" s="41"/>
      <c r="H270" s="41"/>
      <c r="I270" s="42">
        <v>46149</v>
      </c>
      <c r="J270"/>
    </row>
    <row r="271" spans="1:10" x14ac:dyDescent="0.25">
      <c r="A271">
        <v>6</v>
      </c>
      <c r="B271" s="39" t="str">
        <f>IFERROR(VLOOKUP(A271,CLIENTES!A:E,2,0),"CADASTRAR CLIENTE")</f>
        <v>LABORATORIO DE ANALISES CLINICAS QUIEZIE &amp; QUIEZIE LTDA-EPP</v>
      </c>
      <c r="C271" s="39"/>
      <c r="D271" s="40">
        <v>94455</v>
      </c>
      <c r="E271" s="44">
        <v>360</v>
      </c>
      <c r="F271" s="46"/>
      <c r="G271" s="41"/>
      <c r="H271" s="41"/>
      <c r="I271" s="42">
        <v>46149</v>
      </c>
      <c r="J271"/>
    </row>
    <row r="272" spans="1:10" x14ac:dyDescent="0.25">
      <c r="A272">
        <v>592</v>
      </c>
      <c r="B272" s="39" t="str">
        <f>IFERROR(VLOOKUP(A272,CLIENTES!A:E,2,0),"CADASTRAR CLIENTE")</f>
        <v>PINDORAMA LABORATORIO DE ANALISES CLINICAS LTDA ME</v>
      </c>
      <c r="C272" s="39"/>
      <c r="D272" s="40">
        <v>94489</v>
      </c>
      <c r="E272" s="44">
        <v>1576.1</v>
      </c>
      <c r="F272" s="46"/>
      <c r="G272" s="41"/>
      <c r="H272" s="41"/>
      <c r="I272" s="42">
        <v>46150</v>
      </c>
      <c r="J272"/>
    </row>
    <row r="273" spans="1:10" x14ac:dyDescent="0.25">
      <c r="A273">
        <v>456</v>
      </c>
      <c r="B273" s="39" t="str">
        <f>IFERROR(VLOOKUP(A273,CLIENTES!A:E,2,0),"CADASTRAR CLIENTE")</f>
        <v>FUNDACAO HOSPITALAR NOSSA SENHORA DE LOURDES</v>
      </c>
      <c r="C273" s="39"/>
      <c r="D273" s="40">
        <v>94541</v>
      </c>
      <c r="E273" s="44">
        <v>4056</v>
      </c>
      <c r="F273" s="46"/>
      <c r="G273" s="41"/>
      <c r="H273" s="41"/>
      <c r="I273" s="42">
        <v>46153</v>
      </c>
      <c r="J273"/>
    </row>
    <row r="274" spans="1:10" x14ac:dyDescent="0.25">
      <c r="A274">
        <v>500858</v>
      </c>
      <c r="B274" s="39" t="str">
        <f>IFERROR(VLOOKUP(A274,CLIENTES!A:E,2,0),"CADASTRAR CLIENTE")</f>
        <v>IMLAB VETERINARIA LTDA</v>
      </c>
      <c r="C274" s="39"/>
      <c r="D274" s="40">
        <v>94515</v>
      </c>
      <c r="E274" s="44">
        <v>320</v>
      </c>
      <c r="F274" s="46"/>
      <c r="G274" s="41"/>
      <c r="H274" s="41"/>
      <c r="I274" s="42">
        <v>46153</v>
      </c>
      <c r="J274"/>
    </row>
    <row r="275" spans="1:10" x14ac:dyDescent="0.25">
      <c r="A275">
        <v>500361</v>
      </c>
      <c r="B275" s="39" t="str">
        <f>IFERROR(VLOOKUP(A275,CLIENTES!A:E,2,0),"CADASTRAR CLIENTE")</f>
        <v>SANTA CASA DE MISER DA IRSENHOR DOS PASSOS DE UBATUBA</v>
      </c>
      <c r="C275" s="39"/>
      <c r="D275" s="40">
        <v>94495</v>
      </c>
      <c r="E275" s="44">
        <v>1897</v>
      </c>
      <c r="F275" s="46"/>
      <c r="G275" s="41"/>
      <c r="H275" s="41"/>
      <c r="I275" s="42">
        <v>46153</v>
      </c>
      <c r="J275"/>
    </row>
    <row r="276" spans="1:10" x14ac:dyDescent="0.25">
      <c r="A276">
        <v>3538</v>
      </c>
      <c r="B276" s="39" t="str">
        <f>IFERROR(VLOOKUP(A276,CLIENTES!A:E,2,0),"CADASTRAR CLIENTE")</f>
        <v>CENTERLAB AMBIENTAL LABORATORIO DE ANALISE LTDA</v>
      </c>
      <c r="C276" s="39"/>
      <c r="D276" s="40">
        <v>94610</v>
      </c>
      <c r="E276" s="44">
        <v>631.70000000000005</v>
      </c>
      <c r="F276" s="46"/>
      <c r="G276" s="41"/>
      <c r="H276" s="41"/>
      <c r="I276" s="42">
        <v>46154</v>
      </c>
      <c r="J276"/>
    </row>
    <row r="277" spans="1:10" x14ac:dyDescent="0.25">
      <c r="A277">
        <v>2548</v>
      </c>
      <c r="B277" s="39" t="str">
        <f>IFERROR(VLOOKUP(A277,CLIENTES!A:E,2,0),"CADASTRAR CLIENTE")</f>
        <v>FUNDACAO P/ DES.MEDICO E HOSP. MATERNIDADE STA ISABEL</v>
      </c>
      <c r="C277" s="39"/>
      <c r="D277" s="40">
        <v>94594</v>
      </c>
      <c r="E277" s="44">
        <v>402</v>
      </c>
      <c r="F277" s="46"/>
      <c r="G277" s="41"/>
      <c r="H277" s="41"/>
      <c r="I277" s="42">
        <v>46154</v>
      </c>
      <c r="J277"/>
    </row>
    <row r="278" spans="1:10" x14ac:dyDescent="0.25">
      <c r="A278">
        <v>500529</v>
      </c>
      <c r="B278" s="39" t="str">
        <f>IFERROR(VLOOKUP(A278,CLIENTES!A:E,2,0),"CADASTRAR CLIENTE")</f>
        <v>FUNDACAO SANTARRITENSE DE SAUDE E ASSISTENCIA SOCIAL</v>
      </c>
      <c r="C278" s="39"/>
      <c r="D278" s="40">
        <v>94593</v>
      </c>
      <c r="E278" s="44">
        <v>2668.2</v>
      </c>
      <c r="F278" s="46"/>
      <c r="G278" s="41"/>
      <c r="H278" s="41"/>
      <c r="I278" s="42">
        <v>46154</v>
      </c>
      <c r="J278"/>
    </row>
    <row r="279" spans="1:10" x14ac:dyDescent="0.25">
      <c r="A279">
        <v>3327</v>
      </c>
      <c r="B279" s="39" t="str">
        <f>IFERROR(VLOOKUP(A279,CLIENTES!A:E,2,0),"CADASTRAR CLIENTE")</f>
        <v>IRMANDADE SAO JOSE DE NOVO HORIZONTE</v>
      </c>
      <c r="C279" s="39"/>
      <c r="D279" s="40">
        <v>94605</v>
      </c>
      <c r="E279" s="44">
        <v>856.5</v>
      </c>
      <c r="F279" s="46"/>
      <c r="G279" s="41"/>
      <c r="H279" s="41"/>
      <c r="I279" s="42">
        <v>46154</v>
      </c>
      <c r="J279"/>
    </row>
    <row r="280" spans="1:10" x14ac:dyDescent="0.25">
      <c r="A280">
        <v>3327</v>
      </c>
      <c r="B280" s="39" t="str">
        <f>IFERROR(VLOOKUP(A280,CLIENTES!A:E,2,0),"CADASTRAR CLIENTE")</f>
        <v>IRMANDADE SAO JOSE DE NOVO HORIZONTE</v>
      </c>
      <c r="C280" s="39"/>
      <c r="D280" s="40">
        <v>94606</v>
      </c>
      <c r="E280" s="44">
        <v>454.25</v>
      </c>
      <c r="F280" s="46"/>
      <c r="G280" s="41"/>
      <c r="H280" s="41"/>
      <c r="I280" s="42">
        <v>46154</v>
      </c>
      <c r="J280"/>
    </row>
    <row r="281" spans="1:10" x14ac:dyDescent="0.25">
      <c r="A281">
        <v>977</v>
      </c>
      <c r="B281" s="39" t="str">
        <f>IFERROR(VLOOKUP(A281,CLIENTES!A:E,2,0),"CADASTRAR CLIENTE")</f>
        <v>LAFROIS LABORATORIO DE ANALISES CLINICAS LTDA</v>
      </c>
      <c r="C281" s="39"/>
      <c r="D281" s="40">
        <v>94623</v>
      </c>
      <c r="E281" s="44">
        <v>2646.2</v>
      </c>
      <c r="F281" s="46"/>
      <c r="G281" s="41"/>
      <c r="H281" s="41"/>
      <c r="I281" s="42">
        <v>46154</v>
      </c>
      <c r="J281"/>
    </row>
    <row r="282" spans="1:10" x14ac:dyDescent="0.25">
      <c r="A282">
        <v>592</v>
      </c>
      <c r="B282" s="39" t="str">
        <f>IFERROR(VLOOKUP(A282,CLIENTES!A:E,2,0),"CADASTRAR CLIENTE")</f>
        <v>PINDORAMA LABORATORIO DE ANALISES CLINICAS LTDA ME</v>
      </c>
      <c r="C282" s="39"/>
      <c r="D282" s="40">
        <v>94618</v>
      </c>
      <c r="E282" s="44">
        <v>75</v>
      </c>
      <c r="F282" s="46"/>
      <c r="G282" s="41"/>
      <c r="H282" s="41"/>
      <c r="I282" s="42">
        <v>46154</v>
      </c>
      <c r="J282"/>
    </row>
    <row r="283" spans="1:10" x14ac:dyDescent="0.25">
      <c r="A283">
        <v>50415</v>
      </c>
      <c r="B283" s="39" t="str">
        <f>IFERROR(VLOOKUP(A283,CLIENTES!A:E,2,0),"CADASTRAR CLIENTE")</f>
        <v>SPDM- ASSOCIAÇAO PAULISTA PARA O DESENV DA MEDICINA</v>
      </c>
      <c r="C283" s="39"/>
      <c r="D283" s="40">
        <v>94629</v>
      </c>
      <c r="E283" s="44">
        <v>3780</v>
      </c>
      <c r="F283" s="46"/>
      <c r="G283" s="41"/>
      <c r="H283" s="41"/>
      <c r="I283" s="42">
        <v>46155</v>
      </c>
      <c r="J283"/>
    </row>
    <row r="284" spans="1:10" x14ac:dyDescent="0.25">
      <c r="A284">
        <v>500696</v>
      </c>
      <c r="B284" s="39" t="str">
        <f>IFERROR(VLOOKUP(A284,CLIENTES!A:E,2,0),"CADASTRAR CLIENTE")</f>
        <v>FUNDACAO DE ASSISTENCIA INTEGRAL A SAUDE - FAIS</v>
      </c>
      <c r="C284" s="39"/>
      <c r="D284" s="40">
        <v>94708</v>
      </c>
      <c r="E284" s="44">
        <v>308.39999999999998</v>
      </c>
      <c r="F284" s="46"/>
      <c r="G284" s="41"/>
      <c r="H284" s="41"/>
      <c r="I284" s="42">
        <v>46156</v>
      </c>
      <c r="J284"/>
    </row>
    <row r="285" spans="1:10" x14ac:dyDescent="0.25">
      <c r="A285">
        <v>501091</v>
      </c>
      <c r="B285" s="39" t="str">
        <f>IFERROR(VLOOKUP(A285,CLIENTES!A:E,2,0),"CADASTRAR CLIENTE")</f>
        <v>INSTITUTO NACIONAL DE DESENVOLVIMENTO SOCIAL E HUMANO INDSH</v>
      </c>
      <c r="C285" s="39"/>
      <c r="D285" s="40">
        <v>94707</v>
      </c>
      <c r="E285" s="44">
        <v>888.9</v>
      </c>
      <c r="F285" s="46"/>
      <c r="G285" s="41"/>
      <c r="H285" s="41"/>
      <c r="I285" s="42">
        <v>46156</v>
      </c>
      <c r="J285"/>
    </row>
    <row r="286" spans="1:10" x14ac:dyDescent="0.25">
      <c r="A286">
        <v>501089</v>
      </c>
      <c r="B286" s="39" t="str">
        <f>IFERROR(VLOOKUP(A286,CLIENTES!A:E,2,0),"CADASTRAR CLIENTE")</f>
        <v>INSTITUTO NACIONAL DE DESENVOLVIMENTO SOCIAL E HUMANO INDSH</v>
      </c>
      <c r="C286" s="39"/>
      <c r="D286" s="40">
        <v>94705</v>
      </c>
      <c r="E286" s="44">
        <v>525.79999999999995</v>
      </c>
      <c r="F286" s="46"/>
      <c r="G286" s="41"/>
      <c r="H286" s="41"/>
      <c r="I286" s="42">
        <v>46156</v>
      </c>
      <c r="J286"/>
    </row>
    <row r="287" spans="1:10" x14ac:dyDescent="0.25">
      <c r="A287">
        <v>501090</v>
      </c>
      <c r="B287" s="39" t="str">
        <f>IFERROR(VLOOKUP(A287,CLIENTES!A:E,2,0),"CADASTRAR CLIENTE")</f>
        <v>INSTITUTO NACIONAL DE DESENVOLVIMENTO SOCIAL E HUMANO INDSH</v>
      </c>
      <c r="C287" s="39"/>
      <c r="D287" s="40">
        <v>94706</v>
      </c>
      <c r="E287" s="44">
        <v>599.4</v>
      </c>
      <c r="F287" s="46"/>
      <c r="G287" s="41"/>
      <c r="H287" s="41"/>
      <c r="I287" s="42">
        <v>46156</v>
      </c>
      <c r="J287"/>
    </row>
    <row r="288" spans="1:10" x14ac:dyDescent="0.25">
      <c r="A288">
        <v>50256</v>
      </c>
      <c r="B288" s="39" t="str">
        <f>IFERROR(VLOOKUP(A288,CLIENTES!A:E,2,0),"CADASTRAR CLIENTE")</f>
        <v>SOCIEDADE BENEFICIENTE DE CRAVINHOS</v>
      </c>
      <c r="C288" s="39"/>
      <c r="D288" s="40">
        <v>94687</v>
      </c>
      <c r="E288" s="44">
        <v>1050</v>
      </c>
      <c r="F288" s="46"/>
      <c r="G288" s="41"/>
      <c r="H288" s="41"/>
      <c r="I288" s="42">
        <v>46156</v>
      </c>
      <c r="J288"/>
    </row>
    <row r="289" spans="1:10" x14ac:dyDescent="0.25">
      <c r="A289">
        <v>501061</v>
      </c>
      <c r="B289" s="39" t="str">
        <f>IFERROR(VLOOKUP(A289,CLIENTES!A:E,2,0),"CADASTRAR CLIENTE")</f>
        <v>DELNER JULIANO DOS SANTOS XAVIER</v>
      </c>
      <c r="C289" s="39"/>
      <c r="D289" s="40">
        <v>94748</v>
      </c>
      <c r="E289" s="44">
        <v>1216</v>
      </c>
      <c r="F289" s="46"/>
      <c r="G289" s="41"/>
      <c r="H289" s="41"/>
      <c r="I289" s="42">
        <v>46157</v>
      </c>
      <c r="J289"/>
    </row>
    <row r="290" spans="1:10" x14ac:dyDescent="0.25">
      <c r="A290">
        <v>500529</v>
      </c>
      <c r="B290" s="39" t="str">
        <f>IFERROR(VLOOKUP(A290,CLIENTES!A:E,2,0),"CADASTRAR CLIENTE")</f>
        <v>FUNDACAO SANTARRITENSE DE SAUDE E ASSISTENCIA SOCIAL</v>
      </c>
      <c r="C290" s="39"/>
      <c r="D290" s="40">
        <v>94727</v>
      </c>
      <c r="E290" s="44">
        <v>1417.2</v>
      </c>
      <c r="F290" s="46"/>
      <c r="G290" s="41"/>
      <c r="H290" s="41"/>
      <c r="I290" s="42">
        <v>46157</v>
      </c>
      <c r="J290"/>
    </row>
    <row r="291" spans="1:10" x14ac:dyDescent="0.25">
      <c r="A291">
        <v>50392</v>
      </c>
      <c r="B291" s="39" t="str">
        <f>IFERROR(VLOOKUP(A291,CLIENTES!A:E,2,0),"CADASTRAR CLIENTE")</f>
        <v>HELLEN CRISTINA SOUTO LTDA</v>
      </c>
      <c r="C291" s="39"/>
      <c r="D291" s="40">
        <v>94755</v>
      </c>
      <c r="E291" s="44">
        <v>1145.1500000000001</v>
      </c>
      <c r="F291" s="46"/>
      <c r="G291" s="41"/>
      <c r="H291" s="41"/>
      <c r="I291" s="42">
        <v>46157</v>
      </c>
      <c r="J291"/>
    </row>
    <row r="292" spans="1:10" x14ac:dyDescent="0.25">
      <c r="A292">
        <v>500151</v>
      </c>
      <c r="B292" s="39" t="str">
        <f>IFERROR(VLOOKUP(A292,CLIENTES!A:E,2,0),"CADASTRAR CLIENTE")</f>
        <v>HOSPITAL E MATERNIDADE PRESIDENTE PRUDENTE LTDA</v>
      </c>
      <c r="C292" s="39"/>
      <c r="D292" s="40">
        <v>94747</v>
      </c>
      <c r="E292" s="44">
        <v>2560</v>
      </c>
      <c r="F292" s="46"/>
      <c r="G292" s="41"/>
      <c r="H292" s="41"/>
      <c r="I292" s="42">
        <v>46157</v>
      </c>
      <c r="J292"/>
    </row>
    <row r="293" spans="1:10" x14ac:dyDescent="0.25">
      <c r="A293">
        <v>1683</v>
      </c>
      <c r="B293" s="39" t="str">
        <f>IFERROR(VLOOKUP(A293,CLIENTES!A:E,2,0),"CADASTRAR CLIENTE")</f>
        <v>HOSPITAL E MATERNIDADE SANTA TEREZA</v>
      </c>
      <c r="C293" s="39"/>
      <c r="D293" s="40">
        <v>94730</v>
      </c>
      <c r="E293" s="44">
        <v>3112</v>
      </c>
      <c r="F293" s="46"/>
      <c r="G293" s="41"/>
      <c r="H293" s="41"/>
      <c r="I293" s="42">
        <v>46157</v>
      </c>
      <c r="J293"/>
    </row>
    <row r="294" spans="1:10" x14ac:dyDescent="0.25">
      <c r="A294">
        <v>1486</v>
      </c>
      <c r="B294" s="39" t="str">
        <f>IFERROR(VLOOKUP(A294,CLIENTES!A:E,2,0),"CADASTRAR CLIENTE")</f>
        <v>IRMANDADE SANTA CASA DE MISER. DE LIMEIRA</v>
      </c>
      <c r="C294" s="39"/>
      <c r="D294" s="40">
        <v>94741</v>
      </c>
      <c r="E294" s="44">
        <v>8490.2999999999993</v>
      </c>
      <c r="F294" s="46"/>
      <c r="G294" s="41"/>
      <c r="H294" s="41"/>
      <c r="I294" s="42">
        <v>46157</v>
      </c>
      <c r="J294"/>
    </row>
    <row r="295" spans="1:10" x14ac:dyDescent="0.25">
      <c r="A295">
        <v>1147</v>
      </c>
      <c r="B295" s="39" t="str">
        <f>IFERROR(VLOOKUP(A295,CLIENTES!A:E,2,0),"CADASTRAR CLIENTE")</f>
        <v>LABORPATAS LABORATORIO VETERINARIO LTDA</v>
      </c>
      <c r="C295" s="39"/>
      <c r="D295" s="40">
        <v>94732</v>
      </c>
      <c r="E295" s="44">
        <v>291.5</v>
      </c>
      <c r="F295" s="46"/>
      <c r="G295" s="41"/>
      <c r="H295" s="41"/>
      <c r="I295" s="42">
        <v>46157</v>
      </c>
      <c r="J295"/>
    </row>
    <row r="296" spans="1:10" x14ac:dyDescent="0.25">
      <c r="A296">
        <v>1147</v>
      </c>
      <c r="B296" s="39" t="str">
        <f>IFERROR(VLOOKUP(A296,CLIENTES!A:E,2,0),"CADASTRAR CLIENTE")</f>
        <v>LABORPATAS LABORATORIO VETERINARIO LTDA</v>
      </c>
      <c r="C296" s="39"/>
      <c r="D296" s="40">
        <v>94733</v>
      </c>
      <c r="E296" s="44">
        <v>173.6</v>
      </c>
      <c r="F296" s="46"/>
      <c r="G296" s="41"/>
      <c r="H296" s="41"/>
      <c r="I296" s="42">
        <v>46157</v>
      </c>
      <c r="J296"/>
    </row>
    <row r="297" spans="1:10" x14ac:dyDescent="0.25">
      <c r="A297">
        <v>1378</v>
      </c>
      <c r="B297" s="39" t="str">
        <f>IFERROR(VLOOKUP(A297,CLIENTES!A:E,2,0),"CADASTRAR CLIENTE")</f>
        <v>ASS.CARIDADE DA SANTA CASA MISERIC.DE ASSIS</v>
      </c>
      <c r="C297" s="39"/>
      <c r="D297" s="40">
        <v>94769</v>
      </c>
      <c r="E297" s="44">
        <v>4101.08</v>
      </c>
      <c r="F297" s="46"/>
      <c r="G297" s="41"/>
      <c r="H297" s="41"/>
      <c r="I297" s="42">
        <v>46160</v>
      </c>
      <c r="J297"/>
    </row>
    <row r="298" spans="1:10" x14ac:dyDescent="0.25">
      <c r="A298">
        <v>500940</v>
      </c>
      <c r="B298" s="39" t="str">
        <f>IFERROR(VLOOKUP(A298,CLIENTES!A:E,2,0),"CADASTRAR CLIENTE")</f>
        <v>F. B. GOMES VETERINARIA LTDA</v>
      </c>
      <c r="C298" s="39"/>
      <c r="D298" s="40">
        <v>94772</v>
      </c>
      <c r="E298" s="44">
        <v>1416</v>
      </c>
      <c r="F298" s="46"/>
      <c r="G298" s="41"/>
      <c r="H298" s="41"/>
      <c r="I298" s="42">
        <v>46160</v>
      </c>
      <c r="J298"/>
    </row>
    <row r="299" spans="1:10" x14ac:dyDescent="0.25">
      <c r="A299">
        <v>500598</v>
      </c>
      <c r="B299" s="39" t="str">
        <f>IFERROR(VLOOKUP(A299,CLIENTES!A:E,2,0),"CADASTRAR CLIENTE")</f>
        <v>FUNDACAO DE ASSISTENCIA SOCIAL DE JANAUBA</v>
      </c>
      <c r="C299" s="39"/>
      <c r="D299" s="40">
        <v>94765</v>
      </c>
      <c r="E299" s="44">
        <v>813.4</v>
      </c>
      <c r="F299" s="46"/>
      <c r="G299" s="41"/>
      <c r="H299" s="41"/>
      <c r="I299" s="42">
        <v>46160</v>
      </c>
      <c r="J299"/>
    </row>
    <row r="300" spans="1:10" x14ac:dyDescent="0.25">
      <c r="A300">
        <v>3309</v>
      </c>
      <c r="B300" s="39" t="str">
        <f>IFERROR(VLOOKUP(A300,CLIENTES!A:E,2,0),"CADASTRAR CLIENTE")</f>
        <v>FUNDACAO FACULDADE DE MEDICINA</v>
      </c>
      <c r="C300" s="39"/>
      <c r="D300" s="40">
        <v>94800</v>
      </c>
      <c r="E300" s="44">
        <v>280</v>
      </c>
      <c r="F300" s="46"/>
      <c r="G300" s="41"/>
      <c r="H300" s="41"/>
      <c r="I300" s="42">
        <v>46160</v>
      </c>
      <c r="J300"/>
    </row>
    <row r="301" spans="1:10" x14ac:dyDescent="0.25">
      <c r="A301">
        <v>500674</v>
      </c>
      <c r="B301" s="39" t="str">
        <f>IFERROR(VLOOKUP(A301,CLIENTES!A:E,2,0),"CADASTRAR CLIENTE")</f>
        <v>FUNDACAO UNIVERSIDADE DO CONTESTADO - FUNC</v>
      </c>
      <c r="C301" s="39"/>
      <c r="D301" s="40">
        <v>94766</v>
      </c>
      <c r="E301" s="44">
        <v>835</v>
      </c>
      <c r="F301" s="46"/>
      <c r="G301" s="41"/>
      <c r="H301" s="41"/>
      <c r="I301" s="42">
        <v>46160</v>
      </c>
      <c r="J301"/>
    </row>
    <row r="302" spans="1:10" x14ac:dyDescent="0.25">
      <c r="A302">
        <v>500674</v>
      </c>
      <c r="B302" s="39" t="str">
        <f>IFERROR(VLOOKUP(A302,CLIENTES!A:E,2,0),"CADASTRAR CLIENTE")</f>
        <v>FUNDACAO UNIVERSIDADE DO CONTESTADO - FUNC</v>
      </c>
      <c r="C302" s="39"/>
      <c r="D302" s="40">
        <v>94768</v>
      </c>
      <c r="E302" s="44">
        <v>145.69999999999999</v>
      </c>
      <c r="F302" s="46"/>
      <c r="G302" s="41"/>
      <c r="H302" s="41"/>
      <c r="I302" s="42">
        <v>46160</v>
      </c>
      <c r="J302"/>
    </row>
    <row r="303" spans="1:10" x14ac:dyDescent="0.25">
      <c r="A303">
        <v>500674</v>
      </c>
      <c r="B303" s="39" t="str">
        <f>IFERROR(VLOOKUP(A303,CLIENTES!A:E,2,0),"CADASTRAR CLIENTE")</f>
        <v>FUNDACAO UNIVERSIDADE DO CONTESTADO - FUNC</v>
      </c>
      <c r="C303" s="39"/>
      <c r="D303" s="40">
        <v>94767</v>
      </c>
      <c r="E303" s="44">
        <v>676.4</v>
      </c>
      <c r="F303" s="46"/>
      <c r="G303" s="41"/>
      <c r="H303" s="41"/>
      <c r="I303" s="42">
        <v>46160</v>
      </c>
      <c r="J303"/>
    </row>
    <row r="304" spans="1:10" x14ac:dyDescent="0.25">
      <c r="A304">
        <v>500520</v>
      </c>
      <c r="B304" s="39" t="str">
        <f>IFERROR(VLOOKUP(A304,CLIENTES!A:E,2,0),"CADASTRAR CLIENTE")</f>
        <v>HOSPITAL LEONARDO DA VINCI LTDA</v>
      </c>
      <c r="C304" s="39"/>
      <c r="D304" s="40">
        <v>94773</v>
      </c>
      <c r="E304" s="44">
        <v>177.9</v>
      </c>
      <c r="F304" s="46"/>
      <c r="G304" s="41"/>
      <c r="H304" s="41"/>
      <c r="I304" s="42">
        <v>46160</v>
      </c>
      <c r="J304"/>
    </row>
    <row r="305" spans="1:10" x14ac:dyDescent="0.25">
      <c r="A305">
        <v>758</v>
      </c>
      <c r="B305" s="39" t="str">
        <f>IFERROR(VLOOKUP(A305,CLIENTES!A:E,2,0),"CADASTRAR CLIENTE")</f>
        <v>IRMANDADE DA SANTA CASA DE ANDRADINA</v>
      </c>
      <c r="C305" s="39"/>
      <c r="D305" s="40">
        <v>94812</v>
      </c>
      <c r="E305" s="44">
        <v>4649.49</v>
      </c>
      <c r="F305" s="46"/>
      <c r="G305" s="41"/>
      <c r="H305" s="41"/>
      <c r="I305" s="42">
        <v>46160</v>
      </c>
      <c r="J305"/>
    </row>
    <row r="306" spans="1:10" x14ac:dyDescent="0.25">
      <c r="A306">
        <v>758</v>
      </c>
      <c r="B306" s="39" t="str">
        <f>IFERROR(VLOOKUP(A306,CLIENTES!A:E,2,0),"CADASTRAR CLIENTE")</f>
        <v>IRMANDADE DA SANTA CASA DE ANDRADINA</v>
      </c>
      <c r="C306" s="39"/>
      <c r="D306" s="40">
        <v>94813</v>
      </c>
      <c r="E306" s="44">
        <v>315</v>
      </c>
      <c r="F306" s="46"/>
      <c r="G306" s="41"/>
      <c r="H306" s="41"/>
      <c r="I306" s="42">
        <v>46160</v>
      </c>
      <c r="J306"/>
    </row>
    <row r="307" spans="1:10" x14ac:dyDescent="0.25">
      <c r="A307">
        <v>758</v>
      </c>
      <c r="B307" s="39" t="str">
        <f>IFERROR(VLOOKUP(A307,CLIENTES!A:E,2,0),"CADASTRAR CLIENTE")</f>
        <v>IRMANDADE DA SANTA CASA DE ANDRADINA</v>
      </c>
      <c r="C307" s="39"/>
      <c r="D307" s="40">
        <v>94814</v>
      </c>
      <c r="E307" s="44">
        <v>199.5</v>
      </c>
      <c r="F307" s="46"/>
      <c r="G307" s="41"/>
      <c r="H307" s="41"/>
      <c r="I307" s="42">
        <v>46160</v>
      </c>
      <c r="J307"/>
    </row>
    <row r="308" spans="1:10" x14ac:dyDescent="0.25">
      <c r="A308">
        <v>3120</v>
      </c>
      <c r="B308" s="39" t="str">
        <f>IFERROR(VLOOKUP(A308,CLIENTES!A:E,2,0),"CADASTRAR CLIENTE")</f>
        <v>VANDERLEI SALVADOR BAGNATO</v>
      </c>
      <c r="C308" s="39"/>
      <c r="D308" s="40">
        <v>94776</v>
      </c>
      <c r="E308" s="44">
        <v>1200</v>
      </c>
      <c r="F308" s="46"/>
      <c r="G308" s="41"/>
      <c r="H308" s="41"/>
      <c r="I308" s="42">
        <v>46160</v>
      </c>
      <c r="J308"/>
    </row>
    <row r="309" spans="1:10" x14ac:dyDescent="0.25">
      <c r="A309">
        <v>500029</v>
      </c>
      <c r="B309" s="39" t="str">
        <f>IFERROR(VLOOKUP(A309,CLIENTES!A:E,2,0),"CADASTRAR CLIENTE")</f>
        <v>ASSOCIACAO BENEFICENTE SAMARITANO</v>
      </c>
      <c r="C309" s="39"/>
      <c r="D309" s="40">
        <v>94860</v>
      </c>
      <c r="E309" s="44">
        <v>635.5</v>
      </c>
      <c r="F309" s="46"/>
      <c r="G309" s="41"/>
      <c r="H309" s="41"/>
      <c r="I309" s="42">
        <v>46161</v>
      </c>
      <c r="J309"/>
    </row>
    <row r="310" spans="1:10" x14ac:dyDescent="0.25">
      <c r="A310">
        <v>500419</v>
      </c>
      <c r="B310" s="39" t="str">
        <f>IFERROR(VLOOKUP(A310,CLIENTES!A:E,2,0),"CADASTRAR CLIENTE")</f>
        <v>FUNDACAO DE ASSISTENCIA ESTUDO E PESQUISA DE UBERLANDIA</v>
      </c>
      <c r="C310" s="39"/>
      <c r="D310" s="40">
        <v>94825</v>
      </c>
      <c r="E310" s="44">
        <v>6031.7</v>
      </c>
      <c r="F310" s="46"/>
      <c r="G310" s="41"/>
      <c r="H310" s="41"/>
      <c r="I310" s="42">
        <v>46161</v>
      </c>
      <c r="J310"/>
    </row>
    <row r="311" spans="1:10" x14ac:dyDescent="0.25">
      <c r="A311">
        <v>923</v>
      </c>
      <c r="B311" s="39" t="str">
        <f>IFERROR(VLOOKUP(A311,CLIENTES!A:E,2,0),"CADASTRAR CLIENTE")</f>
        <v>STA. CASA MISERICORDIA DE AVARE</v>
      </c>
      <c r="C311" s="39"/>
      <c r="D311" s="40">
        <v>94820</v>
      </c>
      <c r="E311" s="44">
        <v>431.2</v>
      </c>
      <c r="F311" s="46"/>
      <c r="G311" s="41"/>
      <c r="H311" s="41"/>
      <c r="I311" s="42">
        <v>46161</v>
      </c>
      <c r="J311"/>
    </row>
    <row r="312" spans="1:10" x14ac:dyDescent="0.25">
      <c r="A312">
        <v>500926</v>
      </c>
      <c r="B312" s="39" t="str">
        <f>IFERROR(VLOOKUP(A312,CLIENTES!A:E,2,0),"CADASTRAR CLIENTE")</f>
        <v>FUNDACAO DR. JAYME RODRIGUES</v>
      </c>
      <c r="C312" s="39"/>
      <c r="D312" s="40">
        <v>94908</v>
      </c>
      <c r="E312" s="44">
        <v>544</v>
      </c>
      <c r="F312" s="46"/>
      <c r="G312" s="41"/>
      <c r="H312" s="41"/>
      <c r="I312" s="42">
        <v>46162</v>
      </c>
      <c r="J312"/>
    </row>
    <row r="313" spans="1:10" x14ac:dyDescent="0.25">
      <c r="A313">
        <v>758</v>
      </c>
      <c r="B313" s="39" t="str">
        <f>IFERROR(VLOOKUP(A313,CLIENTES!A:E,2,0),"CADASTRAR CLIENTE")</f>
        <v>IRMANDADE DA SANTA CASA DE ANDRADINA</v>
      </c>
      <c r="C313" s="39"/>
      <c r="D313" s="40">
        <v>94929</v>
      </c>
      <c r="E313" s="44">
        <v>1039.2</v>
      </c>
      <c r="F313" s="46"/>
      <c r="G313" s="41"/>
      <c r="H313" s="41"/>
      <c r="I313" s="42">
        <v>46162</v>
      </c>
      <c r="J313"/>
    </row>
    <row r="314" spans="1:10" x14ac:dyDescent="0.25">
      <c r="A314">
        <v>500984</v>
      </c>
      <c r="B314" s="39" t="str">
        <f>IFERROR(VLOOKUP(A314,CLIENTES!A:E,2,0),"CADASTRAR CLIENTE")</f>
        <v>J. L. SAUDE - ASSISTENCIA MEDICA LTDA</v>
      </c>
      <c r="C314" s="39"/>
      <c r="D314" s="40">
        <v>94934</v>
      </c>
      <c r="E314" s="44">
        <v>237.2</v>
      </c>
      <c r="F314" s="46"/>
      <c r="G314" s="41"/>
      <c r="H314" s="41"/>
      <c r="I314" s="42">
        <v>46162</v>
      </c>
      <c r="J314"/>
    </row>
    <row r="315" spans="1:10" x14ac:dyDescent="0.25">
      <c r="A315">
        <v>50955</v>
      </c>
      <c r="B315" s="39" t="str">
        <f>IFERROR(VLOOKUP(A315,CLIENTES!A:E,2,0),"CADASTRAR CLIENTE")</f>
        <v>LACAP LABORATORIO DE ANALISES CLINICAS LTDA</v>
      </c>
      <c r="C315" s="39"/>
      <c r="D315" s="40">
        <v>94886</v>
      </c>
      <c r="E315" s="44">
        <v>789.6</v>
      </c>
      <c r="F315" s="46"/>
      <c r="G315" s="41"/>
      <c r="H315" s="41"/>
      <c r="I315" s="42">
        <v>46162</v>
      </c>
      <c r="J315"/>
    </row>
    <row r="316" spans="1:10" x14ac:dyDescent="0.25">
      <c r="A316">
        <v>501111</v>
      </c>
      <c r="B316" s="39" t="str">
        <f>IFERROR(VLOOKUP(A316,CLIENTES!A:E,2,0),"CADASTRAR CLIENTE")</f>
        <v>RIO DE JANEIRO SEC MUNICIPAL DE SAUDE</v>
      </c>
      <c r="C316" s="39"/>
      <c r="D316" s="40">
        <v>94894</v>
      </c>
      <c r="E316" s="44">
        <v>1178</v>
      </c>
      <c r="F316" s="46"/>
      <c r="G316" s="41"/>
      <c r="H316" s="41"/>
      <c r="I316" s="42">
        <v>46162</v>
      </c>
      <c r="J316"/>
    </row>
    <row r="317" spans="1:10" x14ac:dyDescent="0.25">
      <c r="A317">
        <v>3271</v>
      </c>
      <c r="B317" s="39" t="str">
        <f>IFERROR(VLOOKUP(A317,CLIENTES!A:E,2,0),"CADASTRAR CLIENTE")</f>
        <v>UNIMED DE PINDAMONHANGABA COOPERATIVA DE TRABALHO MEDICO</v>
      </c>
      <c r="C317" s="39"/>
      <c r="D317" s="40">
        <v>94895</v>
      </c>
      <c r="E317" s="44">
        <v>713.6</v>
      </c>
      <c r="F317" s="46"/>
      <c r="G317" s="41"/>
      <c r="H317" s="41"/>
      <c r="I317" s="42">
        <v>46162</v>
      </c>
      <c r="J317"/>
    </row>
    <row r="318" spans="1:10" x14ac:dyDescent="0.25">
      <c r="A318">
        <v>2192</v>
      </c>
      <c r="B318" s="39" t="str">
        <f>IFERROR(VLOOKUP(A318,CLIENTES!A:E,2,0),"CADASTRAR CLIENTE")</f>
        <v>CDAC CENTRO DIAGNOSTICO DE ANALISES CLINICAS LTDA</v>
      </c>
      <c r="C318" s="39"/>
      <c r="D318" s="40">
        <v>94946</v>
      </c>
      <c r="E318" s="44">
        <v>1185.55</v>
      </c>
      <c r="F318" s="46"/>
      <c r="G318" s="41"/>
      <c r="H318" s="41"/>
      <c r="I318" s="42">
        <v>46163</v>
      </c>
      <c r="J318"/>
    </row>
    <row r="319" spans="1:10" x14ac:dyDescent="0.25">
      <c r="A319">
        <v>51196</v>
      </c>
      <c r="B319" s="39" t="str">
        <f>IFERROR(VLOOKUP(A319,CLIENTES!A:E,2,0),"CADASTRAR CLIENTE")</f>
        <v>ADORA PET CENTRO VETERINARIO LTDA</v>
      </c>
      <c r="C319" s="39"/>
      <c r="D319" s="40">
        <v>95032</v>
      </c>
      <c r="E319" s="44">
        <v>232.2</v>
      </c>
      <c r="F319" s="46"/>
      <c r="G319" s="41"/>
      <c r="H319" s="41"/>
      <c r="I319" s="42">
        <v>46167</v>
      </c>
      <c r="J319"/>
    </row>
    <row r="320" spans="1:10" x14ac:dyDescent="0.25">
      <c r="A320">
        <v>3538</v>
      </c>
      <c r="B320" s="39" t="str">
        <f>IFERROR(VLOOKUP(A320,CLIENTES!A:E,2,0),"CADASTRAR CLIENTE")</f>
        <v>CENTERLAB AMBIENTAL LABORATORIO DE ANALISE LTDA</v>
      </c>
      <c r="C320" s="39"/>
      <c r="D320" s="40">
        <v>95013</v>
      </c>
      <c r="E320" s="44">
        <v>97.2</v>
      </c>
      <c r="F320" s="46"/>
      <c r="G320" s="41"/>
      <c r="H320" s="41"/>
      <c r="I320" s="42">
        <v>46167</v>
      </c>
      <c r="J320"/>
    </row>
    <row r="321" spans="1:10" x14ac:dyDescent="0.25">
      <c r="A321">
        <v>2548</v>
      </c>
      <c r="B321" s="39" t="str">
        <f>IFERROR(VLOOKUP(A321,CLIENTES!A:E,2,0),"CADASTRAR CLIENTE")</f>
        <v>FUNDACAO P/ DES.MEDICO E HOSP. MATERNIDADE STA ISABEL</v>
      </c>
      <c r="C321" s="39"/>
      <c r="D321" s="40">
        <v>95045</v>
      </c>
      <c r="E321" s="44">
        <v>221.7</v>
      </c>
      <c r="F321" s="46"/>
      <c r="G321" s="41"/>
      <c r="H321" s="41"/>
      <c r="I321" s="42">
        <v>46167</v>
      </c>
      <c r="J321"/>
    </row>
    <row r="322" spans="1:10" x14ac:dyDescent="0.25">
      <c r="A322">
        <v>1147</v>
      </c>
      <c r="B322" s="39" t="str">
        <f>IFERROR(VLOOKUP(A322,CLIENTES!A:E,2,0),"CADASTRAR CLIENTE")</f>
        <v>LABORPATAS LABORATORIO VETERINARIO LTDA</v>
      </c>
      <c r="C322" s="39"/>
      <c r="D322" s="40">
        <v>95019</v>
      </c>
      <c r="E322" s="44">
        <v>184</v>
      </c>
      <c r="F322" s="46"/>
      <c r="G322" s="41"/>
      <c r="H322" s="41"/>
      <c r="I322" s="42">
        <v>46167</v>
      </c>
      <c r="J322"/>
    </row>
    <row r="323" spans="1:10" x14ac:dyDescent="0.25">
      <c r="A323">
        <v>1147</v>
      </c>
      <c r="B323" s="39" t="str">
        <f>IFERROR(VLOOKUP(A323,CLIENTES!A:E,2,0),"CADASTRAR CLIENTE")</f>
        <v>LABORPATAS LABORATORIO VETERINARIO LTDA</v>
      </c>
      <c r="C323" s="39"/>
      <c r="D323" s="40">
        <v>95020</v>
      </c>
      <c r="E323" s="44">
        <v>58.9</v>
      </c>
      <c r="F323" s="46"/>
      <c r="G323" s="41"/>
      <c r="H323" s="41"/>
      <c r="I323" s="42">
        <v>46167</v>
      </c>
      <c r="J323"/>
    </row>
    <row r="324" spans="1:10" x14ac:dyDescent="0.25">
      <c r="A324">
        <v>1147</v>
      </c>
      <c r="B324" s="39" t="str">
        <f>IFERROR(VLOOKUP(A324,CLIENTES!A:E,2,0),"CADASTRAR CLIENTE")</f>
        <v>LABORPATAS LABORATORIO VETERINARIO LTDA</v>
      </c>
      <c r="C324" s="39"/>
      <c r="D324" s="40">
        <v>95021</v>
      </c>
      <c r="E324" s="44">
        <v>39</v>
      </c>
      <c r="F324" s="46"/>
      <c r="G324" s="41"/>
      <c r="H324" s="41"/>
      <c r="I324" s="42">
        <v>46167</v>
      </c>
      <c r="J324"/>
    </row>
    <row r="325" spans="1:10" x14ac:dyDescent="0.25">
      <c r="A325">
        <v>501110</v>
      </c>
      <c r="B325" s="39" t="str">
        <f>IFERROR(VLOOKUP(A325,CLIENTES!A:E,2,0),"CADASTRAR CLIENTE")</f>
        <v>LAR DE MEIMEI</v>
      </c>
      <c r="C325" s="39"/>
      <c r="D325" s="40">
        <v>95008</v>
      </c>
      <c r="E325" s="44">
        <v>670</v>
      </c>
      <c r="F325" s="46"/>
      <c r="G325" s="41"/>
      <c r="H325" s="41"/>
      <c r="I325" s="42">
        <v>46167</v>
      </c>
      <c r="J325"/>
    </row>
    <row r="326" spans="1:10" x14ac:dyDescent="0.25">
      <c r="A326">
        <v>501111</v>
      </c>
      <c r="B326" s="39" t="str">
        <f>IFERROR(VLOOKUP(A326,CLIENTES!A:E,2,0),"CADASTRAR CLIENTE")</f>
        <v>RIO DE JANEIRO SEC MUNICIPAL DE SAUDE</v>
      </c>
      <c r="C326" s="39"/>
      <c r="D326" s="40">
        <v>95050</v>
      </c>
      <c r="E326" s="44">
        <v>1888</v>
      </c>
      <c r="F326" s="46"/>
      <c r="G326" s="41"/>
      <c r="H326" s="41"/>
      <c r="I326" s="42">
        <v>46167</v>
      </c>
      <c r="J326"/>
    </row>
    <row r="327" spans="1:10" x14ac:dyDescent="0.25">
      <c r="A327">
        <v>501111</v>
      </c>
      <c r="B327" s="39" t="str">
        <f>IFERROR(VLOOKUP(A327,CLIENTES!A:E,2,0),"CADASTRAR CLIENTE")</f>
        <v>RIO DE JANEIRO SEC MUNICIPAL DE SAUDE</v>
      </c>
      <c r="C327" s="39"/>
      <c r="D327" s="40">
        <v>95051</v>
      </c>
      <c r="E327" s="44">
        <v>1178</v>
      </c>
      <c r="F327" s="46"/>
      <c r="G327" s="41"/>
      <c r="H327" s="41"/>
      <c r="I327" s="42">
        <v>46167</v>
      </c>
      <c r="J327"/>
    </row>
    <row r="328" spans="1:10" x14ac:dyDescent="0.25">
      <c r="A328">
        <v>50291</v>
      </c>
      <c r="B328" s="39" t="str">
        <f>IFERROR(VLOOKUP(A328,CLIENTES!A:E,2,0),"CADASTRAR CLIENTE")</f>
        <v>UNIMED DE CATANDUVA COOPERATIVA DE TRABALHO MEDICO</v>
      </c>
      <c r="C328" s="39"/>
      <c r="D328" s="40">
        <v>95012</v>
      </c>
      <c r="E328" s="44">
        <v>689.9</v>
      </c>
      <c r="F328" s="46"/>
      <c r="G328" s="41"/>
      <c r="H328" s="41"/>
      <c r="I328" s="42">
        <v>46167</v>
      </c>
      <c r="J328"/>
    </row>
    <row r="329" spans="1:10" x14ac:dyDescent="0.25">
      <c r="A329">
        <v>500151</v>
      </c>
      <c r="B329" s="39" t="str">
        <f>IFERROR(VLOOKUP(A329,CLIENTES!A:E,2,0),"CADASTRAR CLIENTE")</f>
        <v>HOSPITAL E MATERNIDADE PRESIDENTE PRUDENTE LTDA</v>
      </c>
      <c r="C329" s="39"/>
      <c r="D329" s="40">
        <v>95112</v>
      </c>
      <c r="E329" s="44">
        <v>2560</v>
      </c>
      <c r="F329" s="46"/>
      <c r="G329" s="41"/>
      <c r="H329" s="41"/>
      <c r="I329" s="42">
        <v>46168</v>
      </c>
      <c r="J329"/>
    </row>
    <row r="330" spans="1:10" x14ac:dyDescent="0.25">
      <c r="A330">
        <v>93</v>
      </c>
      <c r="B330" s="39" t="str">
        <f>IFERROR(VLOOKUP(A330,CLIENTES!A:E,2,0),"CADASTRAR CLIENTE")</f>
        <v>LAB. ANAL. CLIN. SAO JORGE SC  LTDA.</v>
      </c>
      <c r="C330" s="39"/>
      <c r="D330" s="40">
        <v>95096</v>
      </c>
      <c r="E330" s="44">
        <v>806.7</v>
      </c>
      <c r="F330" s="46"/>
      <c r="G330" s="41"/>
      <c r="H330" s="41"/>
      <c r="I330" s="42">
        <v>46168</v>
      </c>
      <c r="J330"/>
    </row>
    <row r="331" spans="1:10" x14ac:dyDescent="0.25">
      <c r="A331">
        <v>101</v>
      </c>
      <c r="B331" s="39" t="str">
        <f>IFERROR(VLOOKUP(A331,CLIENTES!A:E,2,0),"CADASTRAR CLIENTE")</f>
        <v>LABORATORIO MEDICO ESPECIALIZADO LTDA</v>
      </c>
      <c r="C331" s="39"/>
      <c r="D331" s="40">
        <v>95115</v>
      </c>
      <c r="E331" s="44">
        <v>106.2</v>
      </c>
      <c r="F331" s="46"/>
      <c r="G331" s="41"/>
      <c r="H331" s="41"/>
      <c r="I331" s="42">
        <v>46168</v>
      </c>
      <c r="J331"/>
    </row>
    <row r="332" spans="1:10" x14ac:dyDescent="0.25">
      <c r="A332">
        <v>1010</v>
      </c>
      <c r="B332" s="39" t="str">
        <f>IFERROR(VLOOKUP(A332,CLIENTES!A:E,2,0),"CADASTRAR CLIENTE")</f>
        <v>LABORATORIO SAO MARCOS DE ANALISES CLINICAS LTDA.</v>
      </c>
      <c r="C332" s="39"/>
      <c r="D332" s="40">
        <v>95117</v>
      </c>
      <c r="E332" s="44">
        <v>2838.7</v>
      </c>
      <c r="F332" s="46"/>
      <c r="G332" s="41"/>
      <c r="H332" s="41"/>
      <c r="I332" s="42">
        <v>46168</v>
      </c>
      <c r="J332"/>
    </row>
    <row r="333" spans="1:10" x14ac:dyDescent="0.25">
      <c r="A333">
        <v>977</v>
      </c>
      <c r="B333" s="39" t="str">
        <f>IFERROR(VLOOKUP(A333,CLIENTES!A:E,2,0),"CADASTRAR CLIENTE")</f>
        <v>LAFROIS LABORATORIO DE ANALISES CLINICAS LTDA</v>
      </c>
      <c r="C333" s="39"/>
      <c r="D333" s="40">
        <v>95090</v>
      </c>
      <c r="E333" s="44">
        <v>1108.3399999999999</v>
      </c>
      <c r="F333" s="46"/>
      <c r="G333" s="41"/>
      <c r="H333" s="41"/>
      <c r="I333" s="42">
        <v>46168</v>
      </c>
      <c r="J333"/>
    </row>
    <row r="334" spans="1:10" x14ac:dyDescent="0.25">
      <c r="A334">
        <v>500361</v>
      </c>
      <c r="B334" s="39" t="str">
        <f>IFERROR(VLOOKUP(A334,CLIENTES!A:E,2,0),"CADASTRAR CLIENTE")</f>
        <v>SANTA CASA DE MISER DA IRSENHOR DOS PASSOS DE UBATUBA</v>
      </c>
      <c r="C334" s="39"/>
      <c r="D334" s="40">
        <v>95083</v>
      </c>
      <c r="E334" s="44">
        <v>716</v>
      </c>
      <c r="F334" s="46"/>
      <c r="G334" s="41"/>
      <c r="H334" s="41"/>
      <c r="I334" s="42">
        <v>46168</v>
      </c>
      <c r="J334"/>
    </row>
    <row r="335" spans="1:10" x14ac:dyDescent="0.25">
      <c r="A335">
        <v>3271</v>
      </c>
      <c r="B335" s="39" t="str">
        <f>IFERROR(VLOOKUP(A335,CLIENTES!A:E,2,0),"CADASTRAR CLIENTE")</f>
        <v>UNIMED DE PINDAMONHANGABA COOPERATIVA DE TRABALHO MEDICO</v>
      </c>
      <c r="C335" s="39"/>
      <c r="D335" s="40">
        <v>95091</v>
      </c>
      <c r="E335" s="44">
        <v>2109.4</v>
      </c>
      <c r="F335" s="46"/>
      <c r="G335" s="41"/>
      <c r="H335" s="41"/>
      <c r="I335" s="42">
        <v>46168</v>
      </c>
      <c r="J335"/>
    </row>
    <row r="336" spans="1:10" x14ac:dyDescent="0.25">
      <c r="A336">
        <v>1378</v>
      </c>
      <c r="B336" s="39" t="str">
        <f>IFERROR(VLOOKUP(A336,CLIENTES!A:E,2,0),"CADASTRAR CLIENTE")</f>
        <v>ASS.CARIDADE DA SANTA CASA MISERIC.DE ASSIS</v>
      </c>
      <c r="C336" s="39"/>
      <c r="D336" s="40">
        <v>95132</v>
      </c>
      <c r="E336" s="44">
        <v>2360.1999999999998</v>
      </c>
      <c r="F336" s="46"/>
      <c r="G336" s="41"/>
      <c r="H336" s="41"/>
      <c r="I336" s="42">
        <v>46169</v>
      </c>
      <c r="J336"/>
    </row>
    <row r="337" spans="1:10" x14ac:dyDescent="0.25">
      <c r="A337">
        <v>50775</v>
      </c>
      <c r="B337" s="39" t="str">
        <f>IFERROR(VLOOKUP(A337,CLIENTES!A:E,2,0),"CADASTRAR CLIENTE")</f>
        <v>FUNDACAO DE APOIO A PESQUISA</v>
      </c>
      <c r="C337" s="39"/>
      <c r="D337" s="40">
        <v>95125</v>
      </c>
      <c r="E337" s="44">
        <v>407</v>
      </c>
      <c r="F337" s="46"/>
      <c r="G337" s="41"/>
      <c r="H337" s="41"/>
      <c r="I337" s="42">
        <v>46169</v>
      </c>
      <c r="J337"/>
    </row>
    <row r="338" spans="1:10" x14ac:dyDescent="0.25">
      <c r="A338">
        <v>1316</v>
      </c>
      <c r="B338" s="39" t="str">
        <f>IFERROR(VLOOKUP(A338,CLIENTES!A:E,2,0),"CADASTRAR CLIENTE")</f>
        <v>IRMANDADE SANTA CASA DE MISERICORDIA DE MOCOCA</v>
      </c>
      <c r="C338" s="39"/>
      <c r="D338" s="40">
        <v>95126</v>
      </c>
      <c r="E338" s="44">
        <v>133.80000000000001</v>
      </c>
      <c r="F338" s="46"/>
      <c r="G338" s="41"/>
      <c r="H338" s="41"/>
      <c r="I338" s="42">
        <v>46169</v>
      </c>
      <c r="J338"/>
    </row>
    <row r="339" spans="1:10" x14ac:dyDescent="0.25">
      <c r="A339">
        <v>501089</v>
      </c>
      <c r="B339" s="39" t="str">
        <f>IFERROR(VLOOKUP(A339,CLIENTES!A:E,2,0),"CADASTRAR CLIENTE")</f>
        <v>INSTITUTO NACIONAL DE DESENVOLVIMENTO SOCIAL E HUMANO INDSH</v>
      </c>
      <c r="C339" s="39"/>
      <c r="D339" s="40">
        <v>95229</v>
      </c>
      <c r="E339" s="44">
        <v>399.6</v>
      </c>
      <c r="F339" s="46"/>
      <c r="G339" s="41"/>
      <c r="H339" s="41"/>
      <c r="I339" s="42">
        <v>46171</v>
      </c>
      <c r="J339"/>
    </row>
    <row r="340" spans="1:10" x14ac:dyDescent="0.25">
      <c r="A340">
        <v>501091</v>
      </c>
      <c r="B340" s="39" t="str">
        <f>IFERROR(VLOOKUP(A340,CLIENTES!A:E,2,0),"CADASTRAR CLIENTE")</f>
        <v>INSTITUTO NACIONAL DE DESENVOLVIMENTO SOCIAL E HUMANO INDSH</v>
      </c>
      <c r="C340" s="39"/>
      <c r="D340" s="40">
        <v>95227</v>
      </c>
      <c r="E340" s="44">
        <v>1498.5</v>
      </c>
      <c r="F340" s="46"/>
      <c r="G340" s="41"/>
      <c r="H340" s="41"/>
      <c r="I340" s="42">
        <v>46171</v>
      </c>
      <c r="J340"/>
    </row>
    <row r="341" spans="1:10" x14ac:dyDescent="0.25">
      <c r="A341">
        <v>501090</v>
      </c>
      <c r="B341" s="39" t="str">
        <f>IFERROR(VLOOKUP(A341,CLIENTES!A:E,2,0),"CADASTRAR CLIENTE")</f>
        <v>INSTITUTO NACIONAL DE DESENVOLVIMENTO SOCIAL E HUMANO INDSH</v>
      </c>
      <c r="C341" s="39"/>
      <c r="D341" s="40">
        <v>95228</v>
      </c>
      <c r="E341" s="44">
        <v>599.4</v>
      </c>
      <c r="F341" s="46"/>
      <c r="G341" s="41"/>
      <c r="H341" s="41"/>
      <c r="I341" s="42">
        <v>46171</v>
      </c>
      <c r="J341"/>
    </row>
    <row r="342" spans="1:10" x14ac:dyDescent="0.25">
      <c r="A342">
        <v>500501</v>
      </c>
      <c r="B342" s="39" t="str">
        <f>IFERROR(VLOOKUP(A342,CLIENTES!A:E,2,0),"CADASTRAR CLIENTE")</f>
        <v>LABORATORIO SILVA E TUISA LTDA</v>
      </c>
      <c r="C342" s="39"/>
      <c r="D342" s="40">
        <v>95231</v>
      </c>
      <c r="E342" s="44">
        <v>478</v>
      </c>
      <c r="F342" s="46"/>
      <c r="G342" s="41"/>
      <c r="H342" s="41"/>
      <c r="I342" s="42">
        <v>46171</v>
      </c>
      <c r="J342"/>
    </row>
    <row r="343" spans="1:10" x14ac:dyDescent="0.25">
      <c r="A343">
        <v>501129</v>
      </c>
      <c r="B343" s="39" t="str">
        <f>IFERROR(VLOOKUP(A343,CLIENTES!A:E,2,0),"CADASTRAR CLIENTE")</f>
        <v>NEXUS SERVICOS VETERINARIOS LTDA</v>
      </c>
      <c r="C343" s="39"/>
      <c r="D343" s="40">
        <v>95237</v>
      </c>
      <c r="E343" s="44">
        <v>997.5</v>
      </c>
      <c r="F343" s="46"/>
      <c r="G343" s="41"/>
      <c r="H343" s="41"/>
      <c r="I343" s="42">
        <v>46171</v>
      </c>
      <c r="J343"/>
    </row>
    <row r="344" spans="1:10" x14ac:dyDescent="0.25">
      <c r="A344">
        <v>3120</v>
      </c>
      <c r="B344" s="39" t="str">
        <f>IFERROR(VLOOKUP(A344,CLIENTES!A:E,2,0),"CADASTRAR CLIENTE")</f>
        <v>VANDERLEI SALVADOR BAGNATO</v>
      </c>
      <c r="C344" s="39"/>
      <c r="D344" s="40">
        <v>95239</v>
      </c>
      <c r="E344" s="44">
        <v>1200</v>
      </c>
      <c r="F344" s="46"/>
      <c r="G344" s="41"/>
      <c r="H344" s="41"/>
      <c r="I344" s="42">
        <v>46171</v>
      </c>
      <c r="J344"/>
    </row>
    <row r="345" spans="1:10" x14ac:dyDescent="0.25">
      <c r="A345">
        <v>1902</v>
      </c>
      <c r="B345" s="39" t="str">
        <f>IFERROR(VLOOKUP(A345,CLIENTES!A:E,2,0),"CADASTRAR CLIENTE")</f>
        <v>IVANEIDA F.DOS SANTOS &amp; MARIA AUREA SOARES CHIMENTAO</v>
      </c>
      <c r="C345" s="39"/>
      <c r="D345" s="40">
        <v>95245</v>
      </c>
      <c r="E345" s="44">
        <v>195060</v>
      </c>
      <c r="F345" s="46"/>
      <c r="G345" s="41"/>
      <c r="H345" s="41"/>
      <c r="I345" s="42">
        <v>46171</v>
      </c>
      <c r="J345"/>
    </row>
    <row r="346" spans="1:10" x14ac:dyDescent="0.25">
      <c r="A346">
        <v>51198</v>
      </c>
      <c r="B346" s="39" t="str">
        <f>IFERROR(VLOOKUP(A346,CLIENTES!A:E,2,0),"CADASTRAR CLIENTE")</f>
        <v>HOSPITAL SANTA IGNES DE ITU LTDA</v>
      </c>
      <c r="C346" s="39"/>
      <c r="D346" s="40">
        <v>95284</v>
      </c>
      <c r="E346" s="44">
        <v>3926.7</v>
      </c>
      <c r="F346" s="46"/>
      <c r="G346" s="41"/>
      <c r="H346" s="41"/>
      <c r="I346" s="42">
        <v>46174</v>
      </c>
      <c r="J346"/>
    </row>
    <row r="347" spans="1:10" x14ac:dyDescent="0.25">
      <c r="A347">
        <v>3120</v>
      </c>
      <c r="B347" s="39" t="str">
        <f>IFERROR(VLOOKUP(A347,CLIENTES!A:E,2,0),"CADASTRAR CLIENTE")</f>
        <v>VANDERLEI SALVADOR BAGNATO</v>
      </c>
      <c r="C347" s="39"/>
      <c r="D347" s="40">
        <v>95310</v>
      </c>
      <c r="E347" s="44">
        <v>38.9</v>
      </c>
      <c r="F347" s="46"/>
      <c r="G347" s="41"/>
      <c r="H347" s="41"/>
      <c r="I347" s="42">
        <v>46174</v>
      </c>
      <c r="J347"/>
    </row>
    <row r="348" spans="1:10" x14ac:dyDescent="0.25">
      <c r="A348">
        <v>2192</v>
      </c>
      <c r="B348" s="39" t="str">
        <f>IFERROR(VLOOKUP(A348,CLIENTES!A:E,2,0),"CADASTRAR CLIENTE")</f>
        <v>CDAC CENTRO DIAGNOSTICO DE ANALISES CLINICAS LTDA</v>
      </c>
      <c r="C348" s="39"/>
      <c r="D348" s="40">
        <v>95342</v>
      </c>
      <c r="E348" s="44">
        <v>524.65</v>
      </c>
      <c r="F348" s="46"/>
      <c r="G348" s="41"/>
      <c r="H348" s="41"/>
      <c r="I348" s="42">
        <v>46175</v>
      </c>
      <c r="J348"/>
    </row>
    <row r="349" spans="1:10" x14ac:dyDescent="0.25">
      <c r="A349">
        <v>501050</v>
      </c>
      <c r="B349" s="39" t="str">
        <f>IFERROR(VLOOKUP(A349,CLIENTES!A:E,2,0),"CADASTRAR CLIENTE")</f>
        <v>FUNDO MUNICIPAL DE SAUDE DE PONTA GROSSA</v>
      </c>
      <c r="C349" s="39"/>
      <c r="D349" s="40">
        <v>95330</v>
      </c>
      <c r="E349" s="44">
        <v>4532</v>
      </c>
      <c r="F349" s="46"/>
      <c r="G349" s="41"/>
      <c r="H349" s="41"/>
      <c r="I349" s="42">
        <v>46175</v>
      </c>
      <c r="J349"/>
    </row>
    <row r="350" spans="1:10" x14ac:dyDescent="0.25">
      <c r="A350">
        <v>500361</v>
      </c>
      <c r="B350" s="39" t="str">
        <f>IFERROR(VLOOKUP(A350,CLIENTES!A:E,2,0),"CADASTRAR CLIENTE")</f>
        <v>SANTA CASA DE MISER DA IRSENHOR DOS PASSOS DE UBATUBA</v>
      </c>
      <c r="C350" s="39"/>
      <c r="D350" s="40">
        <v>95415</v>
      </c>
      <c r="E350" s="44">
        <v>556.5</v>
      </c>
      <c r="F350" s="46"/>
      <c r="G350" s="41"/>
      <c r="H350" s="41"/>
      <c r="I350" s="42">
        <v>46176</v>
      </c>
      <c r="J350"/>
    </row>
    <row r="351" spans="1:10" x14ac:dyDescent="0.25">
      <c r="A351">
        <v>2047</v>
      </c>
      <c r="B351" s="39" t="str">
        <f>IFERROR(VLOOKUP(A351,CLIENTES!A:E,2,0),"CADASTRAR CLIENTE")</f>
        <v>UNIMED SUL PAULISTA COOPERATIVA DE TRABALHO MEDICO</v>
      </c>
      <c r="C351" s="39"/>
      <c r="D351" s="40">
        <v>95414</v>
      </c>
      <c r="E351" s="44">
        <v>295</v>
      </c>
      <c r="F351" s="46"/>
      <c r="G351" s="41"/>
      <c r="H351" s="41"/>
      <c r="I351" s="42">
        <v>46176</v>
      </c>
      <c r="J351"/>
    </row>
    <row r="352" spans="1:10" x14ac:dyDescent="0.25">
      <c r="A352">
        <v>1327</v>
      </c>
      <c r="B352" s="39" t="str">
        <f>IFERROR(VLOOKUP(A352,CLIENTES!A:E,2,0),"CADASTRAR CLIENTE")</f>
        <v>BISACCHI FENIX COMERCIAL EIRELI</v>
      </c>
      <c r="C352" s="39"/>
      <c r="D352" s="40">
        <v>95438</v>
      </c>
      <c r="E352" s="44">
        <v>623.4</v>
      </c>
      <c r="F352" s="46"/>
      <c r="G352" s="41"/>
      <c r="H352" s="41"/>
      <c r="I352" s="42">
        <v>46178</v>
      </c>
      <c r="J352"/>
    </row>
    <row r="353" spans="1:10" x14ac:dyDescent="0.25">
      <c r="A353">
        <v>501137</v>
      </c>
      <c r="B353" s="39" t="str">
        <f>IFERROR(VLOOKUP(A353,CLIENTES!A:E,2,0),"CADASTRAR CLIENTE")</f>
        <v>CLINICA NASCER SERVICOS MEDICOS - LTDA</v>
      </c>
      <c r="C353" s="39"/>
      <c r="D353" s="40">
        <v>95436</v>
      </c>
      <c r="E353" s="44">
        <v>1198</v>
      </c>
      <c r="F353" s="46"/>
      <c r="G353" s="41"/>
      <c r="H353" s="41"/>
      <c r="I353" s="42">
        <v>46178</v>
      </c>
      <c r="J353"/>
    </row>
    <row r="354" spans="1:10" x14ac:dyDescent="0.25">
      <c r="A354">
        <v>456</v>
      </c>
      <c r="B354" s="39" t="str">
        <f>IFERROR(VLOOKUP(A354,CLIENTES!A:E,2,0),"CADASTRAR CLIENTE")</f>
        <v>FUNDACAO HOSPITALAR NOSSA SENHORA DE LOURDES</v>
      </c>
      <c r="C354" s="39"/>
      <c r="D354" s="40">
        <v>95437</v>
      </c>
      <c r="E354" s="44">
        <v>279</v>
      </c>
      <c r="F354" s="46"/>
      <c r="G354" s="41"/>
      <c r="H354" s="41"/>
      <c r="I354" s="42">
        <v>46178</v>
      </c>
      <c r="J354"/>
    </row>
    <row r="355" spans="1:10" x14ac:dyDescent="0.25">
      <c r="A355">
        <v>592</v>
      </c>
      <c r="B355" s="39" t="str">
        <f>IFERROR(VLOOKUP(A355,CLIENTES!A:E,2,0),"CADASTRAR CLIENTE")</f>
        <v>PINDORAMA LABORATORIO DE ANALISES CLINICAS LTDA ME</v>
      </c>
      <c r="C355" s="39"/>
      <c r="D355" s="40">
        <v>95442</v>
      </c>
      <c r="E355" s="44">
        <v>586.1</v>
      </c>
      <c r="F355" s="46"/>
      <c r="G355" s="41"/>
      <c r="H355" s="41"/>
      <c r="I355" s="42">
        <v>46178</v>
      </c>
      <c r="J355"/>
    </row>
    <row r="356" spans="1:10" x14ac:dyDescent="0.25">
      <c r="A356">
        <v>500529</v>
      </c>
      <c r="B356" s="39" t="str">
        <f>IFERROR(VLOOKUP(A356,CLIENTES!A:E,2,0),"CADASTRAR CLIENTE")</f>
        <v>FUNDACAO SANTARRITENSE DE SAUDE E ASSISTENCIA SOCIAL</v>
      </c>
      <c r="C356" s="39"/>
      <c r="D356" s="40">
        <v>95471</v>
      </c>
      <c r="E356" s="44">
        <v>6165.8</v>
      </c>
      <c r="F356" s="46"/>
      <c r="G356" s="41"/>
      <c r="H356" s="41"/>
      <c r="I356" s="42">
        <v>46181</v>
      </c>
      <c r="J356"/>
    </row>
    <row r="357" spans="1:10" x14ac:dyDescent="0.25">
      <c r="A357">
        <v>758</v>
      </c>
      <c r="B357" s="39" t="str">
        <f>IFERROR(VLOOKUP(A357,CLIENTES!A:E,2,0),"CADASTRAR CLIENTE")</f>
        <v>IRMANDADE DA SANTA CASA DE ANDRADINA</v>
      </c>
      <c r="C357" s="39"/>
      <c r="D357" s="40">
        <v>95482</v>
      </c>
      <c r="E357" s="44">
        <v>1648</v>
      </c>
      <c r="F357" s="46"/>
      <c r="G357" s="41"/>
      <c r="H357" s="41"/>
      <c r="I357" s="42">
        <v>46181</v>
      </c>
      <c r="J357"/>
    </row>
    <row r="358" spans="1:10" x14ac:dyDescent="0.25">
      <c r="A358">
        <v>1902</v>
      </c>
      <c r="B358" s="39" t="str">
        <f>IFERROR(VLOOKUP(A358,CLIENTES!A:E,2,0),"CADASTRAR CLIENTE")</f>
        <v>IVANEIDA F.DOS SANTOS &amp; MARIA AUREA SOARES CHIMENTAO</v>
      </c>
      <c r="C358" s="39"/>
      <c r="D358" s="40">
        <v>95515</v>
      </c>
      <c r="E358" s="44">
        <v>6398.93</v>
      </c>
      <c r="F358" s="46"/>
      <c r="G358" s="41"/>
      <c r="H358" s="41"/>
      <c r="I358" s="42">
        <v>46181</v>
      </c>
      <c r="J358"/>
    </row>
    <row r="359" spans="1:10" x14ac:dyDescent="0.25">
      <c r="A359">
        <v>915</v>
      </c>
      <c r="B359" s="39" t="str">
        <f>IFERROR(VLOOKUP(A359,CLIENTES!A:E,2,0),"CADASTRAR CLIENTE")</f>
        <v>LAB.DR RAUF EID ANAL.CLINICAS SS LTDA</v>
      </c>
      <c r="C359" s="39"/>
      <c r="D359" s="40">
        <v>95493</v>
      </c>
      <c r="E359" s="44">
        <v>1585.6</v>
      </c>
      <c r="F359" s="46"/>
      <c r="G359" s="41"/>
      <c r="H359" s="41"/>
      <c r="I359" s="42">
        <v>46181</v>
      </c>
      <c r="J359"/>
    </row>
    <row r="360" spans="1:10" x14ac:dyDescent="0.25">
      <c r="A360">
        <v>500501</v>
      </c>
      <c r="B360" s="39" t="str">
        <f>IFERROR(VLOOKUP(A360,CLIENTES!A:E,2,0),"CADASTRAR CLIENTE")</f>
        <v>LABORATORIO SILVA E TUISA LTDA</v>
      </c>
      <c r="C360" s="39"/>
      <c r="D360" s="40">
        <v>95470</v>
      </c>
      <c r="E360" s="44">
        <v>478</v>
      </c>
      <c r="F360" s="46"/>
      <c r="G360" s="41"/>
      <c r="H360" s="41"/>
      <c r="I360" s="42">
        <v>46181</v>
      </c>
      <c r="J360"/>
    </row>
    <row r="361" spans="1:10" x14ac:dyDescent="0.25">
      <c r="A361">
        <v>501135</v>
      </c>
      <c r="B361" s="39" t="str">
        <f>IFERROR(VLOOKUP(A361,CLIENTES!A:E,2,0),"CADASTRAR CLIENTE")</f>
        <v>UNIMED CURITIBA PARTICIPACOES S/A</v>
      </c>
      <c r="C361" s="39"/>
      <c r="D361" s="40">
        <v>95479</v>
      </c>
      <c r="E361" s="44">
        <v>1746.1</v>
      </c>
      <c r="F361" s="46"/>
      <c r="G361" s="41"/>
      <c r="H361" s="41"/>
      <c r="I361" s="42">
        <v>46181</v>
      </c>
      <c r="J361"/>
    </row>
    <row r="362" spans="1:10" x14ac:dyDescent="0.25">
      <c r="A362">
        <v>500448</v>
      </c>
      <c r="B362" s="39" t="str">
        <f>IFERROR(VLOOKUP(A362,CLIENTES!A:E,2,0),"CADASTRAR CLIENTE")</f>
        <v>UNIMED DE CACAPAVA COOPERATIVA DE TRABALHO MEDICO</v>
      </c>
      <c r="C362" s="39"/>
      <c r="D362" s="40">
        <v>95537</v>
      </c>
      <c r="E362" s="44">
        <v>1111.4000000000001</v>
      </c>
      <c r="F362" s="46"/>
      <c r="G362" s="41"/>
      <c r="H362" s="41"/>
      <c r="I362" s="42">
        <v>46181</v>
      </c>
      <c r="J362"/>
    </row>
    <row r="363" spans="1:10" x14ac:dyDescent="0.25">
      <c r="A363">
        <v>500598</v>
      </c>
      <c r="B363" s="39" t="str">
        <f>IFERROR(VLOOKUP(A363,CLIENTES!A:E,2,0),"CADASTRAR CLIENTE")</f>
        <v>FUNDACAO DE ASSISTENCIA SOCIAL DE JANAUBA</v>
      </c>
      <c r="C363" s="39"/>
      <c r="D363" s="40">
        <v>95540</v>
      </c>
      <c r="E363" s="44">
        <v>1250</v>
      </c>
      <c r="F363" s="46"/>
      <c r="G363" s="41"/>
      <c r="H363" s="41"/>
      <c r="I363" s="42">
        <v>46182</v>
      </c>
      <c r="J363"/>
    </row>
    <row r="364" spans="1:10" x14ac:dyDescent="0.25">
      <c r="A364">
        <v>923</v>
      </c>
      <c r="B364" s="39" t="str">
        <f>IFERROR(VLOOKUP(A364,CLIENTES!A:E,2,0),"CADASTRAR CLIENTE")</f>
        <v>STA. CASA MISERICORDIA DE AVARE</v>
      </c>
      <c r="C364" s="39"/>
      <c r="D364" s="40">
        <v>95542</v>
      </c>
      <c r="E364" s="44">
        <v>2020</v>
      </c>
      <c r="F364" s="46"/>
      <c r="G364" s="41"/>
      <c r="H364" s="41"/>
      <c r="I364" s="42">
        <v>46182</v>
      </c>
      <c r="J364"/>
    </row>
    <row r="365" spans="1:10" x14ac:dyDescent="0.25">
      <c r="A365">
        <v>501148</v>
      </c>
      <c r="B365" s="39" t="str">
        <f>IFERROR(VLOOKUP(A365,CLIENTES!A:E,2,0),"CADASTRAR CLIENTE")</f>
        <v>TIMEH PRODUTOS HOSPITALARES LTDA</v>
      </c>
      <c r="C365" s="39"/>
      <c r="D365" s="40">
        <v>95541</v>
      </c>
      <c r="E365" s="44">
        <v>1280.3</v>
      </c>
      <c r="F365" s="46"/>
      <c r="G365" s="41"/>
      <c r="H365" s="41"/>
      <c r="I365" s="42">
        <v>46182</v>
      </c>
      <c r="J365"/>
    </row>
    <row r="366" spans="1:10" x14ac:dyDescent="0.25">
      <c r="A366">
        <v>501030</v>
      </c>
      <c r="B366" s="39" t="str">
        <f>IFERROR(VLOOKUP(A366,CLIENTES!A:E,2,0),"CADASTRAR CLIENTE")</f>
        <v>ASSOC. L. S. FRANC. DE A. NA P. DE DEUS</v>
      </c>
      <c r="C366" s="39"/>
      <c r="D366" s="40">
        <v>95616</v>
      </c>
      <c r="E366" s="44">
        <v>198</v>
      </c>
      <c r="F366" s="46"/>
      <c r="G366" s="41"/>
      <c r="H366" s="41"/>
      <c r="I366" s="42">
        <v>46183</v>
      </c>
      <c r="J366"/>
    </row>
    <row r="367" spans="1:10" x14ac:dyDescent="0.25">
      <c r="A367">
        <v>500859</v>
      </c>
      <c r="B367" s="39" t="str">
        <f>IFERROR(VLOOKUP(A367,CLIENTES!A:E,2,0),"CADASTRAR CLIENTE")</f>
        <v>ASSOCIACAO HOSPITALAR BENEFICENTE DE PINHALZINHO</v>
      </c>
      <c r="C367" s="39"/>
      <c r="D367" s="40">
        <v>95607</v>
      </c>
      <c r="E367" s="44">
        <v>303.60000000000002</v>
      </c>
      <c r="F367" s="46"/>
      <c r="G367" s="41"/>
      <c r="H367" s="41"/>
      <c r="I367" s="42">
        <v>46183</v>
      </c>
      <c r="J367"/>
    </row>
    <row r="368" spans="1:10" x14ac:dyDescent="0.25">
      <c r="A368">
        <v>51198</v>
      </c>
      <c r="B368" s="39" t="str">
        <f>IFERROR(VLOOKUP(A368,CLIENTES!A:E,2,0),"CADASTRAR CLIENTE")</f>
        <v>HOSPITAL SANTA IGNES DE ITU LTDA</v>
      </c>
      <c r="C368" s="39"/>
      <c r="D368" s="40">
        <v>95671</v>
      </c>
      <c r="E368" s="44">
        <v>175</v>
      </c>
      <c r="F368" s="46"/>
      <c r="G368" s="41"/>
      <c r="H368" s="41"/>
      <c r="I368" s="42">
        <v>46184</v>
      </c>
      <c r="J368"/>
    </row>
    <row r="369" spans="1:10" x14ac:dyDescent="0.25">
      <c r="A369">
        <v>93</v>
      </c>
      <c r="B369" s="39" t="str">
        <f>IFERROR(VLOOKUP(A369,CLIENTES!A:E,2,0),"CADASTRAR CLIENTE")</f>
        <v>LAB. ANAL. CLIN. SAO JORGE SC  LTDA.</v>
      </c>
      <c r="C369" s="39"/>
      <c r="D369" s="40">
        <v>95701</v>
      </c>
      <c r="E369" s="44">
        <v>1493</v>
      </c>
      <c r="F369" s="46"/>
      <c r="G369" s="41"/>
      <c r="H369" s="41"/>
      <c r="I369" s="42">
        <v>46184</v>
      </c>
      <c r="J369"/>
    </row>
    <row r="370" spans="1:10" x14ac:dyDescent="0.25">
      <c r="A370">
        <v>656</v>
      </c>
      <c r="B370" s="39" t="str">
        <f>IFERROR(VLOOKUP(A370,CLIENTES!A:E,2,0),"CADASTRAR CLIENTE")</f>
        <v>SPDM-ASSOCIAÇÃO PAULISTA P/ O DESENVOLVIMENTO DA MEDICINA</v>
      </c>
      <c r="C370" s="39"/>
      <c r="D370" s="40">
        <v>95683</v>
      </c>
      <c r="E370" s="44">
        <v>3570</v>
      </c>
      <c r="F370" s="46"/>
      <c r="G370" s="41"/>
      <c r="H370" s="41"/>
      <c r="I370" s="42">
        <v>46184</v>
      </c>
      <c r="J370"/>
    </row>
    <row r="371" spans="1:10" x14ac:dyDescent="0.25">
      <c r="A371">
        <v>501164</v>
      </c>
      <c r="B371" s="39" t="str">
        <f>IFERROR(VLOOKUP(A371,CLIENTES!A:E,2,0),"CADASTRAR CLIENTE")</f>
        <v>ZABOTTO &amp; ZABOTTO LTDA</v>
      </c>
      <c r="C371" s="39"/>
      <c r="D371" s="40">
        <v>95660</v>
      </c>
      <c r="E371" s="44">
        <v>364</v>
      </c>
      <c r="F371" s="46"/>
      <c r="G371" s="41"/>
      <c r="H371" s="41"/>
      <c r="I371" s="42">
        <v>46184</v>
      </c>
      <c r="J371"/>
    </row>
    <row r="372" spans="1:10" x14ac:dyDescent="0.25">
      <c r="A372">
        <v>1902</v>
      </c>
      <c r="B372" s="39" t="str">
        <f>IFERROR(VLOOKUP(A372,CLIENTES!A:E,2,0),"CADASTRAR CLIENTE")</f>
        <v>IVANEIDA F.DOS SANTOS &amp; MARIA AUREA SOARES CHIMENTAO</v>
      </c>
      <c r="C372" s="39"/>
      <c r="D372" s="40">
        <v>95786</v>
      </c>
      <c r="E372" s="44">
        <v>990.29</v>
      </c>
      <c r="F372" s="46"/>
      <c r="G372" s="41"/>
      <c r="H372" s="41"/>
      <c r="I372" s="42">
        <v>46188</v>
      </c>
      <c r="J372"/>
    </row>
    <row r="373" spans="1:10" x14ac:dyDescent="0.25">
      <c r="A373">
        <v>1902</v>
      </c>
      <c r="B373" s="39" t="str">
        <f>IFERROR(VLOOKUP(A373,CLIENTES!A:E,2,0),"CADASTRAR CLIENTE")</f>
        <v>IVANEIDA F.DOS SANTOS &amp; MARIA AUREA SOARES CHIMENTAO</v>
      </c>
      <c r="C373" s="39"/>
      <c r="D373" s="40">
        <v>95787</v>
      </c>
      <c r="E373" s="44">
        <v>174.87</v>
      </c>
      <c r="F373" s="46"/>
      <c r="G373" s="41"/>
      <c r="H373" s="41"/>
      <c r="I373" s="42">
        <v>46188</v>
      </c>
      <c r="J373"/>
    </row>
    <row r="374" spans="1:10" x14ac:dyDescent="0.25">
      <c r="A374">
        <v>500420</v>
      </c>
      <c r="B374" s="39" t="str">
        <f>IFERROR(VLOOKUP(A374,CLIENTES!A:E,2,0),"CADASTRAR CLIENTE")</f>
        <v>JANAINA MARCHESI TORREZAN</v>
      </c>
      <c r="C374" s="39"/>
      <c r="D374" s="40">
        <v>95783</v>
      </c>
      <c r="E374" s="44">
        <v>576.70000000000005</v>
      </c>
      <c r="F374" s="46"/>
      <c r="G374" s="41"/>
      <c r="H374" s="41"/>
      <c r="I374" s="42">
        <v>46188</v>
      </c>
      <c r="J374"/>
    </row>
    <row r="375" spans="1:10" x14ac:dyDescent="0.25">
      <c r="A375">
        <v>1147</v>
      </c>
      <c r="B375" s="39" t="str">
        <f>IFERROR(VLOOKUP(A375,CLIENTES!A:E,2,0),"CADASTRAR CLIENTE")</f>
        <v>LABORPATAS LABORATORIO VETERINARIO LTDA</v>
      </c>
      <c r="C375" s="39"/>
      <c r="D375" s="40">
        <v>95767</v>
      </c>
      <c r="E375" s="44">
        <v>391.4</v>
      </c>
      <c r="F375" s="46"/>
      <c r="G375" s="41"/>
      <c r="H375" s="41"/>
      <c r="I375" s="42">
        <v>46188</v>
      </c>
      <c r="J375"/>
    </row>
    <row r="376" spans="1:10" x14ac:dyDescent="0.25">
      <c r="A376">
        <v>500846</v>
      </c>
      <c r="B376" s="39" t="str">
        <f>IFERROR(VLOOKUP(A376,CLIENTES!A:E,2,0),"CADASTRAR CLIENTE")</f>
        <v>LUIS PAULO FROELICH FERREIRA LTDA</v>
      </c>
      <c r="C376" s="39"/>
      <c r="D376" s="40">
        <v>95769</v>
      </c>
      <c r="E376" s="44">
        <v>355</v>
      </c>
      <c r="F376" s="46"/>
      <c r="G376" s="41"/>
      <c r="H376" s="41"/>
      <c r="I376" s="42">
        <v>46188</v>
      </c>
      <c r="J376"/>
    </row>
    <row r="377" spans="1:10" x14ac:dyDescent="0.25">
      <c r="A377">
        <v>500367</v>
      </c>
      <c r="B377" s="39" t="str">
        <f>IFERROR(VLOOKUP(A377,CLIENTES!A:E,2,0),"CADASTRAR CLIENTE")</f>
        <v>PRO SCIENCE SAUDE ANIMAL LTDA</v>
      </c>
      <c r="C377" s="39"/>
      <c r="D377" s="40">
        <v>95772</v>
      </c>
      <c r="E377" s="44">
        <v>142.4</v>
      </c>
      <c r="F377" s="46"/>
      <c r="G377" s="41"/>
      <c r="H377" s="41"/>
      <c r="I377" s="42">
        <v>46188</v>
      </c>
      <c r="J377"/>
    </row>
    <row r="378" spans="1:10" x14ac:dyDescent="0.25">
      <c r="A378">
        <v>500367</v>
      </c>
      <c r="B378" s="39" t="str">
        <f>IFERROR(VLOOKUP(A378,CLIENTES!A:E,2,0),"CADASTRAR CLIENTE")</f>
        <v>PRO SCIENCE SAUDE ANIMAL LTDA</v>
      </c>
      <c r="C378" s="39"/>
      <c r="D378" s="40">
        <v>95773</v>
      </c>
      <c r="E378" s="44">
        <v>175</v>
      </c>
      <c r="F378" s="46"/>
      <c r="G378" s="41"/>
      <c r="H378" s="41"/>
      <c r="I378" s="42">
        <v>46188</v>
      </c>
      <c r="J378"/>
    </row>
    <row r="379" spans="1:10" x14ac:dyDescent="0.25">
      <c r="A379">
        <v>500361</v>
      </c>
      <c r="B379" s="39" t="str">
        <f>IFERROR(VLOOKUP(A379,CLIENTES!A:E,2,0),"CADASTRAR CLIENTE")</f>
        <v>SANTA CASA DE MISER DA IRSENHOR DOS PASSOS DE UBATUBA</v>
      </c>
      <c r="C379" s="39"/>
      <c r="D379" s="40">
        <v>95766</v>
      </c>
      <c r="E379" s="44">
        <v>500.16</v>
      </c>
      <c r="F379" s="46"/>
      <c r="G379" s="41"/>
      <c r="H379" s="41"/>
      <c r="I379" s="42">
        <v>46188</v>
      </c>
      <c r="J379"/>
    </row>
    <row r="380" spans="1:10" x14ac:dyDescent="0.25">
      <c r="A380">
        <v>1378</v>
      </c>
      <c r="B380" s="39" t="str">
        <f>IFERROR(VLOOKUP(A380,CLIENTES!A:E,2,0),"CADASTRAR CLIENTE")</f>
        <v>ASS.CARIDADE DA SANTA CASA MISERIC.DE ASSIS</v>
      </c>
      <c r="C380" s="39"/>
      <c r="D380" s="40">
        <v>95810</v>
      </c>
      <c r="E380" s="44">
        <v>2093.9</v>
      </c>
      <c r="F380" s="46"/>
      <c r="G380" s="41"/>
      <c r="H380" s="41"/>
      <c r="I380" s="42">
        <v>46189</v>
      </c>
      <c r="J380"/>
    </row>
    <row r="381" spans="1:10" x14ac:dyDescent="0.25">
      <c r="A381">
        <v>500151</v>
      </c>
      <c r="B381" s="39" t="str">
        <f>IFERROR(VLOOKUP(A381,CLIENTES!A:E,2,0),"CADASTRAR CLIENTE")</f>
        <v>HOSPITAL E MATERNIDADE PRESIDENTE PRUDENTE LTDA</v>
      </c>
      <c r="C381" s="39"/>
      <c r="D381" s="40">
        <v>95822</v>
      </c>
      <c r="E381" s="44">
        <v>660</v>
      </c>
      <c r="F381" s="46"/>
      <c r="G381" s="41"/>
      <c r="H381" s="41"/>
      <c r="I381" s="42">
        <v>46189</v>
      </c>
      <c r="J381"/>
    </row>
    <row r="382" spans="1:10" x14ac:dyDescent="0.25">
      <c r="A382">
        <v>500520</v>
      </c>
      <c r="B382" s="39" t="str">
        <f>IFERROR(VLOOKUP(A382,CLIENTES!A:E,2,0),"CADASTRAR CLIENTE")</f>
        <v>HOSPITAL LEONARDO DA VINCI LTDA</v>
      </c>
      <c r="C382" s="39"/>
      <c r="D382" s="40">
        <v>95799</v>
      </c>
      <c r="E382" s="44">
        <v>245</v>
      </c>
      <c r="F382" s="46"/>
      <c r="G382" s="41"/>
      <c r="H382" s="41"/>
      <c r="I382" s="42">
        <v>46189</v>
      </c>
      <c r="J382"/>
    </row>
    <row r="383" spans="1:10" x14ac:dyDescent="0.25">
      <c r="A383">
        <v>500361</v>
      </c>
      <c r="B383" s="39" t="str">
        <f>IFERROR(VLOOKUP(A383,CLIENTES!A:E,2,0),"CADASTRAR CLIENTE")</f>
        <v>SANTA CASA DE MISER DA IRSENHOR DOS PASSOS DE UBATUBA</v>
      </c>
      <c r="C383" s="39"/>
      <c r="D383" s="40">
        <v>95837</v>
      </c>
      <c r="E383" s="44">
        <v>380</v>
      </c>
      <c r="F383" s="46"/>
      <c r="G383" s="41"/>
      <c r="H383" s="41"/>
      <c r="I383" s="42">
        <v>46189</v>
      </c>
      <c r="J383"/>
    </row>
    <row r="384" spans="1:10" x14ac:dyDescent="0.25">
      <c r="A384">
        <v>500029</v>
      </c>
      <c r="B384" s="39" t="str">
        <f>IFERROR(VLOOKUP(A384,CLIENTES!A:E,2,0),"CADASTRAR CLIENTE")</f>
        <v>ASSOCIACAO BENEFICENTE SAMARITANO</v>
      </c>
      <c r="C384" s="39"/>
      <c r="D384" s="40">
        <v>95904</v>
      </c>
      <c r="E384" s="44">
        <v>159.5</v>
      </c>
      <c r="F384" s="46"/>
      <c r="G384" s="41"/>
      <c r="H384" s="41"/>
      <c r="I384" s="42">
        <v>46190</v>
      </c>
      <c r="J384"/>
    </row>
    <row r="385" spans="1:10" x14ac:dyDescent="0.25">
      <c r="A385">
        <v>758</v>
      </c>
      <c r="B385" s="39" t="str">
        <f>IFERROR(VLOOKUP(A385,CLIENTES!A:E,2,0),"CADASTRAR CLIENTE")</f>
        <v>IRMANDADE DA SANTA CASA DE ANDRADINA</v>
      </c>
      <c r="C385" s="39"/>
      <c r="D385" s="40">
        <v>95885</v>
      </c>
      <c r="E385" s="44">
        <v>5603.5</v>
      </c>
      <c r="F385" s="46"/>
      <c r="G385" s="41"/>
      <c r="H385" s="41"/>
      <c r="I385" s="42">
        <v>46190</v>
      </c>
      <c r="J385"/>
    </row>
    <row r="386" spans="1:10" x14ac:dyDescent="0.25">
      <c r="A386">
        <v>3120</v>
      </c>
      <c r="B386" s="39" t="str">
        <f>IFERROR(VLOOKUP(A386,CLIENTES!A:E,2,0),"CADASTRAR CLIENTE")</f>
        <v>VANDERLEI SALVADOR BAGNATO</v>
      </c>
      <c r="C386" s="39"/>
      <c r="D386" s="40">
        <v>95848</v>
      </c>
      <c r="E386" s="44">
        <v>1200</v>
      </c>
      <c r="F386" s="46"/>
      <c r="G386" s="41"/>
      <c r="H386" s="41"/>
      <c r="I386" s="42">
        <v>46190</v>
      </c>
      <c r="J386"/>
    </row>
    <row r="387" spans="1:10" x14ac:dyDescent="0.25">
      <c r="A387">
        <v>3120</v>
      </c>
      <c r="B387" s="39" t="str">
        <f>IFERROR(VLOOKUP(A387,CLIENTES!A:E,2,0),"CADASTRAR CLIENTE")</f>
        <v>VANDERLEI SALVADOR BAGNATO</v>
      </c>
      <c r="C387" s="39"/>
      <c r="D387" s="40">
        <v>95849</v>
      </c>
      <c r="E387" s="44">
        <v>226</v>
      </c>
      <c r="F387" s="46"/>
      <c r="G387" s="41"/>
      <c r="H387" s="41"/>
      <c r="I387" s="42">
        <v>46190</v>
      </c>
      <c r="J387"/>
    </row>
    <row r="388" spans="1:10" x14ac:dyDescent="0.25">
      <c r="A388">
        <v>592</v>
      </c>
      <c r="B388" s="39" t="str">
        <f>IFERROR(VLOOKUP(A388,CLIENTES!A:E,2,0),"CADASTRAR CLIENTE")</f>
        <v>PINDORAMA LABORATORIO DE ANALISES CLINICAS LTDA ME</v>
      </c>
      <c r="C388" s="39"/>
      <c r="D388" s="40">
        <v>95933</v>
      </c>
      <c r="E388" s="44">
        <v>921.6</v>
      </c>
      <c r="F388" s="46"/>
      <c r="G388" s="41"/>
      <c r="H388" s="41"/>
      <c r="I388" s="42">
        <v>46191</v>
      </c>
      <c r="J388"/>
    </row>
    <row r="389" spans="1:10" x14ac:dyDescent="0.25">
      <c r="A389">
        <v>3538</v>
      </c>
      <c r="B389" s="39" t="str">
        <f>IFERROR(VLOOKUP(A389,CLIENTES!A:E,2,0),"CADASTRAR CLIENTE")</f>
        <v>CENTERLAB AMBIENTAL LABORATORIO DE ANALISE LTDA</v>
      </c>
      <c r="C389" s="39"/>
      <c r="D389" s="40">
        <v>96007</v>
      </c>
      <c r="E389" s="44">
        <v>502.8</v>
      </c>
      <c r="F389" s="46"/>
      <c r="G389" s="41"/>
      <c r="H389" s="41"/>
      <c r="I389" s="42">
        <v>46192</v>
      </c>
      <c r="J389"/>
    </row>
    <row r="390" spans="1:10" x14ac:dyDescent="0.25">
      <c r="A390">
        <v>3327</v>
      </c>
      <c r="B390" s="39" t="str">
        <f>IFERROR(VLOOKUP(A390,CLIENTES!A:E,2,0),"CADASTRAR CLIENTE")</f>
        <v>IRMANDADE SAO JOSE DE NOVO HORIZONTE</v>
      </c>
      <c r="C390" s="39"/>
      <c r="D390" s="40">
        <v>96010</v>
      </c>
      <c r="E390" s="44">
        <v>1304</v>
      </c>
      <c r="F390" s="46"/>
      <c r="G390" s="41"/>
      <c r="H390" s="41"/>
      <c r="I390" s="42">
        <v>46192</v>
      </c>
      <c r="J390"/>
    </row>
    <row r="391" spans="1:10" x14ac:dyDescent="0.25">
      <c r="A391">
        <v>50955</v>
      </c>
      <c r="B391" s="39" t="str">
        <f>IFERROR(VLOOKUP(A391,CLIENTES!A:E,2,0),"CADASTRAR CLIENTE")</f>
        <v>LACAP LABORATORIO DE ANALISES CLINICAS LTDA</v>
      </c>
      <c r="C391" s="39"/>
      <c r="D391" s="40">
        <v>95997</v>
      </c>
      <c r="E391" s="44">
        <v>792.5</v>
      </c>
      <c r="F391" s="46"/>
      <c r="G391" s="41"/>
      <c r="H391" s="41"/>
      <c r="I391" s="42">
        <v>46192</v>
      </c>
      <c r="J391"/>
    </row>
    <row r="392" spans="1:10" x14ac:dyDescent="0.25">
      <c r="A392">
        <v>501187</v>
      </c>
      <c r="B392" s="39" t="str">
        <f>IFERROR(VLOOKUP(A392,CLIENTES!A:E,2,0),"CADASTRAR CLIENTE")</f>
        <v>SOUZA &amp; AMARO VETERINARIA LTDA.</v>
      </c>
      <c r="C392" s="39"/>
      <c r="D392" s="40">
        <v>95990</v>
      </c>
      <c r="E392" s="44">
        <v>4090</v>
      </c>
      <c r="F392" s="46"/>
      <c r="G392" s="41"/>
      <c r="H392" s="41"/>
      <c r="I392" s="42">
        <v>46192</v>
      </c>
      <c r="J392"/>
    </row>
    <row r="393" spans="1:10" x14ac:dyDescent="0.25">
      <c r="A393">
        <v>500419</v>
      </c>
      <c r="B393" s="39" t="str">
        <f>IFERROR(VLOOKUP(A393,CLIENTES!A:E,2,0),"CADASTRAR CLIENTE")</f>
        <v>FUNDACAO DE ASSISTENCIA ESTUDO E PESQUISA DE UBERLANDIA</v>
      </c>
      <c r="C393" s="39"/>
      <c r="D393" s="40">
        <v>96079</v>
      </c>
      <c r="E393" s="44">
        <v>4588</v>
      </c>
      <c r="F393" s="46"/>
      <c r="G393" s="41"/>
      <c r="H393" s="41"/>
      <c r="I393" s="42">
        <v>46195</v>
      </c>
      <c r="J393"/>
    </row>
    <row r="394" spans="1:10" x14ac:dyDescent="0.25">
      <c r="A394">
        <v>456</v>
      </c>
      <c r="B394" s="39" t="str">
        <f>IFERROR(VLOOKUP(A394,CLIENTES!A:E,2,0),"CADASTRAR CLIENTE")</f>
        <v>FUNDACAO HOSPITALAR NOSSA SENHORA DE LOURDES</v>
      </c>
      <c r="C394" s="39"/>
      <c r="D394" s="40">
        <v>96018</v>
      </c>
      <c r="E394" s="44">
        <v>1371</v>
      </c>
      <c r="F394" s="46"/>
      <c r="G394" s="41"/>
      <c r="H394" s="41"/>
      <c r="I394" s="42">
        <v>46195</v>
      </c>
      <c r="J394"/>
    </row>
    <row r="395" spans="1:10" x14ac:dyDescent="0.25">
      <c r="A395">
        <v>500696</v>
      </c>
      <c r="B395" s="39" t="str">
        <f>IFERROR(VLOOKUP(A395,CLIENTES!A:E,2,0),"CADASTRAR CLIENTE")</f>
        <v>FUNDACAO DE ASSISTENCIA INTEGRAL A SAUDE - FAIS</v>
      </c>
      <c r="C395" s="39"/>
      <c r="D395" s="40">
        <v>96091</v>
      </c>
      <c r="E395" s="44">
        <v>276</v>
      </c>
      <c r="F395" s="46"/>
      <c r="G395" s="41"/>
      <c r="H395" s="41"/>
      <c r="I395" s="42">
        <v>46196</v>
      </c>
      <c r="J395"/>
    </row>
    <row r="396" spans="1:10" x14ac:dyDescent="0.25">
      <c r="A396">
        <v>500151</v>
      </c>
      <c r="B396" s="39" t="str">
        <f>IFERROR(VLOOKUP(A396,CLIENTES!A:E,2,0),"CADASTRAR CLIENTE")</f>
        <v>HOSPITAL E MATERNIDADE PRESIDENTE PRUDENTE LTDA</v>
      </c>
      <c r="C396" s="39"/>
      <c r="D396" s="40">
        <v>96109</v>
      </c>
      <c r="E396" s="44">
        <v>6396</v>
      </c>
      <c r="F396" s="46"/>
      <c r="G396" s="41"/>
      <c r="H396" s="41"/>
      <c r="I396" s="42">
        <v>46196</v>
      </c>
      <c r="J396"/>
    </row>
    <row r="397" spans="1:10" x14ac:dyDescent="0.25">
      <c r="A397">
        <v>500391</v>
      </c>
      <c r="B397" s="39" t="str">
        <f>IFERROR(VLOOKUP(A397,CLIENTES!A:E,2,0),"CADASTRAR CLIENTE")</f>
        <v>TCS - LABORATORIO DE PATOLOGIA CLINICA VETERINARIA LTDA</v>
      </c>
      <c r="C397" s="39"/>
      <c r="D397" s="40">
        <v>96084</v>
      </c>
      <c r="E397" s="44">
        <v>1532.3</v>
      </c>
      <c r="F397" s="46"/>
      <c r="G397" s="41"/>
      <c r="H397" s="41"/>
      <c r="I397" s="42">
        <v>46196</v>
      </c>
      <c r="J397"/>
    </row>
    <row r="398" spans="1:10" x14ac:dyDescent="0.25">
      <c r="A398">
        <v>500529</v>
      </c>
      <c r="B398" s="39" t="str">
        <f>IFERROR(VLOOKUP(A398,CLIENTES!A:E,2,0),"CADASTRAR CLIENTE")</f>
        <v>FUNDACAO SANTARRITENSE DE SAUDE E ASSISTENCIA SOCIAL</v>
      </c>
      <c r="C398" s="39"/>
      <c r="D398" s="40">
        <v>96135</v>
      </c>
      <c r="E398" s="44">
        <v>1479</v>
      </c>
      <c r="F398" s="46"/>
      <c r="G398" s="41"/>
      <c r="H398" s="41"/>
      <c r="I398" s="42">
        <v>46197</v>
      </c>
      <c r="J398"/>
    </row>
    <row r="399" spans="1:10" x14ac:dyDescent="0.25">
      <c r="A399">
        <v>500858</v>
      </c>
      <c r="B399" s="39" t="str">
        <f>IFERROR(VLOOKUP(A399,CLIENTES!A:E,2,0),"CADASTRAR CLIENTE")</f>
        <v>IMLAB VETERINARIA LTDA</v>
      </c>
      <c r="C399" s="39"/>
      <c r="D399" s="40">
        <v>96172</v>
      </c>
      <c r="E399" s="44">
        <v>907.9</v>
      </c>
      <c r="F399" s="46"/>
      <c r="G399" s="41"/>
      <c r="H399" s="41"/>
      <c r="I399" s="42">
        <v>46197</v>
      </c>
      <c r="J399"/>
    </row>
    <row r="400" spans="1:10" x14ac:dyDescent="0.25">
      <c r="A400">
        <v>977</v>
      </c>
      <c r="B400" s="39" t="str">
        <f>IFERROR(VLOOKUP(A400,CLIENTES!A:E,2,0),"CADASTRAR CLIENTE")</f>
        <v>LAFROIS LABORATORIO DE ANALISES CLINICAS LTDA</v>
      </c>
      <c r="C400" s="39"/>
      <c r="D400" s="40">
        <v>96174</v>
      </c>
      <c r="E400" s="44">
        <v>1985.3</v>
      </c>
      <c r="F400" s="46"/>
      <c r="G400" s="41"/>
      <c r="H400" s="41"/>
      <c r="I400" s="42">
        <v>46197</v>
      </c>
      <c r="J400"/>
    </row>
    <row r="401" spans="1:10" x14ac:dyDescent="0.25">
      <c r="A401">
        <v>500367</v>
      </c>
      <c r="B401" s="39" t="str">
        <f>IFERROR(VLOOKUP(A401,CLIENTES!A:E,2,0),"CADASTRAR CLIENTE")</f>
        <v>PRO SCIENCE SAUDE ANIMAL LTDA</v>
      </c>
      <c r="C401" s="39"/>
      <c r="D401" s="40">
        <v>96137</v>
      </c>
      <c r="E401" s="44">
        <v>610</v>
      </c>
      <c r="F401" s="46"/>
      <c r="G401" s="41"/>
      <c r="H401" s="41"/>
      <c r="I401" s="42">
        <v>46197</v>
      </c>
      <c r="J401"/>
    </row>
    <row r="402" spans="1:10" x14ac:dyDescent="0.25">
      <c r="A402">
        <v>50291</v>
      </c>
      <c r="B402" s="39" t="str">
        <f>IFERROR(VLOOKUP(A402,CLIENTES!A:E,2,0),"CADASTRAR CLIENTE")</f>
        <v>UNIMED DE CATANDUVA COOPERATIVA DE TRABALHO MEDICO</v>
      </c>
      <c r="C402" s="39"/>
      <c r="D402" s="40">
        <v>96147</v>
      </c>
      <c r="E402" s="44">
        <v>997.3</v>
      </c>
      <c r="F402" s="46"/>
      <c r="G402" s="41"/>
      <c r="H402" s="41"/>
      <c r="I402" s="42">
        <v>46197</v>
      </c>
      <c r="J402"/>
    </row>
    <row r="403" spans="1:10" x14ac:dyDescent="0.25">
      <c r="A403">
        <v>501050</v>
      </c>
      <c r="B403" s="39" t="str">
        <f>IFERROR(VLOOKUP(A403,CLIENTES!A:E,2,0),"CADASTRAR CLIENTE")</f>
        <v>FUNDO MUNICIPAL DE SAUDE DE PONTA GROSSA</v>
      </c>
      <c r="C403" s="39"/>
      <c r="D403" s="40">
        <v>96185</v>
      </c>
      <c r="E403" s="44">
        <v>12463</v>
      </c>
      <c r="F403" s="46"/>
      <c r="G403" s="41"/>
      <c r="H403" s="41"/>
      <c r="I403" s="42">
        <v>46198</v>
      </c>
      <c r="J403"/>
    </row>
    <row r="404" spans="1:10" x14ac:dyDescent="0.25">
      <c r="A404">
        <v>93</v>
      </c>
      <c r="B404" s="39" t="str">
        <f>IFERROR(VLOOKUP(A404,CLIENTES!A:E,2,0),"CADASTRAR CLIENTE")</f>
        <v>LAB. ANAL. CLIN. SAO JORGE SC  LTDA.</v>
      </c>
      <c r="C404" s="39"/>
      <c r="D404" s="40">
        <v>96184</v>
      </c>
      <c r="E404" s="44">
        <v>558.20000000000005</v>
      </c>
      <c r="F404" s="46"/>
      <c r="G404" s="41"/>
      <c r="H404" s="41"/>
      <c r="I404" s="42">
        <v>46198</v>
      </c>
      <c r="J404"/>
    </row>
    <row r="405" spans="1:10" x14ac:dyDescent="0.25">
      <c r="A405">
        <v>93</v>
      </c>
      <c r="B405" s="39" t="str">
        <f>IFERROR(VLOOKUP(A405,CLIENTES!A:E,2,0),"CADASTRAR CLIENTE")</f>
        <v>LAB. ANAL. CLIN. SAO JORGE SC  LTDA.</v>
      </c>
      <c r="C405" s="39"/>
      <c r="D405" s="40">
        <v>96187</v>
      </c>
      <c r="E405" s="44">
        <v>180</v>
      </c>
      <c r="F405" s="46"/>
      <c r="G405" s="41"/>
      <c r="H405" s="41"/>
      <c r="I405" s="42">
        <v>46198</v>
      </c>
      <c r="J405"/>
    </row>
    <row r="406" spans="1:10" x14ac:dyDescent="0.25">
      <c r="A406">
        <v>1486</v>
      </c>
      <c r="B406" s="39" t="str">
        <f>IFERROR(VLOOKUP(A406,CLIENTES!A:E,2,0),"CADASTRAR CLIENTE")</f>
        <v>IRMANDADE SANTA CASA DE MISER. DE LIMEIRA</v>
      </c>
      <c r="C406" s="39"/>
      <c r="D406" s="40">
        <v>96217</v>
      </c>
      <c r="E406" s="44">
        <v>8242.7999999999993</v>
      </c>
      <c r="F406" s="46"/>
      <c r="G406" s="41"/>
      <c r="H406" s="41"/>
      <c r="I406" s="42">
        <v>46199</v>
      </c>
      <c r="J406"/>
    </row>
    <row r="407" spans="1:10" x14ac:dyDescent="0.25">
      <c r="A407">
        <v>500520</v>
      </c>
      <c r="B407" s="39" t="str">
        <f>IFERROR(VLOOKUP(A407,CLIENTES!A:E,2,0),"CADASTRAR CLIENTE")</f>
        <v>HOSPITAL LEONARDO DA VINCI LTDA</v>
      </c>
      <c r="C407" s="39"/>
      <c r="D407" s="40">
        <v>96259</v>
      </c>
      <c r="E407" s="44">
        <v>1620</v>
      </c>
      <c r="F407" s="46"/>
      <c r="G407" s="41"/>
      <c r="H407" s="41"/>
      <c r="I407" s="42">
        <v>46202</v>
      </c>
      <c r="J407"/>
    </row>
    <row r="408" spans="1:10" x14ac:dyDescent="0.25">
      <c r="A408">
        <v>501050</v>
      </c>
      <c r="B408" s="39" t="str">
        <f>IFERROR(VLOOKUP(A408,CLIENTES!A:E,2,0),"CADASTRAR CLIENTE")</f>
        <v>FUNDO MUNICIPAL DE SAUDE DE PONTA GROSSA</v>
      </c>
      <c r="C408" s="39"/>
      <c r="D408" s="40">
        <v>96270</v>
      </c>
      <c r="E408" s="44">
        <v>9270</v>
      </c>
      <c r="F408" s="46"/>
      <c r="G408" s="41"/>
      <c r="H408" s="41"/>
      <c r="I408" s="42">
        <v>46203</v>
      </c>
      <c r="J408"/>
    </row>
    <row r="409" spans="1:10" x14ac:dyDescent="0.25">
      <c r="A409">
        <v>500361</v>
      </c>
      <c r="B409" s="39" t="str">
        <f>IFERROR(VLOOKUP(A409,CLIENTES!A:E,2,0),"CADASTRAR CLIENTE")</f>
        <v>SANTA CASA DE MISER DA IRSENHOR DOS PASSOS DE UBATUBA</v>
      </c>
      <c r="C409" s="39"/>
      <c r="D409" s="40">
        <v>96283</v>
      </c>
      <c r="E409" s="44">
        <v>2380.3000000000002</v>
      </c>
      <c r="F409" s="46"/>
      <c r="G409" s="41"/>
      <c r="H409" s="41"/>
      <c r="I409" s="42">
        <v>46203</v>
      </c>
      <c r="J409"/>
    </row>
    <row r="410" spans="1:10" x14ac:dyDescent="0.25">
      <c r="A410">
        <v>500361</v>
      </c>
      <c r="B410" s="39" t="str">
        <f>IFERROR(VLOOKUP(A410,CLIENTES!A:E,2,0),"CADASTRAR CLIENTE")</f>
        <v>SANTA CASA DE MISER DA IRSENHOR DOS PASSOS DE UBATUBA</v>
      </c>
      <c r="C410" s="39"/>
      <c r="D410" s="40">
        <v>96284</v>
      </c>
      <c r="E410" s="44">
        <v>287.60000000000002</v>
      </c>
      <c r="F410" s="46"/>
      <c r="G410" s="41"/>
      <c r="H410" s="41"/>
      <c r="I410" s="42">
        <v>46203</v>
      </c>
      <c r="J410"/>
    </row>
    <row r="411" spans="1:10" x14ac:dyDescent="0.25">
      <c r="A411">
        <v>1327</v>
      </c>
      <c r="B411" s="39" t="str">
        <f>IFERROR(VLOOKUP(A411,CLIENTES!A:E,2,0),"CADASTRAR CLIENTE")</f>
        <v>BISACCHI FENIX COMERCIAL EIRELI</v>
      </c>
      <c r="C411" s="39"/>
      <c r="D411" s="40">
        <v>96329</v>
      </c>
      <c r="E411" s="44">
        <v>665</v>
      </c>
      <c r="F411" s="46"/>
      <c r="G411" s="41"/>
      <c r="H411" s="41"/>
      <c r="I411" s="42">
        <v>46204</v>
      </c>
      <c r="J411"/>
    </row>
    <row r="412" spans="1:10" x14ac:dyDescent="0.25">
      <c r="A412">
        <v>500020</v>
      </c>
      <c r="B412" s="39" t="str">
        <f>IFERROR(VLOOKUP(A412,CLIENTES!A:E,2,0),"CADASTRAR CLIENTE")</f>
        <v>ASSOCIACAO EVANGELICA BENEFICENTE DE CAMPINAS</v>
      </c>
      <c r="C412" s="39"/>
      <c r="D412" s="40">
        <v>96396</v>
      </c>
      <c r="E412" s="44">
        <v>184.5</v>
      </c>
      <c r="F412" s="46"/>
      <c r="G412" s="41"/>
      <c r="H412" s="41"/>
      <c r="I412" s="42">
        <v>46205</v>
      </c>
      <c r="J412"/>
    </row>
    <row r="413" spans="1:10" x14ac:dyDescent="0.25">
      <c r="A413">
        <v>501205</v>
      </c>
      <c r="B413" s="39" t="str">
        <f>IFERROR(VLOOKUP(A413,CLIENTES!A:E,2,0),"CADASTRAR CLIENTE")</f>
        <v>CASA DE SAUDE DIVINO ESPIRITO SANTO S A</v>
      </c>
      <c r="C413" s="39"/>
      <c r="D413" s="40">
        <v>96374</v>
      </c>
      <c r="E413" s="44">
        <v>1035</v>
      </c>
      <c r="F413" s="46"/>
      <c r="G413" s="41"/>
      <c r="H413" s="41"/>
      <c r="I413" s="42">
        <v>46205</v>
      </c>
      <c r="J413"/>
    </row>
    <row r="414" spans="1:10" x14ac:dyDescent="0.25">
      <c r="A414">
        <v>1486</v>
      </c>
      <c r="B414" s="39" t="str">
        <f>IFERROR(VLOOKUP(A414,CLIENTES!A:E,2,0),"CADASTRAR CLIENTE")</f>
        <v>IRMANDADE SANTA CASA DE MISER. DE LIMEIRA</v>
      </c>
      <c r="C414" s="39"/>
      <c r="D414" s="40">
        <v>96378</v>
      </c>
      <c r="E414" s="44">
        <v>313</v>
      </c>
      <c r="F414" s="46"/>
      <c r="G414" s="41"/>
      <c r="H414" s="41"/>
      <c r="I414" s="42">
        <v>46205</v>
      </c>
      <c r="J414"/>
    </row>
    <row r="415" spans="1:10" x14ac:dyDescent="0.25">
      <c r="A415">
        <v>93</v>
      </c>
      <c r="B415" s="39" t="str">
        <f>IFERROR(VLOOKUP(A415,CLIENTES!A:E,2,0),"CADASTRAR CLIENTE")</f>
        <v>LAB. ANAL. CLIN. SAO JORGE SC  LTDA.</v>
      </c>
      <c r="C415" s="39"/>
      <c r="D415" s="40">
        <v>96373</v>
      </c>
      <c r="E415" s="44">
        <v>99</v>
      </c>
      <c r="F415" s="46"/>
      <c r="G415" s="41"/>
      <c r="H415" s="41"/>
      <c r="I415" s="42">
        <v>46205</v>
      </c>
      <c r="J415"/>
    </row>
    <row r="416" spans="1:10" x14ac:dyDescent="0.25">
      <c r="A416">
        <v>51113</v>
      </c>
      <c r="B416" s="39" t="str">
        <f>IFERROR(VLOOKUP(A416,CLIENTES!A:E,2,0),"CADASTRAR CLIENTE")</f>
        <v>LABOR QUALY LTDA</v>
      </c>
      <c r="C416" s="39"/>
      <c r="D416" s="40">
        <v>96377</v>
      </c>
      <c r="E416" s="44">
        <v>1463</v>
      </c>
      <c r="F416" s="46"/>
      <c r="G416" s="41"/>
      <c r="H416" s="41"/>
      <c r="I416" s="42">
        <v>46205</v>
      </c>
      <c r="J416"/>
    </row>
    <row r="417" spans="1:10" x14ac:dyDescent="0.25">
      <c r="A417">
        <v>501189</v>
      </c>
      <c r="B417" s="39" t="str">
        <f>IFERROR(VLOOKUP(A417,CLIENTES!A:E,2,0),"CADASTRAR CLIENTE")</f>
        <v>PRODLAC PRODS MEDICOS HOSPITALARES LTDA</v>
      </c>
      <c r="C417" s="39"/>
      <c r="D417" s="40">
        <v>96380</v>
      </c>
      <c r="E417" s="44">
        <v>61.9</v>
      </c>
      <c r="F417" s="46"/>
      <c r="G417" s="41"/>
      <c r="H417" s="41"/>
      <c r="I417" s="42">
        <v>46205</v>
      </c>
      <c r="J417"/>
    </row>
    <row r="418" spans="1:10" x14ac:dyDescent="0.25">
      <c r="A418">
        <v>3508</v>
      </c>
      <c r="B418" s="39" t="str">
        <f>IFERROR(VLOOKUP(A418,CLIENTES!A:E,2,0),"CADASTRAR CLIENTE")</f>
        <v>FUNDACAO FACULDADE MEDICINA/ICESP</v>
      </c>
      <c r="C418" s="39"/>
      <c r="D418" s="40">
        <v>96431</v>
      </c>
      <c r="E418" s="44">
        <v>574</v>
      </c>
      <c r="F418" s="46"/>
      <c r="G418" s="41"/>
      <c r="H418" s="41"/>
      <c r="I418" s="42">
        <v>46206</v>
      </c>
      <c r="J418"/>
    </row>
    <row r="419" spans="1:10" x14ac:dyDescent="0.25">
      <c r="A419">
        <v>500998</v>
      </c>
      <c r="B419" s="39" t="str">
        <f>IFERROR(VLOOKUP(A419,CLIENTES!A:E,2,0),"CADASTRAR CLIENTE")</f>
        <v>CASA DE SAUDE SANTA RITA S A</v>
      </c>
      <c r="C419" s="39"/>
      <c r="D419" s="40">
        <v>96467</v>
      </c>
      <c r="E419" s="44">
        <v>1395</v>
      </c>
      <c r="F419" s="46"/>
      <c r="G419" s="41"/>
      <c r="H419" s="41"/>
      <c r="I419" s="42">
        <v>46209</v>
      </c>
      <c r="J419"/>
    </row>
    <row r="420" spans="1:10" x14ac:dyDescent="0.25">
      <c r="A420">
        <v>500151</v>
      </c>
      <c r="B420" s="39" t="str">
        <f>IFERROR(VLOOKUP(A420,CLIENTES!A:E,2,0),"CADASTRAR CLIENTE")</f>
        <v>HOSPITAL E MATERNIDADE PRESIDENTE PRUDENTE LTDA</v>
      </c>
      <c r="C420" s="39"/>
      <c r="D420" s="40">
        <v>96525</v>
      </c>
      <c r="E420" s="44">
        <v>3960</v>
      </c>
      <c r="F420" s="46"/>
      <c r="G420" s="41"/>
      <c r="H420" s="41"/>
      <c r="I420" s="42">
        <v>46209</v>
      </c>
      <c r="J420"/>
    </row>
    <row r="421" spans="1:10" x14ac:dyDescent="0.25">
      <c r="A421">
        <v>758</v>
      </c>
      <c r="B421" s="39" t="str">
        <f>IFERROR(VLOOKUP(A421,CLIENTES!A:E,2,0),"CADASTRAR CLIENTE")</f>
        <v>IRMANDADE DA SANTA CASA DE ANDRADINA</v>
      </c>
      <c r="C421" s="39"/>
      <c r="D421" s="40">
        <v>96484</v>
      </c>
      <c r="E421" s="44">
        <v>1157.9000000000001</v>
      </c>
      <c r="F421" s="46"/>
      <c r="G421" s="41"/>
      <c r="H421" s="41"/>
      <c r="I421" s="42">
        <v>46209</v>
      </c>
      <c r="J421"/>
    </row>
    <row r="422" spans="1:10" x14ac:dyDescent="0.25">
      <c r="A422">
        <v>500984</v>
      </c>
      <c r="B422" s="39" t="str">
        <f>IFERROR(VLOOKUP(A422,CLIENTES!A:E,2,0),"CADASTRAR CLIENTE")</f>
        <v>J. L. SAUDE - ASSISTENCIA MEDICA LTDA</v>
      </c>
      <c r="C422" s="39"/>
      <c r="D422" s="40">
        <v>96495</v>
      </c>
      <c r="E422" s="44">
        <v>1971.5</v>
      </c>
      <c r="F422" s="46"/>
      <c r="G422" s="41"/>
      <c r="H422" s="41"/>
      <c r="I422" s="42">
        <v>46209</v>
      </c>
      <c r="J422"/>
    </row>
    <row r="423" spans="1:10" x14ac:dyDescent="0.25">
      <c r="A423">
        <v>501202</v>
      </c>
      <c r="B423" s="39" t="str">
        <f>IFERROR(VLOOKUP(A423,CLIENTES!A:E,2,0),"CADASTRAR CLIENTE")</f>
        <v>JULIO SCHARFSTEIN</v>
      </c>
      <c r="C423" s="39"/>
      <c r="D423" s="40">
        <v>96482</v>
      </c>
      <c r="E423" s="44">
        <v>7380</v>
      </c>
      <c r="F423" s="46"/>
      <c r="G423" s="41"/>
      <c r="H423" s="41"/>
      <c r="I423" s="42">
        <v>46209</v>
      </c>
      <c r="J423"/>
    </row>
    <row r="424" spans="1:10" x14ac:dyDescent="0.25">
      <c r="A424">
        <v>501202</v>
      </c>
      <c r="B424" s="39" t="str">
        <f>IFERROR(VLOOKUP(A424,CLIENTES!A:E,2,0),"CADASTRAR CLIENTE")</f>
        <v>JULIO SCHARFSTEIN</v>
      </c>
      <c r="C424" s="39"/>
      <c r="D424" s="40">
        <v>96483</v>
      </c>
      <c r="E424" s="44">
        <v>913</v>
      </c>
      <c r="F424" s="46"/>
      <c r="G424" s="41"/>
      <c r="H424" s="41"/>
      <c r="I424" s="42">
        <v>46209</v>
      </c>
      <c r="J424"/>
    </row>
    <row r="425" spans="1:10" x14ac:dyDescent="0.25">
      <c r="A425">
        <v>93</v>
      </c>
      <c r="B425" s="39" t="str">
        <f>IFERROR(VLOOKUP(A425,CLIENTES!A:E,2,0),"CADASTRAR CLIENTE")</f>
        <v>LAB. ANAL. CLIN. SAO JORGE SC  LTDA.</v>
      </c>
      <c r="C425" s="39"/>
      <c r="D425" s="40">
        <v>96479</v>
      </c>
      <c r="E425" s="44">
        <v>922</v>
      </c>
      <c r="F425" s="46"/>
      <c r="G425" s="41"/>
      <c r="H425" s="41"/>
      <c r="I425" s="42">
        <v>46209</v>
      </c>
      <c r="J425"/>
    </row>
    <row r="426" spans="1:10" x14ac:dyDescent="0.25">
      <c r="A426">
        <v>2865</v>
      </c>
      <c r="B426" s="39" t="str">
        <f>IFERROR(VLOOKUP(A426,CLIENTES!A:E,2,0),"CADASTRAR CLIENTE")</f>
        <v>LABORATORIO DE ANALISES CLINICAS BARUK LTDA</v>
      </c>
      <c r="C426" s="39"/>
      <c r="D426" s="40">
        <v>96481</v>
      </c>
      <c r="E426" s="44">
        <v>2094</v>
      </c>
      <c r="F426" s="46"/>
      <c r="G426" s="41"/>
      <c r="H426" s="41"/>
      <c r="I426" s="42">
        <v>46209</v>
      </c>
      <c r="J426"/>
    </row>
    <row r="427" spans="1:10" x14ac:dyDescent="0.25">
      <c r="A427">
        <v>2865</v>
      </c>
      <c r="B427" s="39" t="str">
        <f>IFERROR(VLOOKUP(A427,CLIENTES!A:E,2,0),"CADASTRAR CLIENTE")</f>
        <v>LABORATORIO DE ANALISES CLINICAS BARUK LTDA</v>
      </c>
      <c r="C427" s="39"/>
      <c r="D427" s="40">
        <v>96480</v>
      </c>
      <c r="E427" s="44">
        <v>10250</v>
      </c>
      <c r="F427" s="46"/>
      <c r="G427" s="41"/>
      <c r="H427" s="41"/>
      <c r="I427" s="42">
        <v>46209</v>
      </c>
      <c r="J427"/>
    </row>
    <row r="428" spans="1:10" x14ac:dyDescent="0.25">
      <c r="A428">
        <v>50873</v>
      </c>
      <c r="B428" s="39" t="str">
        <f>IFERROR(VLOOKUP(A428,CLIENTES!A:E,2,0),"CADASTRAR CLIENTE")</f>
        <v>MAYLA NAOMI OKADO SALATA</v>
      </c>
      <c r="C428" s="39"/>
      <c r="D428" s="40">
        <v>96474</v>
      </c>
      <c r="E428" s="44">
        <v>345</v>
      </c>
      <c r="F428" s="46"/>
      <c r="G428" s="41"/>
      <c r="H428" s="41"/>
      <c r="I428" s="42">
        <v>46209</v>
      </c>
      <c r="J428"/>
    </row>
    <row r="429" spans="1:10" x14ac:dyDescent="0.25">
      <c r="A429">
        <v>501090</v>
      </c>
      <c r="B429" s="39" t="str">
        <f>IFERROR(VLOOKUP(A429,CLIENTES!A:E,2,0),"CADASTRAR CLIENTE")</f>
        <v>INSTITUTO NACIONAL DE DESENVOLVIMENTO SOCIAL E HUMANO INDSH</v>
      </c>
      <c r="C429" s="39"/>
      <c r="D429" s="40">
        <v>96532</v>
      </c>
      <c r="E429" s="44">
        <v>1400</v>
      </c>
      <c r="F429" s="46"/>
      <c r="G429" s="41"/>
      <c r="H429" s="41"/>
      <c r="I429" s="42">
        <v>46210</v>
      </c>
      <c r="J429"/>
    </row>
    <row r="430" spans="1:10" x14ac:dyDescent="0.25">
      <c r="A430">
        <v>50467</v>
      </c>
      <c r="B430" s="39" t="str">
        <f>IFERROR(VLOOKUP(A430,CLIENTES!A:E,2,0),"CADASTRAR CLIENTE")</f>
        <v>LABORATORIO MONTE SINAI LTDA</v>
      </c>
      <c r="C430" s="39"/>
      <c r="D430" s="40">
        <v>96571</v>
      </c>
      <c r="E430" s="44">
        <v>255</v>
      </c>
      <c r="F430" s="46"/>
      <c r="G430" s="41"/>
      <c r="H430" s="41"/>
      <c r="I430" s="42">
        <v>46210</v>
      </c>
      <c r="J430"/>
    </row>
    <row r="431" spans="1:10" x14ac:dyDescent="0.25">
      <c r="A431">
        <v>51090</v>
      </c>
      <c r="B431" s="39" t="str">
        <f>IFERROR(VLOOKUP(A431,CLIENTES!A:E,2,0),"CADASTRAR CLIENTE")</f>
        <v>REAL E BENEMERITA ASSOCIACAO PORTUGUESA DE BENEFICENCIA</v>
      </c>
      <c r="C431" s="39"/>
      <c r="D431" s="40">
        <v>96530</v>
      </c>
      <c r="E431" s="44">
        <v>1272</v>
      </c>
      <c r="F431" s="46"/>
      <c r="G431" s="41"/>
      <c r="H431" s="41"/>
      <c r="I431" s="42">
        <v>46210</v>
      </c>
      <c r="J431"/>
    </row>
    <row r="432" spans="1:10" x14ac:dyDescent="0.25">
      <c r="A432">
        <v>1817</v>
      </c>
      <c r="B432" s="39" t="str">
        <f>IFERROR(VLOOKUP(A432,CLIENTES!A:E,2,0),"CADASTRAR CLIENTE")</f>
        <v>UNIMED DE PIRACICABA SOCIED.COOP.DE SERV.MEDICOS</v>
      </c>
      <c r="C432" s="39"/>
      <c r="D432" s="40">
        <v>96549</v>
      </c>
      <c r="E432" s="44">
        <v>126</v>
      </c>
      <c r="F432" s="46"/>
      <c r="G432" s="41"/>
      <c r="H432" s="41"/>
      <c r="I432" s="42">
        <v>46210</v>
      </c>
      <c r="J432"/>
    </row>
    <row r="433" spans="1:10" x14ac:dyDescent="0.25">
      <c r="A433">
        <v>501208</v>
      </c>
      <c r="B433" s="39" t="str">
        <f>IFERROR(VLOOKUP(A433,CLIENTES!A:E,2,0),"CADASTRAR CLIENTE")</f>
        <v>MINISTERIO DA SAUDE</v>
      </c>
      <c r="C433" s="39"/>
      <c r="D433" s="40">
        <v>96531</v>
      </c>
      <c r="E433" s="44">
        <v>1272</v>
      </c>
      <c r="F433" s="46"/>
      <c r="G433" s="41"/>
      <c r="H433" s="41"/>
      <c r="I433" s="42">
        <v>46210</v>
      </c>
      <c r="J433"/>
    </row>
    <row r="434" spans="1:10" x14ac:dyDescent="0.25">
      <c r="A434">
        <v>1378</v>
      </c>
      <c r="B434" s="39" t="str">
        <f>IFERROR(VLOOKUP(A434,CLIENTES!A:E,2,0),"CADASTRAR CLIENTE")</f>
        <v>ASS.CARIDADE DA SANTA CASA MISERIC.DE ASSIS</v>
      </c>
      <c r="C434" s="39"/>
      <c r="D434" s="40">
        <v>96589</v>
      </c>
      <c r="E434" s="44">
        <v>6798.8</v>
      </c>
      <c r="F434" s="46"/>
      <c r="G434" s="41"/>
      <c r="H434" s="41"/>
      <c r="I434" s="42">
        <v>46211</v>
      </c>
      <c r="J434"/>
    </row>
    <row r="435" spans="1:10" x14ac:dyDescent="0.25">
      <c r="A435">
        <v>501213</v>
      </c>
      <c r="B435" s="39" t="str">
        <f>IFERROR(VLOOKUP(A435,CLIENTES!A:E,2,0),"CADASTRAR CLIENTE")</f>
        <v>INSTITUTO NACIONAL DE DESENVOLVIMENTO SOCIAL E HUMANO - INDSH</v>
      </c>
      <c r="C435" s="39"/>
      <c r="D435" s="40">
        <v>96606</v>
      </c>
      <c r="E435" s="44">
        <v>2859.2</v>
      </c>
      <c r="F435" s="46"/>
      <c r="G435" s="41"/>
      <c r="H435" s="41"/>
      <c r="I435" s="42">
        <v>46211</v>
      </c>
      <c r="J435"/>
    </row>
    <row r="436" spans="1:10" x14ac:dyDescent="0.25">
      <c r="A436">
        <v>1991</v>
      </c>
      <c r="B436" s="39" t="str">
        <f>IFERROR(VLOOKUP(A436,CLIENTES!A:E,2,0),"CADASTRAR CLIENTE")</f>
        <v>IRMAND.DA SANTA CASA DE MISERICORDIA DE TAMBAU</v>
      </c>
      <c r="C436" s="39"/>
      <c r="D436" s="40">
        <v>96579</v>
      </c>
      <c r="E436" s="44">
        <v>974.7</v>
      </c>
      <c r="F436" s="46"/>
      <c r="G436" s="41"/>
      <c r="H436" s="41"/>
      <c r="I436" s="42">
        <v>46211</v>
      </c>
      <c r="J436"/>
    </row>
    <row r="437" spans="1:10" x14ac:dyDescent="0.25">
      <c r="A437">
        <v>500643</v>
      </c>
      <c r="B437" s="39" t="str">
        <f>IFERROR(VLOOKUP(A437,CLIENTES!A:E,2,0),"CADASTRAR CLIENTE")</f>
        <v>IRMANDADE BOITUVA DE SAUDE E EDUCACAO</v>
      </c>
      <c r="C437" s="39"/>
      <c r="D437" s="40">
        <v>96592</v>
      </c>
      <c r="E437" s="44">
        <v>413</v>
      </c>
      <c r="F437" s="46"/>
      <c r="G437" s="41"/>
      <c r="H437" s="41"/>
      <c r="I437" s="42">
        <v>46211</v>
      </c>
      <c r="J437"/>
    </row>
    <row r="438" spans="1:10" x14ac:dyDescent="0.25">
      <c r="A438">
        <v>500643</v>
      </c>
      <c r="B438" s="39" t="str">
        <f>IFERROR(VLOOKUP(A438,CLIENTES!A:E,2,0),"CADASTRAR CLIENTE")</f>
        <v>IRMANDADE BOITUVA DE SAUDE E EDUCACAO</v>
      </c>
      <c r="C438" s="39"/>
      <c r="D438" s="40">
        <v>96593</v>
      </c>
      <c r="E438" s="44">
        <v>590</v>
      </c>
      <c r="F438" s="46"/>
      <c r="G438" s="41"/>
      <c r="H438" s="41"/>
      <c r="I438" s="42">
        <v>46211</v>
      </c>
      <c r="J438"/>
    </row>
    <row r="439" spans="1:10" x14ac:dyDescent="0.25">
      <c r="A439">
        <v>500839</v>
      </c>
      <c r="B439" s="39" t="str">
        <f>IFERROR(VLOOKUP(A439,CLIENTES!A:E,2,0),"CADASTRAR CLIENTE")</f>
        <v>IRMANDADE DA SANTA CASA DE MISERICORDIA DE PITANGUI</v>
      </c>
      <c r="C439" s="39"/>
      <c r="D439" s="40">
        <v>96584</v>
      </c>
      <c r="E439" s="44">
        <v>1767.65</v>
      </c>
      <c r="F439" s="46"/>
      <c r="G439" s="41"/>
      <c r="H439" s="41"/>
      <c r="I439" s="42">
        <v>46211</v>
      </c>
      <c r="J439"/>
    </row>
    <row r="440" spans="1:10" x14ac:dyDescent="0.25">
      <c r="A440">
        <v>592</v>
      </c>
      <c r="B440" s="39" t="str">
        <f>IFERROR(VLOOKUP(A440,CLIENTES!A:E,2,0),"CADASTRAR CLIENTE")</f>
        <v>PINDORAMA LABORATORIO DE ANALISES CLINICAS LTDA ME</v>
      </c>
      <c r="C440" s="39"/>
      <c r="D440" s="40">
        <v>96603</v>
      </c>
      <c r="E440" s="44">
        <v>1072.8</v>
      </c>
      <c r="F440" s="46"/>
      <c r="G440" s="41"/>
      <c r="H440" s="41"/>
      <c r="I440" s="42">
        <v>46211</v>
      </c>
      <c r="J440"/>
    </row>
    <row r="441" spans="1:10" x14ac:dyDescent="0.25">
      <c r="A441">
        <v>501229</v>
      </c>
      <c r="B441" s="39" t="str">
        <f>IFERROR(VLOOKUP(A441,CLIENTES!A:E,2,0),"CADASTRAR CLIENTE")</f>
        <v>HOSPITAL SANTA IGNES LTDA</v>
      </c>
      <c r="C441" s="39"/>
      <c r="D441" s="40">
        <v>96619</v>
      </c>
      <c r="E441" s="44">
        <v>495</v>
      </c>
      <c r="F441" s="46"/>
      <c r="G441" s="41"/>
      <c r="H441" s="41"/>
      <c r="I441" s="42">
        <v>46213</v>
      </c>
      <c r="J441"/>
    </row>
    <row r="442" spans="1:10" x14ac:dyDescent="0.25">
      <c r="A442">
        <v>500643</v>
      </c>
      <c r="B442" s="39" t="str">
        <f>IFERROR(VLOOKUP(A442,CLIENTES!A:E,2,0),"CADASTRAR CLIENTE")</f>
        <v>IRMANDADE BOITUVA DE SAUDE E EDUCACAO</v>
      </c>
      <c r="C442" s="39"/>
      <c r="D442" s="40">
        <v>96629</v>
      </c>
      <c r="E442" s="44">
        <v>397</v>
      </c>
      <c r="F442" s="46"/>
      <c r="G442" s="41"/>
      <c r="H442" s="41"/>
      <c r="I442" s="42">
        <v>46213</v>
      </c>
      <c r="J442"/>
    </row>
    <row r="443" spans="1:10" x14ac:dyDescent="0.25">
      <c r="A443">
        <v>500420</v>
      </c>
      <c r="B443" s="39" t="str">
        <f>IFERROR(VLOOKUP(A443,CLIENTES!A:E,2,0),"CADASTRAR CLIENTE")</f>
        <v>JANAINA MARCHESI TORREZAN</v>
      </c>
      <c r="C443" s="39"/>
      <c r="D443" s="40">
        <v>96628</v>
      </c>
      <c r="E443" s="44">
        <v>395.8</v>
      </c>
      <c r="F443" s="46"/>
      <c r="G443" s="41"/>
      <c r="H443" s="41"/>
      <c r="I443" s="42">
        <v>46213</v>
      </c>
      <c r="J443"/>
    </row>
    <row r="444" spans="1:10" x14ac:dyDescent="0.25">
      <c r="A444">
        <v>501226</v>
      </c>
      <c r="B444" s="39" t="str">
        <f>IFERROR(VLOOKUP(A444,CLIENTES!A:E,2,0),"CADASTRAR CLIENTE")</f>
        <v>INSTITUTO DE ENSINO E ASSISTENCIA SOCIAL</v>
      </c>
      <c r="C444" s="39"/>
      <c r="D444" s="40">
        <v>96648</v>
      </c>
      <c r="E444" s="44">
        <v>386.5</v>
      </c>
      <c r="F444" s="46"/>
      <c r="G444" s="41"/>
      <c r="H444" s="41"/>
      <c r="I444" s="42">
        <v>46216</v>
      </c>
      <c r="J444"/>
    </row>
    <row r="445" spans="1:10" x14ac:dyDescent="0.25">
      <c r="A445">
        <v>501226</v>
      </c>
      <c r="B445" s="39" t="str">
        <f>IFERROR(VLOOKUP(A445,CLIENTES!A:E,2,0),"CADASTRAR CLIENTE")</f>
        <v>INSTITUTO DE ENSINO E ASSISTENCIA SOCIAL</v>
      </c>
      <c r="C445" s="39"/>
      <c r="D445" s="40">
        <v>96647</v>
      </c>
      <c r="E445" s="44">
        <v>850</v>
      </c>
      <c r="F445" s="46"/>
      <c r="G445" s="41"/>
      <c r="H445" s="41"/>
      <c r="I445" s="42">
        <v>46216</v>
      </c>
      <c r="J445"/>
    </row>
    <row r="446" spans="1:10" x14ac:dyDescent="0.25">
      <c r="A446">
        <v>1902</v>
      </c>
      <c r="B446" s="39" t="str">
        <f>IFERROR(VLOOKUP(A446,CLIENTES!A:E,2,0),"CADASTRAR CLIENTE")</f>
        <v>IVANEIDA F.DOS SANTOS &amp; MARIA AUREA SOARES CHIMENTAO</v>
      </c>
      <c r="C446" s="39"/>
      <c r="D446" s="40">
        <v>96675</v>
      </c>
      <c r="E446" s="44">
        <v>935.26</v>
      </c>
      <c r="F446" s="46"/>
      <c r="G446" s="41"/>
      <c r="H446" s="41"/>
      <c r="I446" s="42">
        <v>46216</v>
      </c>
      <c r="J446"/>
    </row>
    <row r="447" spans="1:10" x14ac:dyDescent="0.25">
      <c r="A447">
        <v>3271</v>
      </c>
      <c r="B447" s="39" t="str">
        <f>IFERROR(VLOOKUP(A447,CLIENTES!A:E,2,0),"CADASTRAR CLIENTE")</f>
        <v>UNIMED DE PINDAMONHANGABA COOPERATIVA DE TRABALHO MEDICO</v>
      </c>
      <c r="C447" s="39"/>
      <c r="D447" s="40">
        <v>96664</v>
      </c>
      <c r="E447" s="44">
        <v>2390</v>
      </c>
      <c r="F447" s="46"/>
      <c r="G447" s="41"/>
      <c r="H447" s="41"/>
      <c r="I447" s="42">
        <v>46216</v>
      </c>
      <c r="J447"/>
    </row>
    <row r="448" spans="1:10" x14ac:dyDescent="0.25">
      <c r="A448">
        <v>500361</v>
      </c>
      <c r="B448" s="39" t="str">
        <f>IFERROR(VLOOKUP(A448,CLIENTES!A:E,2,0),"CADASTRAR CLIENTE")</f>
        <v>SANTA CASA DE MISER DA IRSENHOR DOS PASSOS DE UBATUBA</v>
      </c>
      <c r="C448" s="39"/>
      <c r="D448" s="40">
        <v>96748</v>
      </c>
      <c r="E448" s="44">
        <v>2388.6</v>
      </c>
      <c r="F448" s="46"/>
      <c r="G448" s="41"/>
      <c r="H448" s="41"/>
      <c r="I448" s="42">
        <v>46217</v>
      </c>
      <c r="J448"/>
    </row>
    <row r="449" spans="1:10" x14ac:dyDescent="0.25">
      <c r="A449">
        <v>456</v>
      </c>
      <c r="B449" s="39" t="str">
        <f>IFERROR(VLOOKUP(A449,CLIENTES!A:E,2,0),"CADASTRAR CLIENTE")</f>
        <v>FUNDACAO HOSPITALAR NOSSA SENHORA DE LOURDES</v>
      </c>
      <c r="C449" s="39"/>
      <c r="D449" s="40">
        <v>96814</v>
      </c>
      <c r="E449" s="44">
        <v>339</v>
      </c>
      <c r="F449" s="46"/>
      <c r="G449" s="41"/>
      <c r="H449" s="41"/>
      <c r="I449" s="42">
        <v>46218</v>
      </c>
      <c r="J449"/>
    </row>
    <row r="450" spans="1:10" x14ac:dyDescent="0.25">
      <c r="A450">
        <v>500984</v>
      </c>
      <c r="B450" s="39" t="str">
        <f>IFERROR(VLOOKUP(A450,CLIENTES!A:E,2,0),"CADASTRAR CLIENTE")</f>
        <v>J. L. SAUDE - ASSISTENCIA MEDICA LTDA</v>
      </c>
      <c r="C450" s="39"/>
      <c r="D450" s="40">
        <v>96789</v>
      </c>
      <c r="E450" s="44">
        <v>290</v>
      </c>
      <c r="F450" s="46"/>
      <c r="G450" s="41"/>
      <c r="H450" s="41"/>
      <c r="I450" s="42">
        <v>46218</v>
      </c>
      <c r="J450"/>
    </row>
    <row r="451" spans="1:10" x14ac:dyDescent="0.25">
      <c r="A451">
        <v>93</v>
      </c>
      <c r="B451" s="39" t="str">
        <f>IFERROR(VLOOKUP(A451,CLIENTES!A:E,2,0),"CADASTRAR CLIENTE")</f>
        <v>LAB. ANAL. CLIN. SAO JORGE SC  LTDA.</v>
      </c>
      <c r="C451" s="39"/>
      <c r="D451" s="40">
        <v>96795</v>
      </c>
      <c r="E451" s="44">
        <v>638.79999999999995</v>
      </c>
      <c r="F451" s="46"/>
      <c r="G451" s="41"/>
      <c r="H451" s="41"/>
      <c r="I451" s="42">
        <v>46218</v>
      </c>
      <c r="J451"/>
    </row>
    <row r="452" spans="1:10" x14ac:dyDescent="0.25">
      <c r="A452">
        <v>500029</v>
      </c>
      <c r="B452" s="39" t="str">
        <f>IFERROR(VLOOKUP(A452,CLIENTES!A:E,2,0),"CADASTRAR CLIENTE")</f>
        <v>ASSOCIACAO BENEFICENTE SAMARITANO</v>
      </c>
      <c r="C452" s="39"/>
      <c r="D452" s="40">
        <v>96875</v>
      </c>
      <c r="E452" s="44">
        <v>343.2</v>
      </c>
      <c r="F452" s="46"/>
      <c r="G452" s="41"/>
      <c r="H452" s="41"/>
      <c r="I452" s="42">
        <v>46219</v>
      </c>
      <c r="J452"/>
    </row>
    <row r="453" spans="1:10" x14ac:dyDescent="0.25">
      <c r="A453">
        <v>501245</v>
      </c>
      <c r="B453" s="39" t="str">
        <f>IFERROR(VLOOKUP(A453,CLIENTES!A:E,2,0),"CADASTRAR CLIENTE")</f>
        <v>CRUZ AZUL DE SAO PAULO</v>
      </c>
      <c r="C453" s="39"/>
      <c r="D453" s="40">
        <v>96866</v>
      </c>
      <c r="E453" s="44">
        <v>580</v>
      </c>
      <c r="F453" s="46"/>
      <c r="G453" s="41"/>
      <c r="H453" s="41"/>
      <c r="I453" s="42">
        <v>46219</v>
      </c>
      <c r="J453"/>
    </row>
    <row r="454" spans="1:10" x14ac:dyDescent="0.25">
      <c r="A454">
        <v>501200</v>
      </c>
      <c r="B454" s="39" t="str">
        <f>IFERROR(VLOOKUP(A454,CLIENTES!A:E,2,0),"CADASTRAR CLIENTE")</f>
        <v>D MED MATERIAL MEDICO LABORATORIAL LTDA</v>
      </c>
      <c r="C454" s="39"/>
      <c r="D454" s="40">
        <v>96833</v>
      </c>
      <c r="E454" s="44">
        <v>3013</v>
      </c>
      <c r="F454" s="46"/>
      <c r="G454" s="41"/>
      <c r="H454" s="41"/>
      <c r="I454" s="42">
        <v>46219</v>
      </c>
      <c r="J454"/>
    </row>
    <row r="455" spans="1:10" x14ac:dyDescent="0.25">
      <c r="A455">
        <v>500529</v>
      </c>
      <c r="B455" s="39" t="str">
        <f>IFERROR(VLOOKUP(A455,CLIENTES!A:E,2,0),"CADASTRAR CLIENTE")</f>
        <v>FUNDACAO SANTARRITENSE DE SAUDE E ASSISTENCIA SOCIAL</v>
      </c>
      <c r="C455" s="39"/>
      <c r="D455" s="40">
        <v>96839</v>
      </c>
      <c r="E455" s="44">
        <v>2718.34</v>
      </c>
      <c r="F455" s="46"/>
      <c r="G455" s="41"/>
      <c r="H455" s="41"/>
      <c r="I455" s="42">
        <v>46219</v>
      </c>
      <c r="J455"/>
    </row>
    <row r="456" spans="1:10" x14ac:dyDescent="0.25">
      <c r="A456">
        <v>1486</v>
      </c>
      <c r="B456" s="39" t="str">
        <f>IFERROR(VLOOKUP(A456,CLIENTES!A:E,2,0),"CADASTRAR CLIENTE")</f>
        <v>IRMANDADE SANTA CASA DE MISER. DE LIMEIRA</v>
      </c>
      <c r="C456" s="39"/>
      <c r="D456" s="40">
        <v>96840</v>
      </c>
      <c r="E456" s="44">
        <v>8357.7999999999993</v>
      </c>
      <c r="F456" s="46"/>
      <c r="G456" s="41"/>
      <c r="H456" s="41"/>
      <c r="I456" s="42">
        <v>46219</v>
      </c>
      <c r="J456"/>
    </row>
    <row r="457" spans="1:10" x14ac:dyDescent="0.25">
      <c r="A457">
        <v>500420</v>
      </c>
      <c r="B457" s="39" t="str">
        <f>IFERROR(VLOOKUP(A457,CLIENTES!A:E,2,0),"CADASTRAR CLIENTE")</f>
        <v>JANAINA MARCHESI TORREZAN</v>
      </c>
      <c r="C457" s="39"/>
      <c r="D457" s="40">
        <v>96831</v>
      </c>
      <c r="E457" s="44">
        <v>601.79999999999995</v>
      </c>
      <c r="F457" s="46"/>
      <c r="G457" s="41"/>
      <c r="H457" s="41"/>
      <c r="I457" s="42">
        <v>46219</v>
      </c>
      <c r="J457"/>
    </row>
    <row r="458" spans="1:10" x14ac:dyDescent="0.25">
      <c r="A458">
        <v>501204</v>
      </c>
      <c r="B458" s="39" t="str">
        <f>IFERROR(VLOOKUP(A458,CLIENTES!A:E,2,0),"CADASTRAR CLIENTE")</f>
        <v>UNIVERSIDADE DE SAO PAULO</v>
      </c>
      <c r="C458" s="39"/>
      <c r="D458" s="40">
        <v>96845</v>
      </c>
      <c r="E458" s="44">
        <v>3013</v>
      </c>
      <c r="F458" s="46"/>
      <c r="G458" s="41"/>
      <c r="H458" s="41"/>
      <c r="I458" s="42">
        <v>46219</v>
      </c>
      <c r="J458"/>
    </row>
    <row r="459" spans="1:10" x14ac:dyDescent="0.25">
      <c r="A459">
        <v>2865</v>
      </c>
      <c r="B459" s="39" t="str">
        <f>IFERROR(VLOOKUP(A459,CLIENTES!A:E,2,0),"CADASTRAR CLIENTE")</f>
        <v>LABORATORIO DE ANALISES CLINICAS BARUK LTDA</v>
      </c>
      <c r="C459" s="39"/>
      <c r="D459" s="40">
        <v>96885</v>
      </c>
      <c r="E459" s="44">
        <v>542.79999999999995</v>
      </c>
      <c r="F459" s="46"/>
      <c r="G459" s="41"/>
      <c r="H459" s="41"/>
      <c r="I459" s="42">
        <v>46220</v>
      </c>
      <c r="J459"/>
    </row>
    <row r="460" spans="1:10" x14ac:dyDescent="0.25">
      <c r="A460">
        <v>1848</v>
      </c>
      <c r="B460" s="39" t="str">
        <f>IFERROR(VLOOKUP(A460,CLIENTES!A:E,2,0),"CADASTRAR CLIENTE")</f>
        <v>ARACA PROLAB PRODUTOS PARA LABORATORIOS EIRELI</v>
      </c>
      <c r="C460" s="39"/>
      <c r="D460" s="40">
        <v>96919</v>
      </c>
      <c r="E460" s="44">
        <v>2138.8000000000002</v>
      </c>
      <c r="F460" s="46"/>
      <c r="G460" s="41"/>
      <c r="H460" s="41"/>
      <c r="I460" s="42">
        <v>46223</v>
      </c>
      <c r="J460"/>
    </row>
    <row r="461" spans="1:10" x14ac:dyDescent="0.25">
      <c r="A461">
        <v>500998</v>
      </c>
      <c r="B461" s="39" t="str">
        <f>IFERROR(VLOOKUP(A461,CLIENTES!A:E,2,0),"CADASTRAR CLIENTE")</f>
        <v>CASA DE SAUDE SANTA RITA S A</v>
      </c>
      <c r="C461" s="39"/>
      <c r="D461" s="40">
        <v>96956</v>
      </c>
      <c r="E461" s="44">
        <v>1395</v>
      </c>
      <c r="F461" s="46"/>
      <c r="G461" s="41"/>
      <c r="H461" s="41"/>
      <c r="I461" s="42">
        <v>46223</v>
      </c>
      <c r="J461"/>
    </row>
    <row r="462" spans="1:10" x14ac:dyDescent="0.25">
      <c r="A462">
        <v>1902</v>
      </c>
      <c r="B462" s="39" t="str">
        <f>IFERROR(VLOOKUP(A462,CLIENTES!A:E,2,0),"CADASTRAR CLIENTE")</f>
        <v>IVANEIDA F.DOS SANTOS &amp; MARIA AUREA SOARES CHIMENTAO</v>
      </c>
      <c r="C462" s="39"/>
      <c r="D462" s="40">
        <v>96918</v>
      </c>
      <c r="E462" s="44">
        <v>4298.59</v>
      </c>
      <c r="F462" s="46"/>
      <c r="G462" s="41"/>
      <c r="H462" s="41"/>
      <c r="I462" s="42">
        <v>46223</v>
      </c>
      <c r="J462"/>
    </row>
    <row r="463" spans="1:10" x14ac:dyDescent="0.25">
      <c r="A463">
        <v>1147</v>
      </c>
      <c r="B463" s="39" t="str">
        <f>IFERROR(VLOOKUP(A463,CLIENTES!A:E,2,0),"CADASTRAR CLIENTE")</f>
        <v>LABORPATAS LABORATORIO VETERINARIO LTDA</v>
      </c>
      <c r="C463" s="39"/>
      <c r="D463" s="40">
        <v>96920</v>
      </c>
      <c r="E463" s="44">
        <v>617.6</v>
      </c>
      <c r="F463" s="46"/>
      <c r="G463" s="41"/>
      <c r="H463" s="41"/>
      <c r="I463" s="42">
        <v>46223</v>
      </c>
      <c r="J463"/>
    </row>
    <row r="464" spans="1:10" x14ac:dyDescent="0.25">
      <c r="A464">
        <v>1147</v>
      </c>
      <c r="B464" s="39" t="str">
        <f>IFERROR(VLOOKUP(A464,CLIENTES!A:E,2,0),"CADASTRAR CLIENTE")</f>
        <v>LABORPATAS LABORATORIO VETERINARIO LTDA</v>
      </c>
      <c r="C464" s="39"/>
      <c r="D464" s="40">
        <v>96921</v>
      </c>
      <c r="E464" s="44">
        <v>61.6</v>
      </c>
      <c r="F464" s="46"/>
      <c r="G464" s="41"/>
      <c r="H464" s="41"/>
      <c r="I464" s="42">
        <v>46223</v>
      </c>
      <c r="J464"/>
    </row>
    <row r="465" spans="1:10" x14ac:dyDescent="0.25">
      <c r="A465">
        <v>3120</v>
      </c>
      <c r="B465" s="39" t="str">
        <f>IFERROR(VLOOKUP(A465,CLIENTES!A:E,2,0),"CADASTRAR CLIENTE")</f>
        <v>VANDERLEI SALVADOR BAGNATO</v>
      </c>
      <c r="C465" s="39"/>
      <c r="D465" s="40">
        <v>96934</v>
      </c>
      <c r="E465" s="44">
        <v>555</v>
      </c>
      <c r="F465" s="46"/>
      <c r="G465" s="41"/>
      <c r="H465" s="41"/>
      <c r="I465" s="42">
        <v>46223</v>
      </c>
      <c r="J465"/>
    </row>
    <row r="466" spans="1:10" x14ac:dyDescent="0.25">
      <c r="A466">
        <v>1378</v>
      </c>
      <c r="B466" s="39" t="str">
        <f>IFERROR(VLOOKUP(A466,CLIENTES!A:E,2,0),"CADASTRAR CLIENTE")</f>
        <v>ASS.CARIDADE DA SANTA CASA MISERIC.DE ASSIS</v>
      </c>
      <c r="C466" s="39"/>
      <c r="D466" s="40">
        <v>97017</v>
      </c>
      <c r="E466" s="44">
        <v>232.9</v>
      </c>
      <c r="F466" s="46"/>
      <c r="G466" s="41"/>
      <c r="H466" s="41"/>
      <c r="I466" s="42">
        <v>46224</v>
      </c>
      <c r="J466"/>
    </row>
    <row r="467" spans="1:10" x14ac:dyDescent="0.25">
      <c r="A467">
        <v>500520</v>
      </c>
      <c r="B467" s="39" t="str">
        <f>IFERROR(VLOOKUP(A467,CLIENTES!A:E,2,0),"CADASTRAR CLIENTE")</f>
        <v>HOSPITAL LEONARDO DA VINCI LTDA</v>
      </c>
      <c r="C467" s="39"/>
      <c r="D467" s="40">
        <v>97010</v>
      </c>
      <c r="E467" s="44">
        <v>422.9</v>
      </c>
      <c r="F467" s="46"/>
      <c r="G467" s="41"/>
      <c r="H467" s="41"/>
      <c r="I467" s="42">
        <v>46224</v>
      </c>
      <c r="J467"/>
    </row>
    <row r="468" spans="1:10" x14ac:dyDescent="0.25">
      <c r="A468">
        <v>6</v>
      </c>
      <c r="B468" s="39" t="str">
        <f>IFERROR(VLOOKUP(A468,CLIENTES!A:E,2,0),"CADASTRAR CLIENTE")</f>
        <v>LABORATORIO DE ANALISES CLINICAS QUIEZIE &amp; QUIEZIE LTDA-EPP</v>
      </c>
      <c r="C468" s="39"/>
      <c r="D468" s="40">
        <v>97006</v>
      </c>
      <c r="E468" s="44">
        <v>617</v>
      </c>
      <c r="F468" s="46"/>
      <c r="G468" s="41"/>
      <c r="H468" s="41"/>
      <c r="I468" s="42">
        <v>46224</v>
      </c>
      <c r="J468"/>
    </row>
    <row r="469" spans="1:10" x14ac:dyDescent="0.25">
      <c r="A469">
        <v>501129</v>
      </c>
      <c r="B469" s="39" t="str">
        <f>IFERROR(VLOOKUP(A469,CLIENTES!A:E,2,0),"CADASTRAR CLIENTE")</f>
        <v>NEXUS SERVICOS VETERINARIOS LTDA</v>
      </c>
      <c r="C469" s="39"/>
      <c r="D469" s="40">
        <v>97015</v>
      </c>
      <c r="E469" s="44">
        <v>519.29999999999995</v>
      </c>
      <c r="F469" s="46"/>
      <c r="G469" s="41"/>
      <c r="H469" s="41"/>
      <c r="I469" s="42">
        <v>46224</v>
      </c>
      <c r="J469"/>
    </row>
    <row r="470" spans="1:10" x14ac:dyDescent="0.25">
      <c r="A470">
        <v>501253</v>
      </c>
      <c r="B470" s="39" t="str">
        <f>IFERROR(VLOOKUP(A470,CLIENTES!A:E,2,0),"CADASTRAR CLIENTE")</f>
        <v>SANTA CASA DE MISERICORDIA DE ITUVERAVA</v>
      </c>
      <c r="C470" s="39"/>
      <c r="D470" s="40">
        <v>96983</v>
      </c>
      <c r="E470" s="44">
        <v>405.2</v>
      </c>
      <c r="F470" s="46"/>
      <c r="G470" s="41"/>
      <c r="H470" s="41"/>
      <c r="I470" s="42">
        <v>46224</v>
      </c>
      <c r="J470"/>
    </row>
    <row r="471" spans="1:10" x14ac:dyDescent="0.25">
      <c r="A471">
        <v>501255</v>
      </c>
      <c r="B471" s="39" t="str">
        <f>IFERROR(VLOOKUP(A471,CLIENTES!A:E,2,0),"CADASTRAR CLIENTE")</f>
        <v>TANYA CRISTINA RIBEIRO NOBREGA</v>
      </c>
      <c r="C471" s="39"/>
      <c r="D471" s="40">
        <v>96985</v>
      </c>
      <c r="E471" s="44">
        <v>99</v>
      </c>
      <c r="F471" s="46"/>
      <c r="G471" s="41"/>
      <c r="H471" s="41"/>
      <c r="I471" s="42">
        <v>46224</v>
      </c>
      <c r="J471"/>
    </row>
    <row r="472" spans="1:10" x14ac:dyDescent="0.25">
      <c r="A472">
        <v>500419</v>
      </c>
      <c r="B472" s="39" t="str">
        <f>IFERROR(VLOOKUP(A472,CLIENTES!A:E,2,0),"CADASTRAR CLIENTE")</f>
        <v>FUNDACAO DE ASSISTENCIA ESTUDO E PESQUISA DE UBERLANDIA</v>
      </c>
      <c r="C472" s="39"/>
      <c r="D472" s="40">
        <v>97047</v>
      </c>
      <c r="E472" s="44">
        <v>7289.5</v>
      </c>
      <c r="F472" s="46"/>
      <c r="G472" s="41"/>
      <c r="H472" s="41"/>
      <c r="I472" s="42">
        <v>46225</v>
      </c>
      <c r="J472"/>
    </row>
    <row r="473" spans="1:10" x14ac:dyDescent="0.25">
      <c r="A473">
        <v>50863</v>
      </c>
      <c r="B473" s="39" t="str">
        <f>IFERROR(VLOOKUP(A473,CLIENTES!A:E,2,0),"CADASTRAR CLIENTE")</f>
        <v>STA. CASA MISERICORDIA DE SAO SEB. DO PARAISO</v>
      </c>
      <c r="C473" s="39"/>
      <c r="D473" s="40">
        <v>97070</v>
      </c>
      <c r="E473" s="44">
        <v>454</v>
      </c>
      <c r="F473" s="46"/>
      <c r="G473" s="41"/>
      <c r="H473" s="41"/>
      <c r="I473" s="42">
        <v>46226</v>
      </c>
      <c r="J473"/>
    </row>
    <row r="474" spans="1:10" x14ac:dyDescent="0.25">
      <c r="A474">
        <v>3508</v>
      </c>
      <c r="B474" s="39" t="str">
        <f>IFERROR(VLOOKUP(A474,CLIENTES!A:E,2,0),"CADASTRAR CLIENTE")</f>
        <v>FUNDACAO FACULDADE MEDICINA/ICESP</v>
      </c>
      <c r="C474" s="39"/>
      <c r="D474" s="40">
        <v>97119</v>
      </c>
      <c r="E474" s="44">
        <v>459.2</v>
      </c>
      <c r="F474" s="46"/>
      <c r="G474" s="41"/>
      <c r="H474" s="41"/>
      <c r="I474" s="42">
        <v>46227</v>
      </c>
      <c r="J474"/>
    </row>
    <row r="475" spans="1:10" x14ac:dyDescent="0.25">
      <c r="A475">
        <v>501089</v>
      </c>
      <c r="B475" s="39" t="str">
        <f>IFERROR(VLOOKUP(A475,CLIENTES!A:E,2,0),"CADASTRAR CLIENTE")</f>
        <v>INSTITUTO NACIONAL DE DESENVOLVIMENTO SOCIAL E HUMANO INDSH</v>
      </c>
      <c r="C475" s="39"/>
      <c r="D475" s="40">
        <v>97125</v>
      </c>
      <c r="E475" s="44">
        <v>1680</v>
      </c>
      <c r="F475" s="46"/>
      <c r="G475" s="41"/>
      <c r="H475" s="41"/>
      <c r="I475" s="42">
        <v>46227</v>
      </c>
      <c r="J475"/>
    </row>
    <row r="476" spans="1:10" x14ac:dyDescent="0.25">
      <c r="A476">
        <v>501090</v>
      </c>
      <c r="B476" s="39" t="str">
        <f>IFERROR(VLOOKUP(A476,CLIENTES!A:E,2,0),"CADASTRAR CLIENTE")</f>
        <v>INSTITUTO NACIONAL DE DESENVOLVIMENTO SOCIAL E HUMANO INDSH</v>
      </c>
      <c r="C476" s="39"/>
      <c r="D476" s="40">
        <v>97126</v>
      </c>
      <c r="E476" s="44">
        <v>1400</v>
      </c>
      <c r="F476" s="46"/>
      <c r="G476" s="41"/>
      <c r="H476" s="41"/>
      <c r="I476" s="42">
        <v>46227</v>
      </c>
      <c r="J476"/>
    </row>
    <row r="477" spans="1:10" x14ac:dyDescent="0.25">
      <c r="A477">
        <v>500674</v>
      </c>
      <c r="B477" s="39" t="str">
        <f>IFERROR(VLOOKUP(A477,CLIENTES!A:E,2,0),"CADASTRAR CLIENTE")</f>
        <v>FUNDACAO UNIVERSIDADE DO CONTESTADO - FUNC</v>
      </c>
      <c r="C477" s="39"/>
      <c r="D477" s="40">
        <v>97148</v>
      </c>
      <c r="E477" s="44">
        <v>336</v>
      </c>
      <c r="F477" s="46"/>
      <c r="G477" s="41"/>
      <c r="H477" s="41"/>
      <c r="I477" s="42">
        <v>46230</v>
      </c>
      <c r="J477"/>
    </row>
    <row r="478" spans="1:10" x14ac:dyDescent="0.25">
      <c r="A478">
        <v>3327</v>
      </c>
      <c r="B478" s="39" t="str">
        <f>IFERROR(VLOOKUP(A478,CLIENTES!A:E,2,0),"CADASTRAR CLIENTE")</f>
        <v>IRMANDADE SAO JOSE DE NOVO HORIZONTE</v>
      </c>
      <c r="C478" s="39"/>
      <c r="D478" s="40">
        <v>97158</v>
      </c>
      <c r="E478" s="44">
        <v>512.9</v>
      </c>
      <c r="F478" s="46"/>
      <c r="G478" s="41"/>
      <c r="H478" s="41"/>
      <c r="I478" s="42">
        <v>46230</v>
      </c>
      <c r="J478"/>
    </row>
    <row r="479" spans="1:10" x14ac:dyDescent="0.25">
      <c r="A479">
        <v>915</v>
      </c>
      <c r="B479" s="39" t="str">
        <f>IFERROR(VLOOKUP(A479,CLIENTES!A:E,2,0),"CADASTRAR CLIENTE")</f>
        <v>LAB.DR RAUF EID ANAL.CLINICAS SS LTDA</v>
      </c>
      <c r="C479" s="39"/>
      <c r="D479" s="40">
        <v>97157</v>
      </c>
      <c r="E479" s="44">
        <v>539.4</v>
      </c>
      <c r="F479" s="46"/>
      <c r="G479" s="41"/>
      <c r="H479" s="41"/>
      <c r="I479" s="42">
        <v>46230</v>
      </c>
      <c r="J479"/>
    </row>
    <row r="480" spans="1:10" x14ac:dyDescent="0.25">
      <c r="A480">
        <v>500696</v>
      </c>
      <c r="B480" s="39" t="str">
        <f>IFERROR(VLOOKUP(A480,CLIENTES!A:E,2,0),"CADASTRAR CLIENTE")</f>
        <v>FUNDACAO DE ASSISTENCIA INTEGRAL A SAUDE - FAIS</v>
      </c>
      <c r="C480" s="39"/>
      <c r="D480" s="40">
        <v>97250</v>
      </c>
      <c r="E480" s="44">
        <v>1333</v>
      </c>
      <c r="F480" s="46"/>
      <c r="G480" s="41"/>
      <c r="H480" s="41"/>
      <c r="I480" s="42">
        <v>46231</v>
      </c>
      <c r="J480"/>
    </row>
    <row r="481" spans="1:10" x14ac:dyDescent="0.25">
      <c r="A481">
        <v>500717</v>
      </c>
      <c r="B481" s="39" t="str">
        <f>IFERROR(VLOOKUP(A481,CLIENTES!A:E,2,0),"CADASTRAR CLIENTE")</f>
        <v>FUNDACAO EDUCACIONAL LUCAS MACHADO FELUMA</v>
      </c>
      <c r="C481" s="39"/>
      <c r="D481" s="40">
        <v>97221</v>
      </c>
      <c r="E481" s="44">
        <v>247.5</v>
      </c>
      <c r="F481" s="46"/>
      <c r="G481" s="41"/>
      <c r="H481" s="41"/>
      <c r="I481" s="42">
        <v>46231</v>
      </c>
      <c r="J481"/>
    </row>
    <row r="482" spans="1:10" x14ac:dyDescent="0.25">
      <c r="A482">
        <v>500643</v>
      </c>
      <c r="B482" s="39" t="str">
        <f>IFERROR(VLOOKUP(A482,CLIENTES!A:E,2,0),"CADASTRAR CLIENTE")</f>
        <v>IRMANDADE BOITUVA DE SAUDE E EDUCACAO</v>
      </c>
      <c r="C482" s="39"/>
      <c r="D482" s="40">
        <v>97211</v>
      </c>
      <c r="E482" s="44">
        <v>482</v>
      </c>
      <c r="F482" s="46"/>
      <c r="G482" s="41"/>
      <c r="H482" s="41"/>
      <c r="I482" s="42">
        <v>46231</v>
      </c>
      <c r="J482"/>
    </row>
    <row r="483" spans="1:10" x14ac:dyDescent="0.25">
      <c r="A483">
        <v>500643</v>
      </c>
      <c r="B483" s="39" t="str">
        <f>IFERROR(VLOOKUP(A483,CLIENTES!A:E,2,0),"CADASTRAR CLIENTE")</f>
        <v>IRMANDADE BOITUVA DE SAUDE E EDUCACAO</v>
      </c>
      <c r="C483" s="39"/>
      <c r="D483" s="40">
        <v>97212</v>
      </c>
      <c r="E483" s="44">
        <v>280</v>
      </c>
      <c r="F483" s="46"/>
      <c r="G483" s="41"/>
      <c r="H483" s="41"/>
      <c r="I483" s="42">
        <v>46231</v>
      </c>
      <c r="J483"/>
    </row>
    <row r="484" spans="1:10" x14ac:dyDescent="0.25">
      <c r="A484">
        <v>1902</v>
      </c>
      <c r="B484" s="39" t="str">
        <f>IFERROR(VLOOKUP(A484,CLIENTES!A:E,2,0),"CADASTRAR CLIENTE")</f>
        <v>IVANEIDA F.DOS SANTOS &amp; MARIA AUREA SOARES CHIMENTAO</v>
      </c>
      <c r="C484" s="39"/>
      <c r="D484" s="40">
        <v>97207</v>
      </c>
      <c r="E484" s="44">
        <v>4017.17</v>
      </c>
      <c r="F484" s="46"/>
      <c r="G484" s="41"/>
      <c r="H484" s="41"/>
      <c r="I484" s="42">
        <v>46231</v>
      </c>
      <c r="J484"/>
    </row>
    <row r="485" spans="1:10" x14ac:dyDescent="0.25">
      <c r="A485">
        <v>842</v>
      </c>
      <c r="B485" s="39" t="str">
        <f>IFERROR(VLOOKUP(A485,CLIENTES!A:E,2,0),"CADASTRAR CLIENTE")</f>
        <v>LABORATORIO HEMOPACLI  SC LTDA</v>
      </c>
      <c r="C485" s="39"/>
      <c r="D485" s="40">
        <v>97219</v>
      </c>
      <c r="E485" s="44">
        <v>605.5</v>
      </c>
      <c r="F485" s="46"/>
      <c r="G485" s="41"/>
      <c r="H485" s="41"/>
      <c r="I485" s="42">
        <v>46231</v>
      </c>
      <c r="J485"/>
    </row>
    <row r="486" spans="1:10" x14ac:dyDescent="0.25">
      <c r="A486">
        <v>500361</v>
      </c>
      <c r="B486" s="39" t="str">
        <f>IFERROR(VLOOKUP(A486,CLIENTES!A:E,2,0),"CADASTRAR CLIENTE")</f>
        <v>SANTA CASA DE MISER DA IRSENHOR DOS PASSOS DE UBATUBA</v>
      </c>
      <c r="C486" s="39"/>
      <c r="D486" s="40">
        <v>97199</v>
      </c>
      <c r="E486" s="44">
        <v>1541.4</v>
      </c>
      <c r="F486" s="46"/>
      <c r="G486" s="41"/>
      <c r="H486" s="41"/>
      <c r="I486" s="42">
        <v>46231</v>
      </c>
      <c r="J486"/>
    </row>
    <row r="487" spans="1:10" x14ac:dyDescent="0.25">
      <c r="A487">
        <v>500020</v>
      </c>
      <c r="B487" s="39" t="str">
        <f>IFERROR(VLOOKUP(A487,CLIENTES!A:E,2,0),"CADASTRAR CLIENTE")</f>
        <v>ASSOCIACAO EVANGELICA BENEFICENTE DE CAMPINAS</v>
      </c>
      <c r="C487" s="39"/>
      <c r="D487" s="40">
        <v>97259</v>
      </c>
      <c r="E487" s="44">
        <v>990</v>
      </c>
      <c r="F487" s="46"/>
      <c r="G487" s="41"/>
      <c r="H487" s="41"/>
      <c r="I487" s="42">
        <v>46232</v>
      </c>
      <c r="J487"/>
    </row>
    <row r="488" spans="1:10" x14ac:dyDescent="0.25">
      <c r="A488">
        <v>3120</v>
      </c>
      <c r="B488" s="39" t="str">
        <f>IFERROR(VLOOKUP(A488,CLIENTES!A:E,2,0),"CADASTRAR CLIENTE")</f>
        <v>VANDERLEI SALVADOR BAGNATO</v>
      </c>
      <c r="C488" s="39"/>
      <c r="D488" s="40">
        <v>97260</v>
      </c>
      <c r="E488" s="44">
        <v>1200</v>
      </c>
      <c r="F488" s="46"/>
      <c r="G488" s="41"/>
      <c r="H488" s="41"/>
      <c r="I488" s="42">
        <v>46232</v>
      </c>
      <c r="J488"/>
    </row>
    <row r="489" spans="1:10" x14ac:dyDescent="0.25">
      <c r="A489">
        <v>869</v>
      </c>
      <c r="B489" s="39" t="str">
        <f>IFERROR(VLOOKUP(A489,CLIENTES!A:E,2,0),"CADASTRAR CLIENTE")</f>
        <v>&amp;CO. INDUSTRIA E COMERCIO DE COSMETICOS LTDA</v>
      </c>
      <c r="C489" s="39"/>
      <c r="D489" s="40">
        <v>97343</v>
      </c>
      <c r="E489" s="44">
        <v>832.3</v>
      </c>
      <c r="F489" s="46"/>
      <c r="G489" s="41"/>
      <c r="H489" s="41"/>
      <c r="I489" s="42">
        <v>46233</v>
      </c>
      <c r="J489"/>
    </row>
    <row r="490" spans="1:10" x14ac:dyDescent="0.25">
      <c r="A490">
        <v>1378</v>
      </c>
      <c r="B490" s="39" t="str">
        <f>IFERROR(VLOOKUP(A490,CLIENTES!A:E,2,0),"CADASTRAR CLIENTE")</f>
        <v>ASS.CARIDADE DA SANTA CASA MISERIC.DE ASSIS</v>
      </c>
      <c r="C490" s="39"/>
      <c r="D490" s="40">
        <v>97298</v>
      </c>
      <c r="E490" s="44">
        <v>2507</v>
      </c>
      <c r="F490" s="46"/>
      <c r="G490" s="41"/>
      <c r="H490" s="41"/>
      <c r="I490" s="42">
        <v>46233</v>
      </c>
      <c r="J490"/>
    </row>
    <row r="491" spans="1:10" x14ac:dyDescent="0.25">
      <c r="A491">
        <v>500859</v>
      </c>
      <c r="B491" s="39" t="str">
        <f>IFERROR(VLOOKUP(A491,CLIENTES!A:E,2,0),"CADASTRAR CLIENTE")</f>
        <v>ASSOCIACAO HOSPITALAR BENEFICENTE DE PINHALZINHO</v>
      </c>
      <c r="C491" s="39"/>
      <c r="D491" s="40">
        <v>97322</v>
      </c>
      <c r="E491" s="44">
        <v>455.4</v>
      </c>
      <c r="F491" s="46"/>
      <c r="G491" s="41"/>
      <c r="H491" s="41"/>
      <c r="I491" s="42">
        <v>46233</v>
      </c>
      <c r="J491"/>
    </row>
    <row r="492" spans="1:10" x14ac:dyDescent="0.25">
      <c r="A492">
        <v>3538</v>
      </c>
      <c r="B492" s="39" t="str">
        <f>IFERROR(VLOOKUP(A492,CLIENTES!A:E,2,0),"CADASTRAR CLIENTE")</f>
        <v>CENTERLAB AMBIENTAL LABORATORIO DE ANALISE LTDA</v>
      </c>
      <c r="C492" s="39"/>
      <c r="D492" s="40">
        <v>97323</v>
      </c>
      <c r="E492" s="44">
        <v>78.7</v>
      </c>
      <c r="F492" s="46"/>
      <c r="G492" s="41"/>
      <c r="H492" s="41"/>
      <c r="I492" s="42">
        <v>46233</v>
      </c>
      <c r="J492"/>
    </row>
    <row r="493" spans="1:10" x14ac:dyDescent="0.25">
      <c r="A493">
        <v>1048</v>
      </c>
      <c r="B493" s="39" t="str">
        <f>IFERROR(VLOOKUP(A493,CLIENTES!A:E,2,0),"CADASTRAR CLIENTE")</f>
        <v>FUNDACAO FELICE ROSSO</v>
      </c>
      <c r="C493" s="39"/>
      <c r="D493" s="40">
        <v>97299</v>
      </c>
      <c r="E493" s="44">
        <v>1306.8</v>
      </c>
      <c r="F493" s="46"/>
      <c r="G493" s="41"/>
      <c r="H493" s="41"/>
      <c r="I493" s="42">
        <v>46233</v>
      </c>
      <c r="J493"/>
    </row>
    <row r="494" spans="1:10" x14ac:dyDescent="0.25">
      <c r="A494">
        <v>50392</v>
      </c>
      <c r="B494" s="39" t="str">
        <f>IFERROR(VLOOKUP(A494,CLIENTES!A:E,2,0),"CADASTRAR CLIENTE")</f>
        <v>HELLEN CRISTINA SOUTO LTDA</v>
      </c>
      <c r="C494" s="39"/>
      <c r="D494" s="40">
        <v>97297</v>
      </c>
      <c r="E494" s="44">
        <v>489.34</v>
      </c>
      <c r="F494" s="46"/>
      <c r="G494" s="41"/>
      <c r="H494" s="41"/>
      <c r="I494" s="42">
        <v>46233</v>
      </c>
      <c r="J494"/>
    </row>
    <row r="495" spans="1:10" x14ac:dyDescent="0.25">
      <c r="A495">
        <v>592</v>
      </c>
      <c r="B495" s="39" t="str">
        <f>IFERROR(VLOOKUP(A495,CLIENTES!A:E,2,0),"CADASTRAR CLIENTE")</f>
        <v>PINDORAMA LABORATORIO DE ANALISES CLINICAS LTDA ME</v>
      </c>
      <c r="C495" s="39"/>
      <c r="D495" s="40">
        <v>97293</v>
      </c>
      <c r="E495" s="44">
        <v>1276.8</v>
      </c>
      <c r="F495" s="46"/>
      <c r="G495" s="41"/>
      <c r="H495" s="41"/>
      <c r="I495" s="42">
        <v>46233</v>
      </c>
      <c r="J495"/>
    </row>
    <row r="496" spans="1:10" x14ac:dyDescent="0.25">
      <c r="A496">
        <v>500361</v>
      </c>
      <c r="B496" s="39" t="str">
        <f>IFERROR(VLOOKUP(A496,CLIENTES!A:E,2,0),"CADASTRAR CLIENTE")</f>
        <v>SANTA CASA DE MISER DA IRSENHOR DOS PASSOS DE UBATUBA</v>
      </c>
      <c r="C496" s="39"/>
      <c r="D496" s="40">
        <v>97318</v>
      </c>
      <c r="E496" s="44">
        <v>1324.7</v>
      </c>
      <c r="F496" s="46"/>
      <c r="G496" s="41"/>
      <c r="H496" s="41"/>
      <c r="I496" s="42">
        <v>46233</v>
      </c>
      <c r="J496"/>
    </row>
    <row r="497" spans="1:10" x14ac:dyDescent="0.25">
      <c r="A497">
        <v>500839</v>
      </c>
      <c r="B497" s="39" t="str">
        <f>IFERROR(VLOOKUP(A497,CLIENTES!A:E,2,0),"CADASTRAR CLIENTE")</f>
        <v>IRMANDADE DA SANTA CASA DE MISERICORDIA DE PITANGUI</v>
      </c>
      <c r="C497" s="39"/>
      <c r="D497" s="40">
        <v>97382</v>
      </c>
      <c r="E497" s="44">
        <v>217.5</v>
      </c>
      <c r="F497" s="46"/>
      <c r="G497" s="41"/>
      <c r="H497" s="41"/>
      <c r="I497" s="42">
        <v>46234</v>
      </c>
      <c r="J497"/>
    </row>
    <row r="498" spans="1:10" x14ac:dyDescent="0.25">
      <c r="A498">
        <v>501254</v>
      </c>
      <c r="B498" s="39" t="str">
        <f>IFERROR(VLOOKUP(A498,CLIENTES!A:E,2,0),"CADASTRAR CLIENTE")</f>
        <v>PAULA MENDES LABORATORIO VETERINARIO LTDA</v>
      </c>
      <c r="C498" s="39"/>
      <c r="D498" s="40">
        <v>97389</v>
      </c>
      <c r="E498" s="44">
        <v>8209.9</v>
      </c>
      <c r="F498" s="46"/>
      <c r="G498" s="41"/>
      <c r="H498" s="41"/>
      <c r="I498" s="42">
        <v>46234</v>
      </c>
      <c r="J498"/>
    </row>
    <row r="499" spans="1:10" x14ac:dyDescent="0.25">
      <c r="A499">
        <v>501259</v>
      </c>
      <c r="B499" s="39" t="str">
        <f>IFERROR(VLOOKUP(A499,CLIENTES!A:E,2,0),"CADASTRAR CLIENTE")</f>
        <v>FUND PARA O DESENV DA CIÊNCIA, TEC E INOV DO ESTADO DO R G NORTE FUNCITERN</v>
      </c>
      <c r="C499" s="39"/>
      <c r="D499" s="40">
        <v>97436</v>
      </c>
      <c r="E499" s="44">
        <v>331.4</v>
      </c>
      <c r="F499" s="46"/>
      <c r="G499" s="41"/>
      <c r="H499" s="41"/>
      <c r="I499" s="42">
        <v>46237</v>
      </c>
      <c r="J499"/>
    </row>
    <row r="500" spans="1:10" x14ac:dyDescent="0.25">
      <c r="A500">
        <v>501196</v>
      </c>
      <c r="B500" s="39" t="str">
        <f>IFERROR(VLOOKUP(A500,CLIENTES!A:E,2,0),"CADASTRAR CLIENTE")</f>
        <v>GABRIELA MONTILHA GASPARETI</v>
      </c>
      <c r="C500" s="39"/>
      <c r="D500" s="40">
        <v>97400</v>
      </c>
      <c r="E500" s="44">
        <v>470</v>
      </c>
      <c r="F500" s="46"/>
      <c r="G500" s="41"/>
      <c r="H500" s="41"/>
      <c r="I500" s="42">
        <v>46237</v>
      </c>
      <c r="J500"/>
    </row>
    <row r="501" spans="1:10" x14ac:dyDescent="0.25">
      <c r="A501">
        <v>501089</v>
      </c>
      <c r="B501" s="39" t="str">
        <f>IFERROR(VLOOKUP(A501,CLIENTES!A:E,2,0),"CADASTRAR CLIENTE")</f>
        <v>INSTITUTO NACIONAL DE DESENVOLVIMENTO SOCIAL E HUMANO INDSH</v>
      </c>
      <c r="C501" s="39"/>
      <c r="D501" s="40">
        <v>97405</v>
      </c>
      <c r="E501" s="44">
        <v>1198.8</v>
      </c>
      <c r="F501" s="46"/>
      <c r="G501" s="41"/>
      <c r="H501" s="41"/>
      <c r="I501" s="42">
        <v>46237</v>
      </c>
      <c r="J501"/>
    </row>
    <row r="502" spans="1:10" x14ac:dyDescent="0.25">
      <c r="A502">
        <v>500618</v>
      </c>
      <c r="B502" s="39" t="str">
        <f>IFERROR(VLOOKUP(A502,CLIENTES!A:E,2,0),"CADASTRAR CLIENTE")</f>
        <v>NATHIELI RENATA GALDINO</v>
      </c>
      <c r="C502" s="39"/>
      <c r="D502" s="40">
        <v>97415</v>
      </c>
      <c r="E502" s="44">
        <v>161.80000000000001</v>
      </c>
      <c r="F502" s="46"/>
      <c r="G502" s="41"/>
      <c r="H502" s="41"/>
      <c r="I502" s="42">
        <v>46237</v>
      </c>
      <c r="J502"/>
    </row>
    <row r="503" spans="1:10" x14ac:dyDescent="0.25">
      <c r="A503">
        <v>500367</v>
      </c>
      <c r="B503" s="39" t="str">
        <f>IFERROR(VLOOKUP(A503,CLIENTES!A:E,2,0),"CADASTRAR CLIENTE")</f>
        <v>PRO SCIENCE SAUDE ANIMAL LTDA</v>
      </c>
      <c r="C503" s="39"/>
      <c r="D503" s="40">
        <v>97407</v>
      </c>
      <c r="E503" s="44">
        <v>1985.3</v>
      </c>
      <c r="F503" s="46"/>
      <c r="G503" s="41"/>
      <c r="H503" s="41"/>
      <c r="I503" s="42">
        <v>46237</v>
      </c>
      <c r="J503"/>
    </row>
    <row r="504" spans="1:10" x14ac:dyDescent="0.25">
      <c r="A504">
        <v>50291</v>
      </c>
      <c r="B504" s="39" t="str">
        <f>IFERROR(VLOOKUP(A504,CLIENTES!A:E,2,0),"CADASTRAR CLIENTE")</f>
        <v>UNIMED DE CATANDUVA COOPERATIVA DE TRABALHO MEDICO</v>
      </c>
      <c r="C504" s="39"/>
      <c r="D504" s="40">
        <v>97411</v>
      </c>
      <c r="E504" s="44">
        <v>245.5</v>
      </c>
      <c r="F504" s="46"/>
      <c r="G504" s="41"/>
      <c r="H504" s="41"/>
      <c r="I504" s="42">
        <v>46237</v>
      </c>
      <c r="J504"/>
    </row>
    <row r="505" spans="1:10" x14ac:dyDescent="0.25">
      <c r="A505">
        <v>3120</v>
      </c>
      <c r="B505" s="39" t="str">
        <f>IFERROR(VLOOKUP(A505,CLIENTES!A:E,2,0),"CADASTRAR CLIENTE")</f>
        <v>VANDERLEI SALVADOR BAGNATO</v>
      </c>
      <c r="C505" s="39"/>
      <c r="D505" s="40">
        <v>97401</v>
      </c>
      <c r="E505" s="44">
        <v>1035</v>
      </c>
      <c r="F505" s="46"/>
      <c r="G505" s="41"/>
      <c r="H505" s="41"/>
      <c r="I505" s="42">
        <v>46237</v>
      </c>
      <c r="J505"/>
    </row>
    <row r="506" spans="1:10" x14ac:dyDescent="0.25">
      <c r="A506">
        <v>500858</v>
      </c>
      <c r="B506" s="39" t="str">
        <f>IFERROR(VLOOKUP(A506,CLIENTES!A:E,2,0),"CADASTRAR CLIENTE")</f>
        <v>IMLAB VETERINARIA LTDA</v>
      </c>
      <c r="C506" s="39"/>
      <c r="D506" s="40">
        <v>97491</v>
      </c>
      <c r="E506" s="44">
        <v>2902.8</v>
      </c>
      <c r="F506" s="46"/>
      <c r="G506" s="41"/>
      <c r="H506" s="41"/>
      <c r="I506" s="42">
        <v>46238</v>
      </c>
      <c r="J506"/>
    </row>
    <row r="507" spans="1:10" x14ac:dyDescent="0.25">
      <c r="A507">
        <v>1147</v>
      </c>
      <c r="B507" s="39" t="str">
        <f>IFERROR(VLOOKUP(A507,CLIENTES!A:E,2,0),"CADASTRAR CLIENTE")</f>
        <v>LABORPATAS LABORATORIO VETERINARIO LTDA</v>
      </c>
      <c r="C507" s="39"/>
      <c r="D507" s="40">
        <v>97459</v>
      </c>
      <c r="E507" s="44">
        <v>420.1</v>
      </c>
      <c r="F507" s="46"/>
      <c r="G507" s="41"/>
      <c r="H507" s="41"/>
      <c r="I507" s="42">
        <v>46238</v>
      </c>
      <c r="J507"/>
    </row>
    <row r="508" spans="1:10" x14ac:dyDescent="0.25">
      <c r="A508">
        <v>500361</v>
      </c>
      <c r="B508" s="39" t="str">
        <f>IFERROR(VLOOKUP(A508,CLIENTES!A:E,2,0),"CADASTRAR CLIENTE")</f>
        <v>SANTA CASA DE MISER DA IRSENHOR DOS PASSOS DE UBATUBA</v>
      </c>
      <c r="C508" s="39"/>
      <c r="D508" s="40">
        <v>97505</v>
      </c>
      <c r="E508" s="44">
        <v>970</v>
      </c>
      <c r="F508" s="46"/>
      <c r="G508" s="41"/>
      <c r="H508" s="41"/>
      <c r="I508" s="42">
        <v>46238</v>
      </c>
      <c r="J508"/>
    </row>
    <row r="509" spans="1:10" x14ac:dyDescent="0.25">
      <c r="A509">
        <v>500448</v>
      </c>
      <c r="B509" s="39" t="str">
        <f>IFERROR(VLOOKUP(A509,CLIENTES!A:E,2,0),"CADASTRAR CLIENTE")</f>
        <v>UNIMED DE CACAPAVA COOPERATIVA DE TRABALHO MEDICO</v>
      </c>
      <c r="C509" s="39"/>
      <c r="D509" s="40">
        <v>97486</v>
      </c>
      <c r="E509" s="44">
        <v>1411.6</v>
      </c>
      <c r="F509" s="46"/>
      <c r="G509" s="41"/>
      <c r="H509" s="41"/>
      <c r="I509" s="42">
        <v>46238</v>
      </c>
      <c r="J509"/>
    </row>
    <row r="510" spans="1:10" x14ac:dyDescent="0.25">
      <c r="A510">
        <v>501289</v>
      </c>
      <c r="B510" s="39" t="str">
        <f>IFERROR(VLOOKUP(A510,CLIENTES!A:E,2,0),"CADASTRAR CLIENTE")</f>
        <v>LABORATORIO DE ANALISES CLINICAS CMB LTDA</v>
      </c>
      <c r="C510" s="39"/>
      <c r="D510" s="40">
        <v>97535</v>
      </c>
      <c r="E510" s="44">
        <v>2689.6</v>
      </c>
      <c r="F510" s="46"/>
      <c r="G510" s="41"/>
      <c r="H510" s="41"/>
      <c r="I510" s="42">
        <v>46239</v>
      </c>
      <c r="J510"/>
    </row>
    <row r="511" spans="1:10" x14ac:dyDescent="0.25">
      <c r="A511">
        <v>500696</v>
      </c>
      <c r="B511" s="39" t="str">
        <f>IFERROR(VLOOKUP(A511,CLIENTES!A:E,2,0),"CADASTRAR CLIENTE")</f>
        <v>FUNDACAO DE ASSISTENCIA INTEGRAL A SAUDE - FAIS</v>
      </c>
      <c r="C511" s="39"/>
      <c r="D511" s="40">
        <v>97618</v>
      </c>
      <c r="E511" s="44">
        <v>567.5</v>
      </c>
      <c r="F511" s="46"/>
      <c r="G511" s="41"/>
      <c r="H511" s="41"/>
      <c r="I511" s="42">
        <v>46240</v>
      </c>
      <c r="J511"/>
    </row>
    <row r="512" spans="1:10" x14ac:dyDescent="0.25">
      <c r="A512">
        <v>1486</v>
      </c>
      <c r="B512" s="39" t="str">
        <f>IFERROR(VLOOKUP(A512,CLIENTES!A:E,2,0),"CADASTRAR CLIENTE")</f>
        <v>IRMANDADE SANTA CASA DE MISER. DE LIMEIRA</v>
      </c>
      <c r="C512" s="39"/>
      <c r="D512" s="40">
        <v>97610</v>
      </c>
      <c r="E512" s="44">
        <v>8242.7999999999993</v>
      </c>
      <c r="F512" s="46"/>
      <c r="G512" s="41"/>
      <c r="H512" s="41"/>
      <c r="I512" s="42">
        <v>46240</v>
      </c>
      <c r="J512"/>
    </row>
    <row r="513" spans="1:10" x14ac:dyDescent="0.25">
      <c r="A513">
        <v>1486</v>
      </c>
      <c r="B513" s="39" t="str">
        <f>IFERROR(VLOOKUP(A513,CLIENTES!A:E,2,0),"CADASTRAR CLIENTE")</f>
        <v>IRMANDADE SANTA CASA DE MISER. DE LIMEIRA</v>
      </c>
      <c r="C513" s="39"/>
      <c r="D513" s="40">
        <v>97611</v>
      </c>
      <c r="E513" s="44">
        <v>1128.5999999999999</v>
      </c>
      <c r="F513" s="46"/>
      <c r="G513" s="41"/>
      <c r="H513" s="41"/>
      <c r="I513" s="42">
        <v>46240</v>
      </c>
      <c r="J513"/>
    </row>
    <row r="514" spans="1:10" x14ac:dyDescent="0.25">
      <c r="A514">
        <v>501090</v>
      </c>
      <c r="B514" s="39" t="str">
        <f>IFERROR(VLOOKUP(A514,CLIENTES!A:E,2,0),"CADASTRAR CLIENTE")</f>
        <v>INSTITUTO NACIONAL DE DESENVOLVIMENTO SOCIAL E HUMANO INDSH</v>
      </c>
      <c r="C514" s="39"/>
      <c r="D514" s="40">
        <v>97654</v>
      </c>
      <c r="E514" s="44">
        <v>5195</v>
      </c>
      <c r="F514" s="46"/>
      <c r="G514" s="41"/>
      <c r="H514" s="41"/>
      <c r="I514" s="42">
        <v>46241</v>
      </c>
      <c r="J514"/>
    </row>
    <row r="515" spans="1:10" x14ac:dyDescent="0.25">
      <c r="A515">
        <v>1378</v>
      </c>
      <c r="B515" s="39" t="str">
        <f>IFERROR(VLOOKUP(A515,CLIENTES!A:E,2,0),"CADASTRAR CLIENTE")</f>
        <v>ASS.CARIDADE DA SANTA CASA MISERIC.DE ASSIS</v>
      </c>
      <c r="C515" s="39"/>
      <c r="D515" s="40">
        <v>97680</v>
      </c>
      <c r="E515" s="44">
        <v>380</v>
      </c>
      <c r="F515" s="46"/>
      <c r="G515" s="41"/>
      <c r="H515" s="41"/>
      <c r="I515" s="42">
        <v>46244</v>
      </c>
      <c r="J515"/>
    </row>
    <row r="516" spans="1:10" x14ac:dyDescent="0.25">
      <c r="A516">
        <v>500674</v>
      </c>
      <c r="B516" s="39" t="str">
        <f>IFERROR(VLOOKUP(A516,CLIENTES!A:E,2,0),"CADASTRAR CLIENTE")</f>
        <v>FUNDACAO UNIVERSIDADE DO CONTESTADO - FUNC</v>
      </c>
      <c r="C516" s="39"/>
      <c r="D516" s="40">
        <v>97685</v>
      </c>
      <c r="E516" s="44">
        <v>647</v>
      </c>
      <c r="F516" s="46"/>
      <c r="G516" s="41"/>
      <c r="H516" s="41"/>
      <c r="I516" s="42">
        <v>46244</v>
      </c>
      <c r="J516"/>
    </row>
    <row r="517" spans="1:10" x14ac:dyDescent="0.25">
      <c r="A517">
        <v>50467</v>
      </c>
      <c r="B517" s="39" t="str">
        <f>IFERROR(VLOOKUP(A517,CLIENTES!A:E,2,0),"CADASTRAR CLIENTE")</f>
        <v>LABORATORIO MONTE SINAI LTDA</v>
      </c>
      <c r="C517" s="39"/>
      <c r="D517" s="40">
        <v>97679</v>
      </c>
      <c r="E517" s="44">
        <v>265.3</v>
      </c>
      <c r="F517" s="46"/>
      <c r="G517" s="41"/>
      <c r="H517" s="41"/>
      <c r="I517" s="42">
        <v>46244</v>
      </c>
      <c r="J517"/>
    </row>
    <row r="518" spans="1:10" x14ac:dyDescent="0.25">
      <c r="A518">
        <v>501030</v>
      </c>
      <c r="B518" s="39" t="str">
        <f>IFERROR(VLOOKUP(A518,CLIENTES!A:E,2,0),"CADASTRAR CLIENTE")</f>
        <v>ASSOC. L. S. FRANC. DE A. NA P. DE DEUS</v>
      </c>
      <c r="C518" s="39"/>
      <c r="D518" s="40">
        <v>97744</v>
      </c>
      <c r="E518" s="44">
        <v>330</v>
      </c>
      <c r="F518" s="46"/>
      <c r="G518" s="41"/>
      <c r="H518" s="41"/>
      <c r="I518" s="42">
        <v>46245</v>
      </c>
      <c r="J518"/>
    </row>
    <row r="519" spans="1:10" x14ac:dyDescent="0.25">
      <c r="A519">
        <v>500998</v>
      </c>
      <c r="B519" s="39" t="str">
        <f>IFERROR(VLOOKUP(A519,CLIENTES!A:E,2,0),"CADASTRAR CLIENTE")</f>
        <v>CASA DE SAUDE SANTA RITA S A</v>
      </c>
      <c r="C519" s="39"/>
      <c r="D519" s="40">
        <v>97742</v>
      </c>
      <c r="E519" s="44">
        <v>1450</v>
      </c>
      <c r="F519" s="46"/>
      <c r="G519" s="41"/>
      <c r="H519" s="41"/>
      <c r="I519" s="42">
        <v>46245</v>
      </c>
      <c r="J519"/>
    </row>
    <row r="520" spans="1:10" x14ac:dyDescent="0.25">
      <c r="A520">
        <v>1316</v>
      </c>
      <c r="B520" s="39" t="str">
        <f>IFERROR(VLOOKUP(A520,CLIENTES!A:E,2,0),"CADASTRAR CLIENTE")</f>
        <v>IRMANDADE SANTA CASA DE MISERICORDIA DE MOCOCA</v>
      </c>
      <c r="C520" s="39"/>
      <c r="D520" s="40">
        <v>97779</v>
      </c>
      <c r="E520" s="44">
        <v>231.7</v>
      </c>
      <c r="F520" s="46"/>
      <c r="G520" s="41"/>
      <c r="H520" s="41"/>
      <c r="I520" s="42">
        <v>46245</v>
      </c>
      <c r="J520"/>
    </row>
    <row r="521" spans="1:10" x14ac:dyDescent="0.25">
      <c r="A521">
        <v>501258</v>
      </c>
      <c r="B521" s="39" t="str">
        <f>IFERROR(VLOOKUP(A521,CLIENTES!A:E,2,0),"CADASTRAR CLIENTE")</f>
        <v>KATIA A. PELVINE DE MORAES</v>
      </c>
      <c r="C521" s="39"/>
      <c r="D521" s="40">
        <v>97733</v>
      </c>
      <c r="E521" s="44">
        <v>8840</v>
      </c>
      <c r="F521" s="46"/>
      <c r="G521" s="41"/>
      <c r="H521" s="41"/>
      <c r="I521" s="42">
        <v>46245</v>
      </c>
      <c r="J521"/>
    </row>
    <row r="522" spans="1:10" x14ac:dyDescent="0.25">
      <c r="A522">
        <v>501258</v>
      </c>
      <c r="B522" s="39" t="str">
        <f>IFERROR(VLOOKUP(A522,CLIENTES!A:E,2,0),"CADASTRAR CLIENTE")</f>
        <v>KATIA A. PELVINE DE MORAES</v>
      </c>
      <c r="C522" s="39"/>
      <c r="D522" s="40">
        <v>97773</v>
      </c>
      <c r="E522" s="44">
        <v>135</v>
      </c>
      <c r="F522" s="46"/>
      <c r="G522" s="41"/>
      <c r="H522" s="41"/>
      <c r="I522" s="42">
        <v>46245</v>
      </c>
      <c r="J522"/>
    </row>
    <row r="523" spans="1:10" x14ac:dyDescent="0.25">
      <c r="A523">
        <v>1848</v>
      </c>
      <c r="B523" s="39" t="str">
        <f>IFERROR(VLOOKUP(A523,CLIENTES!A:E,2,0),"CADASTRAR CLIENTE")</f>
        <v>ARACA PROLAB PRODUTOS PARA LABORATORIOS EIRELI</v>
      </c>
      <c r="C523" s="39"/>
      <c r="D523" s="40">
        <v>97816</v>
      </c>
      <c r="E523" s="44">
        <v>895.8</v>
      </c>
      <c r="F523" s="46"/>
      <c r="G523" s="41"/>
      <c r="H523" s="41"/>
      <c r="I523" s="42">
        <v>46246</v>
      </c>
      <c r="J523"/>
    </row>
    <row r="524" spans="1:10" x14ac:dyDescent="0.25">
      <c r="A524">
        <v>758</v>
      </c>
      <c r="B524" s="39" t="str">
        <f>IFERROR(VLOOKUP(A524,CLIENTES!A:E,2,0),"CADASTRAR CLIENTE")</f>
        <v>IRMANDADE DA SANTA CASA DE ANDRADINA</v>
      </c>
      <c r="C524" s="39"/>
      <c r="D524" s="40">
        <v>97792</v>
      </c>
      <c r="E524" s="44">
        <v>770.2</v>
      </c>
      <c r="F524" s="46"/>
      <c r="G524" s="41"/>
      <c r="H524" s="41"/>
      <c r="I524" s="42">
        <v>46246</v>
      </c>
      <c r="J524"/>
    </row>
    <row r="525" spans="1:10" x14ac:dyDescent="0.25">
      <c r="A525">
        <v>3508</v>
      </c>
      <c r="B525" s="39" t="str">
        <f>IFERROR(VLOOKUP(A525,CLIENTES!A:E,2,0),"CADASTRAR CLIENTE")</f>
        <v>FUNDACAO FACULDADE MEDICINA/ICESP</v>
      </c>
      <c r="C525" s="39"/>
      <c r="D525" s="40">
        <v>97873</v>
      </c>
      <c r="E525" s="44">
        <v>459.2</v>
      </c>
      <c r="F525" s="46"/>
      <c r="G525" s="41"/>
      <c r="H525" s="41"/>
      <c r="I525" s="42">
        <v>46247</v>
      </c>
      <c r="J525"/>
    </row>
    <row r="526" spans="1:10" x14ac:dyDescent="0.25">
      <c r="A526">
        <v>500379</v>
      </c>
      <c r="B526" s="39" t="str">
        <f>IFERROR(VLOOKUP(A526,CLIENTES!A:E,2,0),"CADASTRAR CLIENTE")</f>
        <v>SAMEDIL - SERVICOS DE ATENDIMENTO MEDICO S/A</v>
      </c>
      <c r="C526" s="39"/>
      <c r="D526" s="40">
        <v>97921</v>
      </c>
      <c r="E526" s="44">
        <v>155.4</v>
      </c>
      <c r="F526" s="46"/>
      <c r="G526" s="41"/>
      <c r="H526" s="41"/>
      <c r="I526" s="42">
        <v>46248</v>
      </c>
      <c r="J526"/>
    </row>
    <row r="527" spans="1:10" x14ac:dyDescent="0.25">
      <c r="A527">
        <v>500361</v>
      </c>
      <c r="B527" s="39" t="str">
        <f>IFERROR(VLOOKUP(A527,CLIENTES!A:E,2,0),"CADASTRAR CLIENTE")</f>
        <v>SANTA CASA DE MISER DA IRSENHOR DOS PASSOS DE UBATUBA</v>
      </c>
      <c r="C527" s="39"/>
      <c r="D527" s="40">
        <v>97915</v>
      </c>
      <c r="E527" s="44">
        <v>539.29999999999995</v>
      </c>
      <c r="F527" s="46"/>
      <c r="G527" s="41"/>
      <c r="H527" s="41"/>
      <c r="I527" s="42">
        <v>46248</v>
      </c>
      <c r="J527"/>
    </row>
    <row r="528" spans="1:10" x14ac:dyDescent="0.25">
      <c r="A528">
        <v>501304</v>
      </c>
      <c r="B528" s="39" t="str">
        <f>IFERROR(VLOOKUP(A528,CLIENTES!A:E,2,0),"CADASTRAR CLIENTE")</f>
        <v>AQUA RIO AQUARIO MARINHO DO RIO DE JANEIRO S A</v>
      </c>
      <c r="C528" s="39"/>
      <c r="D528" s="40">
        <v>97957</v>
      </c>
      <c r="E528" s="44">
        <v>2422.1999999999998</v>
      </c>
      <c r="F528" s="46"/>
      <c r="G528" s="41"/>
      <c r="H528" s="41"/>
      <c r="I528" s="42">
        <v>46251</v>
      </c>
      <c r="J528"/>
    </row>
    <row r="529" spans="1:10" x14ac:dyDescent="0.25">
      <c r="A529">
        <v>500520</v>
      </c>
      <c r="B529" s="39" t="str">
        <f>IFERROR(VLOOKUP(A529,CLIENTES!A:E,2,0),"CADASTRAR CLIENTE")</f>
        <v>HOSPITAL LEONARDO DA VINCI LTDA</v>
      </c>
      <c r="C529" s="39"/>
      <c r="D529" s="40">
        <v>97952</v>
      </c>
      <c r="E529" s="44">
        <v>503</v>
      </c>
      <c r="F529" s="46"/>
      <c r="G529" s="41"/>
      <c r="H529" s="41"/>
      <c r="I529" s="42">
        <v>46251</v>
      </c>
      <c r="J529"/>
    </row>
    <row r="530" spans="1:10" x14ac:dyDescent="0.25">
      <c r="A530">
        <v>1902</v>
      </c>
      <c r="B530" s="39" t="str">
        <f>IFERROR(VLOOKUP(A530,CLIENTES!A:E,2,0),"CADASTRAR CLIENTE")</f>
        <v>IVANEIDA F.DOS SANTOS &amp; MARIA AUREA SOARES CHIMENTAO</v>
      </c>
      <c r="C530" s="39"/>
      <c r="D530" s="40">
        <v>97982</v>
      </c>
      <c r="E530" s="44">
        <v>4395.43</v>
      </c>
      <c r="F530" s="46"/>
      <c r="G530" s="41"/>
      <c r="H530" s="41"/>
      <c r="I530" s="42">
        <v>46251</v>
      </c>
      <c r="J530"/>
    </row>
    <row r="531" spans="1:10" x14ac:dyDescent="0.25">
      <c r="A531">
        <v>51198</v>
      </c>
      <c r="B531" s="39" t="str">
        <f>IFERROR(VLOOKUP(A531,CLIENTES!A:E,2,0),"CADASTRAR CLIENTE")</f>
        <v>HOSPITAL SANTA IGNES DE ITU LTDA</v>
      </c>
      <c r="C531" s="39"/>
      <c r="D531" s="40">
        <v>98017</v>
      </c>
      <c r="E531" s="44">
        <v>436.7</v>
      </c>
      <c r="F531" s="46"/>
      <c r="G531" s="41"/>
      <c r="H531" s="41"/>
      <c r="I531" s="42">
        <v>46252</v>
      </c>
      <c r="J531"/>
    </row>
    <row r="532" spans="1:10" x14ac:dyDescent="0.25">
      <c r="A532">
        <v>758</v>
      </c>
      <c r="B532" s="39" t="str">
        <f>IFERROR(VLOOKUP(A532,CLIENTES!A:E,2,0),"CADASTRAR CLIENTE")</f>
        <v>IRMANDADE DA SANTA CASA DE ANDRADINA</v>
      </c>
      <c r="C532" s="39"/>
      <c r="D532" s="40">
        <v>98049</v>
      </c>
      <c r="E532" s="44">
        <v>3488.15</v>
      </c>
      <c r="F532" s="46"/>
      <c r="G532" s="41"/>
      <c r="H532" s="41"/>
      <c r="I532" s="42">
        <v>46252</v>
      </c>
      <c r="J532"/>
    </row>
    <row r="533" spans="1:10" x14ac:dyDescent="0.25">
      <c r="A533">
        <v>758</v>
      </c>
      <c r="B533" s="39" t="str">
        <f>IFERROR(VLOOKUP(A533,CLIENTES!A:E,2,0),"CADASTRAR CLIENTE")</f>
        <v>IRMANDADE DA SANTA CASA DE ANDRADINA</v>
      </c>
      <c r="C533" s="39"/>
      <c r="D533" s="40">
        <v>98050</v>
      </c>
      <c r="E533" s="44">
        <v>171</v>
      </c>
      <c r="F533" s="46"/>
      <c r="G533" s="41"/>
      <c r="H533" s="41"/>
      <c r="I533" s="42">
        <v>46252</v>
      </c>
      <c r="J533"/>
    </row>
    <row r="534" spans="1:10" x14ac:dyDescent="0.25">
      <c r="A534">
        <v>3327</v>
      </c>
      <c r="B534" s="39" t="str">
        <f>IFERROR(VLOOKUP(A534,CLIENTES!A:E,2,0),"CADASTRAR CLIENTE")</f>
        <v>IRMANDADE SAO JOSE DE NOVO HORIZONTE</v>
      </c>
      <c r="C534" s="39"/>
      <c r="D534" s="40">
        <v>98021</v>
      </c>
      <c r="E534" s="44">
        <v>2003</v>
      </c>
      <c r="F534" s="46"/>
      <c r="G534" s="41"/>
      <c r="H534" s="41"/>
      <c r="I534" s="42">
        <v>46252</v>
      </c>
      <c r="J534"/>
    </row>
    <row r="535" spans="1:10" x14ac:dyDescent="0.25">
      <c r="A535">
        <v>3120</v>
      </c>
      <c r="B535" s="39" t="str">
        <f>IFERROR(VLOOKUP(A535,CLIENTES!A:E,2,0),"CADASTRAR CLIENTE")</f>
        <v>VANDERLEI SALVADOR BAGNATO</v>
      </c>
      <c r="C535" s="39"/>
      <c r="D535" s="40">
        <v>98019</v>
      </c>
      <c r="E535" s="44">
        <v>1097.5</v>
      </c>
      <c r="F535" s="46"/>
      <c r="G535" s="41"/>
      <c r="H535" s="41"/>
      <c r="I535" s="42">
        <v>46252</v>
      </c>
      <c r="J535"/>
    </row>
  </sheetData>
  <conditionalFormatting sqref="B1:B1048576">
    <cfRule type="containsText" dxfId="15" priority="1" operator="containsText" text="CADASTRAR CLIENTE">
      <formula>NOT(ISERROR(SEARCH("CADASTRAR CLIENTE",B1)))</formula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9AF28-2789-49A7-B2B8-159F9DFA2199}">
  <dimension ref="B2:M535"/>
  <sheetViews>
    <sheetView showGridLines="0" zoomScale="80" zoomScaleNormal="80" workbookViewId="0">
      <selection activeCell="F1" sqref="F1"/>
    </sheetView>
  </sheetViews>
  <sheetFormatPr defaultRowHeight="15" x14ac:dyDescent="0.25"/>
  <cols>
    <col min="2" max="2" width="14.28515625" bestFit="1" customWidth="1"/>
    <col min="3" max="3" width="14.7109375" customWidth="1"/>
    <col min="5" max="5" width="14.28515625" style="48" bestFit="1" customWidth="1"/>
    <col min="7" max="7" width="12.5703125" bestFit="1" customWidth="1"/>
    <col min="8" max="8" width="12.5703125" customWidth="1"/>
    <col min="9" max="9" width="59.85546875" bestFit="1" customWidth="1"/>
    <col min="10" max="10" width="19.140625" bestFit="1" customWidth="1"/>
    <col min="11" max="11" width="25.140625" bestFit="1" customWidth="1"/>
    <col min="12" max="12" width="9.5703125" bestFit="1" customWidth="1"/>
    <col min="13" max="13" width="22.5703125" bestFit="1" customWidth="1"/>
  </cols>
  <sheetData>
    <row r="2" spans="2:13" ht="26.25" x14ac:dyDescent="0.4">
      <c r="B2" s="67">
        <f>B7+B10</f>
        <v>143312.18000000002</v>
      </c>
      <c r="C2" s="67"/>
      <c r="E2" s="61">
        <f>B2/CONFIG!B3</f>
        <v>0.4976117361111112</v>
      </c>
      <c r="F2" s="62"/>
      <c r="H2" s="60" t="s">
        <v>87</v>
      </c>
      <c r="I2" s="60"/>
      <c r="J2" s="60"/>
      <c r="K2" s="60"/>
      <c r="L2" s="60"/>
      <c r="M2" s="60"/>
    </row>
    <row r="3" spans="2:13" x14ac:dyDescent="0.25">
      <c r="B3" s="67"/>
      <c r="C3" s="67"/>
      <c r="E3" s="63"/>
      <c r="F3" s="64"/>
      <c r="H3" s="18" t="s">
        <v>0</v>
      </c>
      <c r="I3" s="19" t="s">
        <v>1</v>
      </c>
      <c r="J3" s="9" t="s">
        <v>85</v>
      </c>
      <c r="K3" s="9" t="s">
        <v>86</v>
      </c>
      <c r="L3" s="18" t="s">
        <v>88</v>
      </c>
      <c r="M3" s="18" t="s">
        <v>3</v>
      </c>
    </row>
    <row r="4" spans="2:13" ht="18.75" x14ac:dyDescent="0.3">
      <c r="B4" s="68" t="s">
        <v>80</v>
      </c>
      <c r="C4" s="68"/>
      <c r="E4" s="65" t="s">
        <v>75</v>
      </c>
      <c r="F4" s="66"/>
      <c r="H4" s="13" t="e">
        <f>INDEX(CLIENTES!A:A,(MATCH('DASHBOARD 3.0'!I4,CLIENTES!B:B,0)))</f>
        <v>#N/A</v>
      </c>
      <c r="I4" s="20" t="s">
        <v>12</v>
      </c>
      <c r="J4" s="21">
        <v>15586.8</v>
      </c>
      <c r="K4" s="21"/>
      <c r="L4" s="22">
        <f>(J4+K4)/$B$2</f>
        <v>0.10876116740391499</v>
      </c>
      <c r="M4" s="13" t="e">
        <f>INDEX(CLIENTES!D:D,(MATCH('DASHBOARD 3.0'!I4,CLIENTES!B:B,0)))</f>
        <v>#N/A</v>
      </c>
    </row>
    <row r="5" spans="2:13" x14ac:dyDescent="0.25">
      <c r="F5" s="7"/>
      <c r="H5" s="13" t="e">
        <f>INDEX(CLIENTES!A:A,(MATCH('DASHBOARD 3.0'!I5,CLIENTES!B:B,0)))</f>
        <v>#N/A</v>
      </c>
      <c r="I5" s="20" t="s">
        <v>26</v>
      </c>
      <c r="J5" s="21">
        <v>13246.72</v>
      </c>
      <c r="K5" s="21"/>
      <c r="L5" s="22">
        <f t="shared" ref="L5:L23" si="0">(J5+K5)/$B$2</f>
        <v>9.2432618078937864E-2</v>
      </c>
      <c r="M5" s="13" t="e">
        <f>INDEX(CLIENTES!D:D,(MATCH('DASHBOARD 3.0'!I5,CLIENTES!B:B,0)))</f>
        <v>#N/A</v>
      </c>
    </row>
    <row r="6" spans="2:13" x14ac:dyDescent="0.25">
      <c r="F6" s="7"/>
      <c r="H6" s="13" t="e">
        <f>INDEX(CLIENTES!A:A,(MATCH('DASHBOARD 3.0'!I6,CLIENTES!B:B,0)))</f>
        <v>#N/A</v>
      </c>
      <c r="I6" s="20" t="s">
        <v>106</v>
      </c>
      <c r="J6" s="21">
        <v>12947.810000000001</v>
      </c>
      <c r="K6" s="21"/>
      <c r="L6" s="22">
        <f t="shared" si="0"/>
        <v>9.0346891659871476E-2</v>
      </c>
      <c r="M6" s="13" t="e">
        <f>INDEX(CLIENTES!D:D,(MATCH('DASHBOARD 3.0'!I6,CLIENTES!B:B,0)))</f>
        <v>#N/A</v>
      </c>
    </row>
    <row r="7" spans="2:13" x14ac:dyDescent="0.25">
      <c r="B7" s="69">
        <f>DINAMICOS!$B$1</f>
        <v>135392.18000000002</v>
      </c>
      <c r="C7" s="58"/>
      <c r="E7" s="61">
        <f>B2/(CONFIG!B3*12)</f>
        <v>4.1467644675925931E-2</v>
      </c>
      <c r="F7" s="62"/>
      <c r="H7" s="13" t="e">
        <f>INDEX(CLIENTES!A:A,(MATCH('DASHBOARD 3.0'!I7,CLIENTES!B:B,0)))</f>
        <v>#N/A</v>
      </c>
      <c r="I7" s="20" t="s">
        <v>27</v>
      </c>
      <c r="J7" s="21">
        <v>7411.61</v>
      </c>
      <c r="K7" s="21"/>
      <c r="L7" s="22">
        <f t="shared" si="0"/>
        <v>5.1716539375787865E-2</v>
      </c>
      <c r="M7" s="13" t="e">
        <f>INDEX(CLIENTES!D:D,(MATCH('DASHBOARD 3.0'!I7,CLIENTES!B:B,0)))</f>
        <v>#N/A</v>
      </c>
    </row>
    <row r="8" spans="2:13" x14ac:dyDescent="0.25">
      <c r="B8" s="59" t="s">
        <v>76</v>
      </c>
      <c r="C8" s="59"/>
      <c r="E8" s="63"/>
      <c r="F8" s="64"/>
      <c r="H8" s="13" t="e">
        <f>INDEX(CLIENTES!A:A,(MATCH('DASHBOARD 3.0'!I8,CLIENTES!B:B,0)))</f>
        <v>#N/A</v>
      </c>
      <c r="I8" s="20" t="s">
        <v>102</v>
      </c>
      <c r="J8" s="21">
        <v>5730.55</v>
      </c>
      <c r="K8" s="21"/>
      <c r="L8" s="22">
        <f t="shared" si="0"/>
        <v>3.9986482656254332E-2</v>
      </c>
      <c r="M8" s="13" t="e">
        <f>INDEX(CLIENTES!D:D,(MATCH('DASHBOARD 3.0'!I8,CLIENTES!B:B,0)))</f>
        <v>#N/A</v>
      </c>
    </row>
    <row r="9" spans="2:13" x14ac:dyDescent="0.25">
      <c r="E9" s="65" t="s">
        <v>79</v>
      </c>
      <c r="F9" s="66"/>
      <c r="H9" s="13" t="e">
        <f>INDEX(CLIENTES!A:A,(MATCH('DASHBOARD 3.0'!I9,CLIENTES!B:B,0)))</f>
        <v>#N/A</v>
      </c>
      <c r="I9" s="20" t="s">
        <v>107</v>
      </c>
      <c r="J9" s="21">
        <v>5420.39</v>
      </c>
      <c r="K9" s="21"/>
      <c r="L9" s="22">
        <f t="shared" si="0"/>
        <v>3.7822256279961684E-2</v>
      </c>
      <c r="M9" s="13" t="e">
        <f>INDEX(CLIENTES!D:D,(MATCH('DASHBOARD 3.0'!I9,CLIENTES!B:B,0)))</f>
        <v>#N/A</v>
      </c>
    </row>
    <row r="10" spans="2:13" x14ac:dyDescent="0.25">
      <c r="B10" s="69">
        <f>DINAMICOS!$D$1</f>
        <v>7920</v>
      </c>
      <c r="C10" s="58"/>
      <c r="F10" s="7"/>
      <c r="H10" s="13" t="e">
        <f>INDEX(CLIENTES!A:A,(MATCH('DASHBOARD 3.0'!I10,CLIENTES!B:B,0)))</f>
        <v>#N/A</v>
      </c>
      <c r="I10" s="20" t="s">
        <v>21</v>
      </c>
      <c r="J10" s="21">
        <v>4273.04</v>
      </c>
      <c r="K10" s="21"/>
      <c r="L10" s="22">
        <f t="shared" si="0"/>
        <v>2.981630730898099E-2</v>
      </c>
      <c r="M10" s="13" t="e">
        <f>INDEX(CLIENTES!D:D,(MATCH('DASHBOARD 3.0'!I10,CLIENTES!B:B,0)))</f>
        <v>#N/A</v>
      </c>
    </row>
    <row r="11" spans="2:13" x14ac:dyDescent="0.25">
      <c r="B11" s="59" t="s">
        <v>78</v>
      </c>
      <c r="C11" s="59"/>
      <c r="F11" s="7"/>
      <c r="H11" s="13" t="e">
        <f>INDEX(CLIENTES!A:A,(MATCH('DASHBOARD 3.0'!I11,CLIENTES!B:B,0)))</f>
        <v>#N/A</v>
      </c>
      <c r="I11" s="20" t="s">
        <v>51</v>
      </c>
      <c r="J11" s="21">
        <v>3947.1</v>
      </c>
      <c r="K11" s="21">
        <v>6580</v>
      </c>
      <c r="L11" s="22">
        <f t="shared" si="0"/>
        <v>7.3455724419236368E-2</v>
      </c>
      <c r="M11" s="13" t="e">
        <f>INDEX(CLIENTES!D:D,(MATCH('DASHBOARD 3.0'!I11,CLIENTES!B:B,0)))</f>
        <v>#N/A</v>
      </c>
    </row>
    <row r="12" spans="2:13" x14ac:dyDescent="0.25">
      <c r="F12" s="7"/>
      <c r="H12" s="13" t="e">
        <f>INDEX(CLIENTES!A:A,(MATCH('DASHBOARD 3.0'!I12,CLIENTES!B:B,0)))</f>
        <v>#N/A</v>
      </c>
      <c r="I12" s="20" t="s">
        <v>44</v>
      </c>
      <c r="J12" s="21">
        <v>3931.1</v>
      </c>
      <c r="K12" s="21"/>
      <c r="L12" s="22">
        <f t="shared" si="0"/>
        <v>2.7430327275741666E-2</v>
      </c>
      <c r="M12" s="13" t="e">
        <f>INDEX(CLIENTES!D:D,(MATCH('DASHBOARD 3.0'!I12,CLIENTES!B:B,0)))</f>
        <v>#N/A</v>
      </c>
    </row>
    <row r="13" spans="2:13" x14ac:dyDescent="0.25">
      <c r="B13" s="58">
        <f>DINAMICOS!$F$1</f>
        <v>47</v>
      </c>
      <c r="C13" s="58"/>
      <c r="F13" s="7"/>
      <c r="H13" s="13" t="e">
        <f>INDEX(CLIENTES!A:A,(MATCH('DASHBOARD 3.0'!I13,CLIENTES!B:B,0)))</f>
        <v>#N/A</v>
      </c>
      <c r="I13" s="20" t="s">
        <v>10</v>
      </c>
      <c r="J13" s="21">
        <v>3695.4500000000003</v>
      </c>
      <c r="K13" s="21"/>
      <c r="L13" s="22">
        <f t="shared" si="0"/>
        <v>2.5786014838375913E-2</v>
      </c>
      <c r="M13" s="13" t="e">
        <f>INDEX(CLIENTES!D:D,(MATCH('DASHBOARD 3.0'!I13,CLIENTES!B:B,0)))</f>
        <v>#N/A</v>
      </c>
    </row>
    <row r="14" spans="2:13" x14ac:dyDescent="0.25">
      <c r="B14" s="59" t="s">
        <v>81</v>
      </c>
      <c r="C14" s="59"/>
      <c r="F14" s="7"/>
      <c r="H14" s="13" t="e">
        <f>INDEX(CLIENTES!A:A,(MATCH('DASHBOARD 3.0'!I14,CLIENTES!B:B,0)))</f>
        <v>#N/A</v>
      </c>
      <c r="I14" s="20" t="s">
        <v>15</v>
      </c>
      <c r="J14" s="21">
        <v>3597.6</v>
      </c>
      <c r="K14" s="21"/>
      <c r="L14" s="22">
        <f t="shared" si="0"/>
        <v>2.5103239654856967E-2</v>
      </c>
      <c r="M14" s="13" t="e">
        <f>INDEX(CLIENTES!D:D,(MATCH('DASHBOARD 3.0'!I14,CLIENTES!B:B,0)))</f>
        <v>#N/A</v>
      </c>
    </row>
    <row r="15" spans="2:13" x14ac:dyDescent="0.25">
      <c r="F15" s="7"/>
      <c r="H15" s="13" t="e">
        <f>INDEX(CLIENTES!A:A,(MATCH('DASHBOARD 3.0'!I15,CLIENTES!B:B,0)))</f>
        <v>#N/A</v>
      </c>
      <c r="I15" s="20" t="s">
        <v>105</v>
      </c>
      <c r="J15" s="21">
        <v>3521.52</v>
      </c>
      <c r="K15" s="21"/>
      <c r="L15" s="22">
        <f t="shared" si="0"/>
        <v>2.4572370610788277E-2</v>
      </c>
      <c r="M15" s="13" t="e">
        <f>INDEX(CLIENTES!D:D,(MATCH('DASHBOARD 3.0'!I15,CLIENTES!B:B,0)))</f>
        <v>#N/A</v>
      </c>
    </row>
    <row r="16" spans="2:13" x14ac:dyDescent="0.25">
      <c r="B16" s="58">
        <f>DINAMICOS!$H$1</f>
        <v>0</v>
      </c>
      <c r="C16" s="58"/>
      <c r="F16" s="7"/>
      <c r="H16" s="13" t="e">
        <f>INDEX(CLIENTES!A:A,(MATCH('DASHBOARD 3.0'!I16,CLIENTES!B:B,0)))</f>
        <v>#N/A</v>
      </c>
      <c r="I16" s="20" t="s">
        <v>100</v>
      </c>
      <c r="J16" s="21">
        <v>3429.9</v>
      </c>
      <c r="K16" s="21"/>
      <c r="L16" s="22">
        <f t="shared" si="0"/>
        <v>2.3933066959137734E-2</v>
      </c>
      <c r="M16" s="13" t="e">
        <f>INDEX(CLIENTES!D:D,(MATCH('DASHBOARD 3.0'!I16,CLIENTES!B:B,0)))</f>
        <v>#N/A</v>
      </c>
    </row>
    <row r="17" spans="2:13" x14ac:dyDescent="0.25">
      <c r="B17" s="59" t="s">
        <v>82</v>
      </c>
      <c r="C17" s="59"/>
      <c r="F17" s="7"/>
      <c r="H17" s="13" t="e">
        <f>INDEX(CLIENTES!A:A,(MATCH('DASHBOARD 3.0'!I17,CLIENTES!B:B,0)))</f>
        <v>#N/A</v>
      </c>
      <c r="I17" s="20" t="s">
        <v>41</v>
      </c>
      <c r="J17" s="21">
        <v>3380.62</v>
      </c>
      <c r="K17" s="21"/>
      <c r="L17" s="22">
        <f t="shared" si="0"/>
        <v>2.35892022576169E-2</v>
      </c>
      <c r="M17" s="13" t="e">
        <f>INDEX(CLIENTES!D:D,(MATCH('DASHBOARD 3.0'!I17,CLIENTES!B:B,0)))</f>
        <v>#N/A</v>
      </c>
    </row>
    <row r="18" spans="2:13" x14ac:dyDescent="0.25">
      <c r="F18" s="7"/>
      <c r="H18" s="13" t="e">
        <f>INDEX(CLIENTES!A:A,(MATCH('DASHBOARD 3.0'!I18,CLIENTES!B:B,0)))</f>
        <v>#N/A</v>
      </c>
      <c r="I18" s="20" t="s">
        <v>14</v>
      </c>
      <c r="J18" s="21">
        <v>3258.5</v>
      </c>
      <c r="K18" s="21"/>
      <c r="L18" s="22">
        <f t="shared" si="0"/>
        <v>2.2737076499708533E-2</v>
      </c>
      <c r="M18" s="13" t="e">
        <f>INDEX(CLIENTES!D:D,(MATCH('DASHBOARD 3.0'!I18,CLIENTES!B:B,0)))</f>
        <v>#N/A</v>
      </c>
    </row>
    <row r="19" spans="2:13" x14ac:dyDescent="0.25">
      <c r="F19" s="7"/>
      <c r="H19" s="13" t="e">
        <f>INDEX(CLIENTES!A:A,(MATCH('DASHBOARD 3.0'!I19,CLIENTES!B:B,0)))</f>
        <v>#N/A</v>
      </c>
      <c r="I19" s="20" t="s">
        <v>17</v>
      </c>
      <c r="J19" s="21">
        <v>3197.08</v>
      </c>
      <c r="K19" s="21"/>
      <c r="L19" s="22">
        <f t="shared" si="0"/>
        <v>2.2308501622123111E-2</v>
      </c>
      <c r="M19" s="13" t="e">
        <f>INDEX(CLIENTES!D:D,(MATCH('DASHBOARD 3.0'!I19,CLIENTES!B:B,0)))</f>
        <v>#N/A</v>
      </c>
    </row>
    <row r="20" spans="2:13" x14ac:dyDescent="0.25">
      <c r="F20" s="7"/>
      <c r="H20" s="13" t="e">
        <f>INDEX(CLIENTES!A:A,(MATCH('DASHBOARD 3.0'!I20,CLIENTES!B:B,0)))</f>
        <v>#N/A</v>
      </c>
      <c r="I20" s="20" t="s">
        <v>104</v>
      </c>
      <c r="J20" s="21">
        <v>3101.2</v>
      </c>
      <c r="K20" s="21"/>
      <c r="L20" s="22">
        <f t="shared" si="0"/>
        <v>2.1639472653336229E-2</v>
      </c>
      <c r="M20" s="13" t="e">
        <f>INDEX(CLIENTES!D:D,(MATCH('DASHBOARD 3.0'!I20,CLIENTES!B:B,0)))</f>
        <v>#N/A</v>
      </c>
    </row>
    <row r="21" spans="2:13" x14ac:dyDescent="0.25">
      <c r="F21" s="7"/>
      <c r="H21" s="13" t="e">
        <f>INDEX(CLIENTES!A:A,(MATCH('DASHBOARD 3.0'!I21,CLIENTES!B:B,0)))</f>
        <v>#N/A</v>
      </c>
      <c r="I21" s="20" t="s">
        <v>8</v>
      </c>
      <c r="J21" s="21">
        <v>2820.45</v>
      </c>
      <c r="K21" s="21">
        <v>1340</v>
      </c>
      <c r="L21" s="22">
        <f t="shared" si="0"/>
        <v>2.9030679737060725E-2</v>
      </c>
      <c r="M21" s="13" t="e">
        <f>INDEX(CLIENTES!D:D,(MATCH('DASHBOARD 3.0'!I21,CLIENTES!B:B,0)))</f>
        <v>#N/A</v>
      </c>
    </row>
    <row r="22" spans="2:13" x14ac:dyDescent="0.25">
      <c r="F22" s="7"/>
      <c r="H22" s="13" t="e">
        <f>INDEX(CLIENTES!A:A,(MATCH('DASHBOARD 3.0'!I22,CLIENTES!B:B,0)))</f>
        <v>#N/A</v>
      </c>
      <c r="I22" s="20" t="s">
        <v>103</v>
      </c>
      <c r="J22" s="21">
        <v>2676.4</v>
      </c>
      <c r="K22" s="21"/>
      <c r="L22" s="22">
        <f t="shared" si="0"/>
        <v>1.86753142684732E-2</v>
      </c>
      <c r="M22" s="13" t="e">
        <f>INDEX(CLIENTES!D:D,(MATCH('DASHBOARD 3.0'!I22,CLIENTES!B:B,0)))</f>
        <v>#N/A</v>
      </c>
    </row>
    <row r="23" spans="2:13" x14ac:dyDescent="0.25">
      <c r="F23" s="7"/>
      <c r="H23" s="13" t="e">
        <f>INDEX(CLIENTES!A:A,(MATCH('DASHBOARD 3.0'!I23,CLIENTES!B:B,0)))</f>
        <v>#N/A</v>
      </c>
      <c r="I23" s="20" t="s">
        <v>46</v>
      </c>
      <c r="J23" s="21">
        <v>2415.98</v>
      </c>
      <c r="K23" s="21"/>
      <c r="L23" s="22">
        <f t="shared" si="0"/>
        <v>1.685816236973019E-2</v>
      </c>
      <c r="M23" s="13" t="e">
        <f>INDEX(CLIENTES!D:D,(MATCH('DASHBOARD 3.0'!I23,CLIENTES!B:B,0)))</f>
        <v>#N/A</v>
      </c>
    </row>
    <row r="24" spans="2:13" x14ac:dyDescent="0.25">
      <c r="F24" s="7"/>
      <c r="H24" s="23"/>
      <c r="I24" s="20" t="s">
        <v>73</v>
      </c>
      <c r="J24" s="21">
        <v>107589.81999999999</v>
      </c>
      <c r="K24" s="21">
        <v>7920</v>
      </c>
      <c r="L24" s="24">
        <f>SUM(L4:L23)</f>
        <v>0.80600141592989516</v>
      </c>
      <c r="M24" s="23"/>
    </row>
    <row r="25" spans="2:13" x14ac:dyDescent="0.25">
      <c r="F25" s="7"/>
    </row>
    <row r="26" spans="2:13" x14ac:dyDescent="0.25">
      <c r="F26" s="7"/>
    </row>
    <row r="27" spans="2:13" x14ac:dyDescent="0.25">
      <c r="F27" s="7"/>
    </row>
    <row r="28" spans="2:13" x14ac:dyDescent="0.25">
      <c r="F28" s="7"/>
    </row>
    <row r="29" spans="2:13" x14ac:dyDescent="0.25">
      <c r="F29" s="7"/>
    </row>
    <row r="30" spans="2:13" x14ac:dyDescent="0.25">
      <c r="F30" s="7"/>
    </row>
    <row r="31" spans="2:13" x14ac:dyDescent="0.25">
      <c r="F31" s="7"/>
    </row>
    <row r="32" spans="2:13" x14ac:dyDescent="0.25">
      <c r="F32" s="7"/>
    </row>
    <row r="33" spans="6:6" x14ac:dyDescent="0.25">
      <c r="F33" s="7"/>
    </row>
    <row r="34" spans="6:6" x14ac:dyDescent="0.25">
      <c r="F34" s="7"/>
    </row>
    <row r="35" spans="6:6" x14ac:dyDescent="0.25">
      <c r="F35" s="7"/>
    </row>
    <row r="36" spans="6:6" x14ac:dyDescent="0.25">
      <c r="F36" s="7"/>
    </row>
    <row r="37" spans="6:6" x14ac:dyDescent="0.25">
      <c r="F37" s="7"/>
    </row>
    <row r="38" spans="6:6" x14ac:dyDescent="0.25">
      <c r="F38" s="7"/>
    </row>
    <row r="39" spans="6:6" x14ac:dyDescent="0.25">
      <c r="F39" s="7"/>
    </row>
    <row r="40" spans="6:6" x14ac:dyDescent="0.25">
      <c r="F40" s="7"/>
    </row>
    <row r="41" spans="6:6" x14ac:dyDescent="0.25">
      <c r="F41" s="7"/>
    </row>
    <row r="42" spans="6:6" x14ac:dyDescent="0.25">
      <c r="F42" s="7"/>
    </row>
    <row r="43" spans="6:6" x14ac:dyDescent="0.25">
      <c r="F43" s="7"/>
    </row>
    <row r="44" spans="6:6" x14ac:dyDescent="0.25">
      <c r="F44" s="7"/>
    </row>
    <row r="45" spans="6:6" x14ac:dyDescent="0.25">
      <c r="F45" s="7"/>
    </row>
    <row r="46" spans="6:6" x14ac:dyDescent="0.25">
      <c r="F46" s="7"/>
    </row>
    <row r="47" spans="6:6" x14ac:dyDescent="0.25">
      <c r="F47" s="7"/>
    </row>
    <row r="48" spans="6:6" x14ac:dyDescent="0.25">
      <c r="F48" s="7"/>
    </row>
    <row r="49" spans="6:6" x14ac:dyDescent="0.25">
      <c r="F49" s="7"/>
    </row>
    <row r="50" spans="6:6" x14ac:dyDescent="0.25">
      <c r="F50" s="7"/>
    </row>
    <row r="51" spans="6:6" x14ac:dyDescent="0.25">
      <c r="F51" s="7"/>
    </row>
    <row r="52" spans="6:6" x14ac:dyDescent="0.25">
      <c r="F52" s="7"/>
    </row>
    <row r="53" spans="6:6" x14ac:dyDescent="0.25">
      <c r="F53" s="7"/>
    </row>
    <row r="54" spans="6:6" x14ac:dyDescent="0.25">
      <c r="F54" s="7"/>
    </row>
    <row r="55" spans="6:6" x14ac:dyDescent="0.25">
      <c r="F55" s="7"/>
    </row>
    <row r="56" spans="6:6" x14ac:dyDescent="0.25">
      <c r="F56" s="7"/>
    </row>
    <row r="57" spans="6:6" x14ac:dyDescent="0.25">
      <c r="F57" s="7"/>
    </row>
    <row r="58" spans="6:6" x14ac:dyDescent="0.25">
      <c r="F58" s="7"/>
    </row>
    <row r="59" spans="6:6" x14ac:dyDescent="0.25">
      <c r="F59" s="7"/>
    </row>
    <row r="60" spans="6:6" x14ac:dyDescent="0.25">
      <c r="F60" s="7"/>
    </row>
    <row r="61" spans="6:6" x14ac:dyDescent="0.25">
      <c r="F61" s="7"/>
    </row>
    <row r="62" spans="6:6" x14ac:dyDescent="0.25">
      <c r="F62" s="7"/>
    </row>
    <row r="63" spans="6:6" x14ac:dyDescent="0.25">
      <c r="F63" s="7"/>
    </row>
    <row r="64" spans="6:6" x14ac:dyDescent="0.25">
      <c r="F64" s="7"/>
    </row>
    <row r="65" spans="6:6" x14ac:dyDescent="0.25">
      <c r="F65" s="7"/>
    </row>
    <row r="66" spans="6:6" x14ac:dyDescent="0.25">
      <c r="F66" s="7"/>
    </row>
    <row r="67" spans="6:6" x14ac:dyDescent="0.25">
      <c r="F67" s="7"/>
    </row>
    <row r="68" spans="6:6" x14ac:dyDescent="0.25">
      <c r="F68" s="7"/>
    </row>
    <row r="69" spans="6:6" x14ac:dyDescent="0.25">
      <c r="F69" s="7"/>
    </row>
    <row r="70" spans="6:6" x14ac:dyDescent="0.25">
      <c r="F70" s="7"/>
    </row>
    <row r="71" spans="6:6" x14ac:dyDescent="0.25">
      <c r="F71" s="7"/>
    </row>
    <row r="72" spans="6:6" x14ac:dyDescent="0.25">
      <c r="F72" s="7"/>
    </row>
    <row r="73" spans="6:6" x14ac:dyDescent="0.25">
      <c r="F73" s="7"/>
    </row>
    <row r="74" spans="6:6" x14ac:dyDescent="0.25">
      <c r="F74" s="7"/>
    </row>
    <row r="75" spans="6:6" x14ac:dyDescent="0.25">
      <c r="F75" s="7"/>
    </row>
    <row r="76" spans="6:6" x14ac:dyDescent="0.25">
      <c r="F76" s="7"/>
    </row>
    <row r="77" spans="6:6" x14ac:dyDescent="0.25">
      <c r="F77" s="7"/>
    </row>
    <row r="78" spans="6:6" x14ac:dyDescent="0.25">
      <c r="F78" s="7"/>
    </row>
    <row r="79" spans="6:6" x14ac:dyDescent="0.25">
      <c r="F79" s="7"/>
    </row>
    <row r="80" spans="6:6" x14ac:dyDescent="0.25">
      <c r="F80" s="7"/>
    </row>
    <row r="81" spans="6:6" x14ac:dyDescent="0.25">
      <c r="F81" s="7"/>
    </row>
    <row r="82" spans="6:6" x14ac:dyDescent="0.25">
      <c r="F82" s="7"/>
    </row>
    <row r="83" spans="6:6" x14ac:dyDescent="0.25">
      <c r="F83" s="7"/>
    </row>
    <row r="84" spans="6:6" x14ac:dyDescent="0.25">
      <c r="F84" s="7"/>
    </row>
    <row r="85" spans="6:6" x14ac:dyDescent="0.25">
      <c r="F85" s="7"/>
    </row>
    <row r="86" spans="6:6" x14ac:dyDescent="0.25">
      <c r="F86" s="7"/>
    </row>
    <row r="87" spans="6:6" x14ac:dyDescent="0.25">
      <c r="F87" s="7"/>
    </row>
    <row r="88" spans="6:6" x14ac:dyDescent="0.25">
      <c r="F88" s="7"/>
    </row>
    <row r="89" spans="6:6" x14ac:dyDescent="0.25">
      <c r="F89" s="7"/>
    </row>
    <row r="90" spans="6:6" x14ac:dyDescent="0.25">
      <c r="F90" s="7"/>
    </row>
    <row r="91" spans="6:6" x14ac:dyDescent="0.25">
      <c r="F91" s="7"/>
    </row>
    <row r="92" spans="6:6" x14ac:dyDescent="0.25">
      <c r="F92" s="7"/>
    </row>
    <row r="93" spans="6:6" x14ac:dyDescent="0.25">
      <c r="F93" s="7"/>
    </row>
    <row r="94" spans="6:6" x14ac:dyDescent="0.25">
      <c r="F94" s="7"/>
    </row>
    <row r="95" spans="6:6" x14ac:dyDescent="0.25">
      <c r="F95" s="7"/>
    </row>
    <row r="96" spans="6:6" x14ac:dyDescent="0.25">
      <c r="F96" s="7"/>
    </row>
    <row r="97" spans="6:6" x14ac:dyDescent="0.25">
      <c r="F97" s="7"/>
    </row>
    <row r="98" spans="6:6" x14ac:dyDescent="0.25">
      <c r="F98" s="7"/>
    </row>
    <row r="99" spans="6:6" x14ac:dyDescent="0.25">
      <c r="F99" s="7"/>
    </row>
    <row r="100" spans="6:6" x14ac:dyDescent="0.25">
      <c r="F100" s="7"/>
    </row>
    <row r="101" spans="6:6" x14ac:dyDescent="0.25">
      <c r="F101" s="7"/>
    </row>
    <row r="102" spans="6:6" x14ac:dyDescent="0.25">
      <c r="F102" s="7"/>
    </row>
    <row r="103" spans="6:6" x14ac:dyDescent="0.25">
      <c r="F103" s="7"/>
    </row>
    <row r="104" spans="6:6" x14ac:dyDescent="0.25">
      <c r="F104" s="7"/>
    </row>
    <row r="105" spans="6:6" x14ac:dyDescent="0.25">
      <c r="F105" s="7"/>
    </row>
    <row r="106" spans="6:6" x14ac:dyDescent="0.25">
      <c r="F106" s="7"/>
    </row>
    <row r="107" spans="6:6" x14ac:dyDescent="0.25">
      <c r="F107" s="7"/>
    </row>
    <row r="108" spans="6:6" x14ac:dyDescent="0.25">
      <c r="F108" s="7"/>
    </row>
    <row r="109" spans="6:6" x14ac:dyDescent="0.25">
      <c r="F109" s="7"/>
    </row>
    <row r="110" spans="6:6" x14ac:dyDescent="0.25">
      <c r="F110" s="7"/>
    </row>
    <row r="111" spans="6:6" x14ac:dyDescent="0.25">
      <c r="F111" s="7"/>
    </row>
    <row r="112" spans="6:6" x14ac:dyDescent="0.25">
      <c r="F112" s="7"/>
    </row>
    <row r="113" spans="6:6" x14ac:dyDescent="0.25">
      <c r="F113" s="7"/>
    </row>
    <row r="114" spans="6:6" x14ac:dyDescent="0.25">
      <c r="F114" s="7"/>
    </row>
    <row r="115" spans="6:6" x14ac:dyDescent="0.25">
      <c r="F115" s="7"/>
    </row>
    <row r="116" spans="6:6" x14ac:dyDescent="0.25">
      <c r="F116" s="7"/>
    </row>
    <row r="117" spans="6:6" x14ac:dyDescent="0.25">
      <c r="F117" s="7"/>
    </row>
    <row r="118" spans="6:6" x14ac:dyDescent="0.25">
      <c r="F118" s="7"/>
    </row>
    <row r="119" spans="6:6" x14ac:dyDescent="0.25">
      <c r="F119" s="7"/>
    </row>
    <row r="120" spans="6:6" x14ac:dyDescent="0.25">
      <c r="F120" s="7"/>
    </row>
    <row r="121" spans="6:6" x14ac:dyDescent="0.25">
      <c r="F121" s="7"/>
    </row>
    <row r="122" spans="6:6" x14ac:dyDescent="0.25">
      <c r="F122" s="7"/>
    </row>
    <row r="123" spans="6:6" x14ac:dyDescent="0.25">
      <c r="F123" s="7"/>
    </row>
    <row r="124" spans="6:6" x14ac:dyDescent="0.25">
      <c r="F124" s="7"/>
    </row>
    <row r="125" spans="6:6" x14ac:dyDescent="0.25">
      <c r="F125" s="7"/>
    </row>
    <row r="126" spans="6:6" x14ac:dyDescent="0.25">
      <c r="F126" s="7"/>
    </row>
    <row r="127" spans="6:6" x14ac:dyDescent="0.25">
      <c r="F127" s="7"/>
    </row>
    <row r="128" spans="6:6" x14ac:dyDescent="0.25">
      <c r="F128" s="7"/>
    </row>
    <row r="129" spans="6:6" x14ac:dyDescent="0.25">
      <c r="F129" s="7"/>
    </row>
    <row r="130" spans="6:6" x14ac:dyDescent="0.25">
      <c r="F130" s="7"/>
    </row>
    <row r="131" spans="6:6" x14ac:dyDescent="0.25">
      <c r="F131" s="7"/>
    </row>
    <row r="132" spans="6:6" x14ac:dyDescent="0.25">
      <c r="F132" s="7"/>
    </row>
    <row r="133" spans="6:6" x14ac:dyDescent="0.25">
      <c r="F133" s="7"/>
    </row>
    <row r="134" spans="6:6" x14ac:dyDescent="0.25">
      <c r="F134" s="7"/>
    </row>
    <row r="135" spans="6:6" x14ac:dyDescent="0.25">
      <c r="F135" s="7"/>
    </row>
    <row r="136" spans="6:6" x14ac:dyDescent="0.25">
      <c r="F136" s="7"/>
    </row>
    <row r="137" spans="6:6" x14ac:dyDescent="0.25">
      <c r="F137" s="7"/>
    </row>
    <row r="138" spans="6:6" x14ac:dyDescent="0.25">
      <c r="F138" s="7"/>
    </row>
    <row r="139" spans="6:6" x14ac:dyDescent="0.25">
      <c r="F139" s="7"/>
    </row>
    <row r="140" spans="6:6" x14ac:dyDescent="0.25">
      <c r="F140" s="7"/>
    </row>
    <row r="141" spans="6:6" x14ac:dyDescent="0.25">
      <c r="F141" s="7"/>
    </row>
    <row r="142" spans="6:6" x14ac:dyDescent="0.25">
      <c r="F142" s="7"/>
    </row>
    <row r="143" spans="6:6" x14ac:dyDescent="0.25">
      <c r="F143" s="7"/>
    </row>
    <row r="144" spans="6:6" x14ac:dyDescent="0.25">
      <c r="F144" s="7"/>
    </row>
    <row r="145" spans="6:6" x14ac:dyDescent="0.25">
      <c r="F145" s="7"/>
    </row>
    <row r="146" spans="6:6" x14ac:dyDescent="0.25">
      <c r="F146" s="7"/>
    </row>
    <row r="147" spans="6:6" x14ac:dyDescent="0.25">
      <c r="F147" s="7"/>
    </row>
    <row r="148" spans="6:6" x14ac:dyDescent="0.25">
      <c r="F148" s="7"/>
    </row>
    <row r="149" spans="6:6" x14ac:dyDescent="0.25">
      <c r="F149" s="7"/>
    </row>
    <row r="150" spans="6:6" x14ac:dyDescent="0.25">
      <c r="F150" s="7"/>
    </row>
    <row r="151" spans="6:6" x14ac:dyDescent="0.25">
      <c r="F151" s="7"/>
    </row>
    <row r="152" spans="6:6" x14ac:dyDescent="0.25">
      <c r="F152" s="7"/>
    </row>
    <row r="153" spans="6:6" x14ac:dyDescent="0.25">
      <c r="F153" s="7"/>
    </row>
    <row r="154" spans="6:6" x14ac:dyDescent="0.25">
      <c r="F154" s="7"/>
    </row>
    <row r="155" spans="6:6" x14ac:dyDescent="0.25">
      <c r="F155" s="7"/>
    </row>
    <row r="156" spans="6:6" x14ac:dyDescent="0.25">
      <c r="F156" s="7"/>
    </row>
    <row r="157" spans="6:6" x14ac:dyDescent="0.25">
      <c r="F157" s="7"/>
    </row>
    <row r="158" spans="6:6" x14ac:dyDescent="0.25">
      <c r="F158" s="7"/>
    </row>
    <row r="159" spans="6:6" x14ac:dyDescent="0.25">
      <c r="F159" s="7"/>
    </row>
    <row r="160" spans="6:6" x14ac:dyDescent="0.25">
      <c r="F160" s="7"/>
    </row>
    <row r="161" spans="6:6" x14ac:dyDescent="0.25">
      <c r="F161" s="7"/>
    </row>
    <row r="162" spans="6:6" x14ac:dyDescent="0.25">
      <c r="F162" s="7"/>
    </row>
    <row r="163" spans="6:6" x14ac:dyDescent="0.25">
      <c r="F163" s="7"/>
    </row>
    <row r="164" spans="6:6" x14ac:dyDescent="0.25">
      <c r="F164" s="7"/>
    </row>
    <row r="165" spans="6:6" x14ac:dyDescent="0.25">
      <c r="F165" s="7"/>
    </row>
    <row r="166" spans="6:6" x14ac:dyDescent="0.25">
      <c r="F166" s="7"/>
    </row>
    <row r="167" spans="6:6" x14ac:dyDescent="0.25">
      <c r="F167" s="7"/>
    </row>
    <row r="168" spans="6:6" x14ac:dyDescent="0.25">
      <c r="F168" s="7"/>
    </row>
    <row r="169" spans="6:6" x14ac:dyDescent="0.25">
      <c r="F169" s="7"/>
    </row>
    <row r="170" spans="6:6" x14ac:dyDescent="0.25">
      <c r="F170" s="7"/>
    </row>
    <row r="171" spans="6:6" x14ac:dyDescent="0.25">
      <c r="F171" s="7"/>
    </row>
    <row r="172" spans="6:6" x14ac:dyDescent="0.25">
      <c r="F172" s="7"/>
    </row>
    <row r="173" spans="6:6" x14ac:dyDescent="0.25">
      <c r="F173" s="7"/>
    </row>
    <row r="174" spans="6:6" x14ac:dyDescent="0.25">
      <c r="F174" s="7"/>
    </row>
    <row r="175" spans="6:6" x14ac:dyDescent="0.25">
      <c r="F175" s="7"/>
    </row>
    <row r="176" spans="6:6" x14ac:dyDescent="0.25">
      <c r="F176" s="7"/>
    </row>
    <row r="177" spans="6:6" x14ac:dyDescent="0.25">
      <c r="F177" s="7"/>
    </row>
    <row r="178" spans="6:6" x14ac:dyDescent="0.25">
      <c r="F178" s="7"/>
    </row>
    <row r="179" spans="6:6" x14ac:dyDescent="0.25">
      <c r="F179" s="7"/>
    </row>
    <row r="180" spans="6:6" x14ac:dyDescent="0.25">
      <c r="F180" s="7"/>
    </row>
    <row r="181" spans="6:6" x14ac:dyDescent="0.25">
      <c r="F181" s="7"/>
    </row>
    <row r="182" spans="6:6" x14ac:dyDescent="0.25">
      <c r="F182" s="7"/>
    </row>
    <row r="183" spans="6:6" x14ac:dyDescent="0.25">
      <c r="F183" s="7"/>
    </row>
    <row r="184" spans="6:6" x14ac:dyDescent="0.25">
      <c r="F184" s="7"/>
    </row>
    <row r="185" spans="6:6" x14ac:dyDescent="0.25">
      <c r="F185" s="7"/>
    </row>
    <row r="186" spans="6:6" x14ac:dyDescent="0.25">
      <c r="F186" s="7"/>
    </row>
    <row r="187" spans="6:6" x14ac:dyDescent="0.25">
      <c r="F187" s="7"/>
    </row>
    <row r="188" spans="6:6" x14ac:dyDescent="0.25">
      <c r="F188" s="7"/>
    </row>
    <row r="189" spans="6:6" x14ac:dyDescent="0.25">
      <c r="F189" s="7"/>
    </row>
    <row r="190" spans="6:6" x14ac:dyDescent="0.25">
      <c r="F190" s="7"/>
    </row>
    <row r="191" spans="6:6" x14ac:dyDescent="0.25">
      <c r="F191" s="7"/>
    </row>
    <row r="192" spans="6:6" x14ac:dyDescent="0.25">
      <c r="F192" s="7"/>
    </row>
    <row r="193" spans="6:6" x14ac:dyDescent="0.25">
      <c r="F193" s="7"/>
    </row>
    <row r="194" spans="6:6" x14ac:dyDescent="0.25">
      <c r="F194" s="7"/>
    </row>
    <row r="195" spans="6:6" x14ac:dyDescent="0.25">
      <c r="F195" s="7"/>
    </row>
    <row r="196" spans="6:6" x14ac:dyDescent="0.25">
      <c r="F196" s="7"/>
    </row>
    <row r="197" spans="6:6" x14ac:dyDescent="0.25">
      <c r="F197" s="7"/>
    </row>
    <row r="198" spans="6:6" x14ac:dyDescent="0.25">
      <c r="F198" s="7"/>
    </row>
    <row r="199" spans="6:6" x14ac:dyDescent="0.25">
      <c r="F199" s="7"/>
    </row>
    <row r="200" spans="6:6" x14ac:dyDescent="0.25">
      <c r="F200" s="7"/>
    </row>
    <row r="201" spans="6:6" x14ac:dyDescent="0.25">
      <c r="F201" s="7"/>
    </row>
    <row r="202" spans="6:6" x14ac:dyDescent="0.25">
      <c r="F202" s="7"/>
    </row>
    <row r="203" spans="6:6" x14ac:dyDescent="0.25">
      <c r="F203" s="7"/>
    </row>
    <row r="204" spans="6:6" x14ac:dyDescent="0.25">
      <c r="F204" s="7"/>
    </row>
    <row r="205" spans="6:6" x14ac:dyDescent="0.25">
      <c r="F205" s="7"/>
    </row>
    <row r="206" spans="6:6" x14ac:dyDescent="0.25">
      <c r="F206" s="7"/>
    </row>
    <row r="207" spans="6:6" x14ac:dyDescent="0.25">
      <c r="F207" s="7"/>
    </row>
    <row r="208" spans="6:6" x14ac:dyDescent="0.25">
      <c r="F208" s="7"/>
    </row>
    <row r="209" spans="6:6" x14ac:dyDescent="0.25">
      <c r="F209" s="7"/>
    </row>
    <row r="210" spans="6:6" x14ac:dyDescent="0.25">
      <c r="F210" s="7"/>
    </row>
    <row r="211" spans="6:6" x14ac:dyDescent="0.25">
      <c r="F211" s="7"/>
    </row>
    <row r="212" spans="6:6" x14ac:dyDescent="0.25">
      <c r="F212" s="7"/>
    </row>
    <row r="213" spans="6:6" x14ac:dyDescent="0.25">
      <c r="F213" s="7"/>
    </row>
    <row r="214" spans="6:6" x14ac:dyDescent="0.25">
      <c r="F214" s="7"/>
    </row>
    <row r="215" spans="6:6" x14ac:dyDescent="0.25">
      <c r="F215" s="7"/>
    </row>
    <row r="216" spans="6:6" x14ac:dyDescent="0.25">
      <c r="F216" s="7"/>
    </row>
    <row r="217" spans="6:6" x14ac:dyDescent="0.25">
      <c r="F217" s="7"/>
    </row>
    <row r="218" spans="6:6" x14ac:dyDescent="0.25">
      <c r="F218" s="7"/>
    </row>
    <row r="219" spans="6:6" x14ac:dyDescent="0.25">
      <c r="F219" s="7"/>
    </row>
    <row r="220" spans="6:6" x14ac:dyDescent="0.25">
      <c r="F220" s="7"/>
    </row>
    <row r="221" spans="6:6" x14ac:dyDescent="0.25">
      <c r="F221" s="7"/>
    </row>
    <row r="222" spans="6:6" x14ac:dyDescent="0.25">
      <c r="F222" s="7"/>
    </row>
    <row r="223" spans="6:6" x14ac:dyDescent="0.25">
      <c r="F223" s="7"/>
    </row>
    <row r="224" spans="6:6" x14ac:dyDescent="0.25">
      <c r="F224" s="7"/>
    </row>
    <row r="225" spans="6:6" x14ac:dyDescent="0.25">
      <c r="F225" s="7"/>
    </row>
    <row r="226" spans="6:6" x14ac:dyDescent="0.25">
      <c r="F226" s="7"/>
    </row>
    <row r="227" spans="6:6" x14ac:dyDescent="0.25">
      <c r="F227" s="7"/>
    </row>
    <row r="228" spans="6:6" x14ac:dyDescent="0.25">
      <c r="F228" s="7"/>
    </row>
    <row r="229" spans="6:6" x14ac:dyDescent="0.25">
      <c r="F229" s="7"/>
    </row>
    <row r="230" spans="6:6" x14ac:dyDescent="0.25">
      <c r="F230" s="7"/>
    </row>
    <row r="231" spans="6:6" x14ac:dyDescent="0.25">
      <c r="F231" s="7"/>
    </row>
    <row r="232" spans="6:6" x14ac:dyDescent="0.25">
      <c r="F232" s="7"/>
    </row>
    <row r="233" spans="6:6" x14ac:dyDescent="0.25">
      <c r="F233" s="7"/>
    </row>
    <row r="234" spans="6:6" x14ac:dyDescent="0.25">
      <c r="F234" s="7"/>
    </row>
    <row r="235" spans="6:6" x14ac:dyDescent="0.25">
      <c r="F235" s="7"/>
    </row>
    <row r="236" spans="6:6" x14ac:dyDescent="0.25">
      <c r="F236" s="7"/>
    </row>
    <row r="237" spans="6:6" x14ac:dyDescent="0.25">
      <c r="F237" s="7"/>
    </row>
    <row r="238" spans="6:6" x14ac:dyDescent="0.25">
      <c r="F238" s="7"/>
    </row>
    <row r="239" spans="6:6" x14ac:dyDescent="0.25">
      <c r="F239" s="7"/>
    </row>
    <row r="240" spans="6:6" x14ac:dyDescent="0.25">
      <c r="F240" s="7"/>
    </row>
    <row r="241" spans="6:6" x14ac:dyDescent="0.25">
      <c r="F241" s="7"/>
    </row>
    <row r="242" spans="6:6" x14ac:dyDescent="0.25">
      <c r="F242" s="7"/>
    </row>
    <row r="243" spans="6:6" x14ac:dyDescent="0.25">
      <c r="F243" s="7"/>
    </row>
    <row r="244" spans="6:6" x14ac:dyDescent="0.25">
      <c r="F244" s="7"/>
    </row>
    <row r="245" spans="6:6" x14ac:dyDescent="0.25">
      <c r="F245" s="7"/>
    </row>
    <row r="246" spans="6:6" x14ac:dyDescent="0.25">
      <c r="F246" s="7"/>
    </row>
    <row r="247" spans="6:6" x14ac:dyDescent="0.25">
      <c r="F247" s="7"/>
    </row>
    <row r="248" spans="6:6" x14ac:dyDescent="0.25">
      <c r="F248" s="7"/>
    </row>
    <row r="249" spans="6:6" x14ac:dyDescent="0.25">
      <c r="F249" s="7"/>
    </row>
    <row r="250" spans="6:6" x14ac:dyDescent="0.25">
      <c r="F250" s="7"/>
    </row>
    <row r="251" spans="6:6" x14ac:dyDescent="0.25">
      <c r="F251" s="7"/>
    </row>
    <row r="252" spans="6:6" x14ac:dyDescent="0.25">
      <c r="F252" s="7"/>
    </row>
    <row r="253" spans="6:6" x14ac:dyDescent="0.25">
      <c r="F253" s="7"/>
    </row>
    <row r="254" spans="6:6" x14ac:dyDescent="0.25">
      <c r="F254" s="7"/>
    </row>
    <row r="255" spans="6:6" x14ac:dyDescent="0.25">
      <c r="F255" s="7"/>
    </row>
    <row r="256" spans="6:6" x14ac:dyDescent="0.25">
      <c r="F256" s="7"/>
    </row>
    <row r="257" spans="6:6" x14ac:dyDescent="0.25">
      <c r="F257" s="7"/>
    </row>
    <row r="258" spans="6:6" x14ac:dyDescent="0.25">
      <c r="F258" s="7"/>
    </row>
    <row r="259" spans="6:6" x14ac:dyDescent="0.25">
      <c r="F259" s="7"/>
    </row>
    <row r="260" spans="6:6" x14ac:dyDescent="0.25">
      <c r="F260" s="7"/>
    </row>
    <row r="261" spans="6:6" x14ac:dyDescent="0.25">
      <c r="F261" s="7"/>
    </row>
    <row r="262" spans="6:6" x14ac:dyDescent="0.25">
      <c r="F262" s="7"/>
    </row>
    <row r="263" spans="6:6" x14ac:dyDescent="0.25">
      <c r="F263" s="7"/>
    </row>
    <row r="264" spans="6:6" x14ac:dyDescent="0.25">
      <c r="F264" s="7"/>
    </row>
    <row r="265" spans="6:6" x14ac:dyDescent="0.25">
      <c r="F265" s="7"/>
    </row>
    <row r="266" spans="6:6" x14ac:dyDescent="0.25">
      <c r="F266" s="7"/>
    </row>
    <row r="267" spans="6:6" x14ac:dyDescent="0.25">
      <c r="F267" s="7"/>
    </row>
    <row r="268" spans="6:6" x14ac:dyDescent="0.25">
      <c r="F268" s="7"/>
    </row>
    <row r="269" spans="6:6" x14ac:dyDescent="0.25">
      <c r="F269" s="7"/>
    </row>
    <row r="270" spans="6:6" x14ac:dyDescent="0.25">
      <c r="F270" s="7"/>
    </row>
    <row r="271" spans="6:6" x14ac:dyDescent="0.25">
      <c r="F271" s="7"/>
    </row>
    <row r="272" spans="6:6" x14ac:dyDescent="0.25">
      <c r="F272" s="7"/>
    </row>
    <row r="273" spans="6:6" x14ac:dyDescent="0.25">
      <c r="F273" s="7"/>
    </row>
    <row r="274" spans="6:6" x14ac:dyDescent="0.25">
      <c r="F274" s="7"/>
    </row>
    <row r="275" spans="6:6" x14ac:dyDescent="0.25">
      <c r="F275" s="7"/>
    </row>
    <row r="276" spans="6:6" x14ac:dyDescent="0.25">
      <c r="F276" s="7"/>
    </row>
    <row r="277" spans="6:6" x14ac:dyDescent="0.25">
      <c r="F277" s="7"/>
    </row>
    <row r="278" spans="6:6" x14ac:dyDescent="0.25">
      <c r="F278" s="7"/>
    </row>
    <row r="279" spans="6:6" x14ac:dyDescent="0.25">
      <c r="F279" s="7"/>
    </row>
    <row r="280" spans="6:6" x14ac:dyDescent="0.25">
      <c r="F280" s="7"/>
    </row>
    <row r="281" spans="6:6" x14ac:dyDescent="0.25">
      <c r="F281" s="7"/>
    </row>
    <row r="282" spans="6:6" x14ac:dyDescent="0.25">
      <c r="F282" s="7"/>
    </row>
    <row r="283" spans="6:6" x14ac:dyDescent="0.25">
      <c r="F283" s="7"/>
    </row>
    <row r="284" spans="6:6" x14ac:dyDescent="0.25">
      <c r="F284" s="7"/>
    </row>
    <row r="285" spans="6:6" x14ac:dyDescent="0.25">
      <c r="F285" s="7"/>
    </row>
    <row r="286" spans="6:6" x14ac:dyDescent="0.25">
      <c r="F286" s="7"/>
    </row>
    <row r="287" spans="6:6" x14ac:dyDescent="0.25">
      <c r="F287" s="7"/>
    </row>
    <row r="288" spans="6:6" x14ac:dyDescent="0.25">
      <c r="F288" s="7"/>
    </row>
    <row r="289" spans="6:6" x14ac:dyDescent="0.25">
      <c r="F289" s="7"/>
    </row>
    <row r="290" spans="6:6" x14ac:dyDescent="0.25">
      <c r="F290" s="7"/>
    </row>
    <row r="291" spans="6:6" x14ac:dyDescent="0.25">
      <c r="F291" s="7"/>
    </row>
    <row r="292" spans="6:6" x14ac:dyDescent="0.25">
      <c r="F292" s="7"/>
    </row>
    <row r="293" spans="6:6" x14ac:dyDescent="0.25">
      <c r="F293" s="7"/>
    </row>
    <row r="294" spans="6:6" x14ac:dyDescent="0.25">
      <c r="F294" s="7"/>
    </row>
    <row r="295" spans="6:6" x14ac:dyDescent="0.25">
      <c r="F295" s="7"/>
    </row>
    <row r="296" spans="6:6" x14ac:dyDescent="0.25">
      <c r="F296" s="7"/>
    </row>
    <row r="297" spans="6:6" x14ac:dyDescent="0.25">
      <c r="F297" s="7"/>
    </row>
    <row r="298" spans="6:6" x14ac:dyDescent="0.25">
      <c r="F298" s="7"/>
    </row>
    <row r="299" spans="6:6" x14ac:dyDescent="0.25">
      <c r="F299" s="7"/>
    </row>
    <row r="300" spans="6:6" x14ac:dyDescent="0.25">
      <c r="F300" s="7"/>
    </row>
    <row r="301" spans="6:6" x14ac:dyDescent="0.25">
      <c r="F301" s="7"/>
    </row>
    <row r="302" spans="6:6" x14ac:dyDescent="0.25">
      <c r="F302" s="7"/>
    </row>
    <row r="303" spans="6:6" x14ac:dyDescent="0.25">
      <c r="F303" s="7"/>
    </row>
    <row r="304" spans="6:6" x14ac:dyDescent="0.25">
      <c r="F304" s="7"/>
    </row>
    <row r="305" spans="6:6" x14ac:dyDescent="0.25">
      <c r="F305" s="7"/>
    </row>
    <row r="306" spans="6:6" x14ac:dyDescent="0.25">
      <c r="F306" s="7"/>
    </row>
    <row r="307" spans="6:6" x14ac:dyDescent="0.25">
      <c r="F307" s="7"/>
    </row>
    <row r="308" spans="6:6" x14ac:dyDescent="0.25">
      <c r="F308" s="7"/>
    </row>
    <row r="309" spans="6:6" x14ac:dyDescent="0.25">
      <c r="F309" s="7"/>
    </row>
    <row r="310" spans="6:6" x14ac:dyDescent="0.25">
      <c r="F310" s="7"/>
    </row>
    <row r="311" spans="6:6" x14ac:dyDescent="0.25">
      <c r="F311" s="7"/>
    </row>
    <row r="312" spans="6:6" x14ac:dyDescent="0.25">
      <c r="F312" s="7"/>
    </row>
    <row r="313" spans="6:6" x14ac:dyDescent="0.25">
      <c r="F313" s="7"/>
    </row>
    <row r="314" spans="6:6" x14ac:dyDescent="0.25">
      <c r="F314" s="7"/>
    </row>
    <row r="315" spans="6:6" x14ac:dyDescent="0.25">
      <c r="F315" s="7"/>
    </row>
    <row r="316" spans="6:6" x14ac:dyDescent="0.25">
      <c r="F316" s="7"/>
    </row>
    <row r="317" spans="6:6" x14ac:dyDescent="0.25">
      <c r="F317" s="7"/>
    </row>
    <row r="318" spans="6:6" x14ac:dyDescent="0.25">
      <c r="F318" s="7"/>
    </row>
    <row r="319" spans="6:6" x14ac:dyDescent="0.25">
      <c r="F319" s="7"/>
    </row>
    <row r="320" spans="6:6" x14ac:dyDescent="0.25">
      <c r="F320" s="7"/>
    </row>
    <row r="321" spans="6:6" x14ac:dyDescent="0.25">
      <c r="F321" s="7"/>
    </row>
    <row r="322" spans="6:6" x14ac:dyDescent="0.25">
      <c r="F322" s="7"/>
    </row>
    <row r="323" spans="6:6" x14ac:dyDescent="0.25">
      <c r="F323" s="7"/>
    </row>
    <row r="324" spans="6:6" x14ac:dyDescent="0.25">
      <c r="F324" s="7"/>
    </row>
    <row r="325" spans="6:6" x14ac:dyDescent="0.25">
      <c r="F325" s="7"/>
    </row>
    <row r="326" spans="6:6" x14ac:dyDescent="0.25">
      <c r="F326" s="7"/>
    </row>
    <row r="327" spans="6:6" x14ac:dyDescent="0.25">
      <c r="F327" s="7"/>
    </row>
    <row r="328" spans="6:6" x14ac:dyDescent="0.25">
      <c r="F328" s="7"/>
    </row>
    <row r="329" spans="6:6" x14ac:dyDescent="0.25">
      <c r="F329" s="7"/>
    </row>
    <row r="330" spans="6:6" x14ac:dyDescent="0.25">
      <c r="F330" s="7"/>
    </row>
    <row r="331" spans="6:6" x14ac:dyDescent="0.25">
      <c r="F331" s="7"/>
    </row>
    <row r="332" spans="6:6" x14ac:dyDescent="0.25">
      <c r="F332" s="7"/>
    </row>
    <row r="333" spans="6:6" x14ac:dyDescent="0.25">
      <c r="F333" s="7"/>
    </row>
    <row r="334" spans="6:6" x14ac:dyDescent="0.25">
      <c r="F334" s="7"/>
    </row>
    <row r="335" spans="6:6" x14ac:dyDescent="0.25">
      <c r="F335" s="7"/>
    </row>
    <row r="336" spans="6:6" x14ac:dyDescent="0.25">
      <c r="F336" s="7"/>
    </row>
    <row r="337" spans="6:6" x14ac:dyDescent="0.25">
      <c r="F337" s="7"/>
    </row>
    <row r="338" spans="6:6" x14ac:dyDescent="0.25">
      <c r="F338" s="7"/>
    </row>
    <row r="339" spans="6:6" x14ac:dyDescent="0.25">
      <c r="F339" s="7"/>
    </row>
    <row r="340" spans="6:6" x14ac:dyDescent="0.25">
      <c r="F340" s="7"/>
    </row>
    <row r="341" spans="6:6" x14ac:dyDescent="0.25">
      <c r="F341" s="7"/>
    </row>
    <row r="342" spans="6:6" x14ac:dyDescent="0.25">
      <c r="F342" s="7"/>
    </row>
    <row r="343" spans="6:6" x14ac:dyDescent="0.25">
      <c r="F343" s="7"/>
    </row>
    <row r="344" spans="6:6" x14ac:dyDescent="0.25">
      <c r="F344" s="7"/>
    </row>
    <row r="345" spans="6:6" x14ac:dyDescent="0.25">
      <c r="F345" s="7"/>
    </row>
    <row r="346" spans="6:6" x14ac:dyDescent="0.25">
      <c r="F346" s="7"/>
    </row>
    <row r="347" spans="6:6" x14ac:dyDescent="0.25">
      <c r="F347" s="7"/>
    </row>
    <row r="348" spans="6:6" x14ac:dyDescent="0.25">
      <c r="F348" s="7"/>
    </row>
    <row r="349" spans="6:6" x14ac:dyDescent="0.25">
      <c r="F349" s="7"/>
    </row>
    <row r="350" spans="6:6" x14ac:dyDescent="0.25">
      <c r="F350" s="7"/>
    </row>
    <row r="351" spans="6:6" x14ac:dyDescent="0.25">
      <c r="F351" s="7"/>
    </row>
    <row r="352" spans="6:6" x14ac:dyDescent="0.25">
      <c r="F352" s="7"/>
    </row>
    <row r="353" spans="6:6" x14ac:dyDescent="0.25">
      <c r="F353" s="7"/>
    </row>
    <row r="354" spans="6:6" x14ac:dyDescent="0.25">
      <c r="F354" s="7"/>
    </row>
    <row r="355" spans="6:6" x14ac:dyDescent="0.25">
      <c r="F355" s="7"/>
    </row>
    <row r="356" spans="6:6" x14ac:dyDescent="0.25">
      <c r="F356" s="7"/>
    </row>
    <row r="357" spans="6:6" x14ac:dyDescent="0.25">
      <c r="F357" s="7"/>
    </row>
    <row r="358" spans="6:6" x14ac:dyDescent="0.25">
      <c r="F358" s="7"/>
    </row>
    <row r="359" spans="6:6" x14ac:dyDescent="0.25">
      <c r="F359" s="7"/>
    </row>
    <row r="360" spans="6:6" x14ac:dyDescent="0.25">
      <c r="F360" s="7"/>
    </row>
    <row r="361" spans="6:6" x14ac:dyDescent="0.25">
      <c r="F361" s="7"/>
    </row>
    <row r="362" spans="6:6" x14ac:dyDescent="0.25">
      <c r="F362" s="7"/>
    </row>
    <row r="363" spans="6:6" x14ac:dyDescent="0.25">
      <c r="F363" s="7"/>
    </row>
    <row r="364" spans="6:6" x14ac:dyDescent="0.25">
      <c r="F364" s="7"/>
    </row>
    <row r="365" spans="6:6" x14ac:dyDescent="0.25">
      <c r="F365" s="7"/>
    </row>
    <row r="366" spans="6:6" x14ac:dyDescent="0.25">
      <c r="F366" s="7"/>
    </row>
    <row r="367" spans="6:6" x14ac:dyDescent="0.25">
      <c r="F367" s="7"/>
    </row>
    <row r="368" spans="6:6" x14ac:dyDescent="0.25">
      <c r="F368" s="7"/>
    </row>
    <row r="369" spans="6:6" x14ac:dyDescent="0.25">
      <c r="F369" s="7"/>
    </row>
    <row r="370" spans="6:6" x14ac:dyDescent="0.25">
      <c r="F370" s="7"/>
    </row>
    <row r="371" spans="6:6" x14ac:dyDescent="0.25">
      <c r="F371" s="7"/>
    </row>
    <row r="372" spans="6:6" x14ac:dyDescent="0.25">
      <c r="F372" s="7"/>
    </row>
    <row r="373" spans="6:6" x14ac:dyDescent="0.25">
      <c r="F373" s="7"/>
    </row>
    <row r="374" spans="6:6" x14ac:dyDescent="0.25">
      <c r="F374" s="7"/>
    </row>
    <row r="375" spans="6:6" x14ac:dyDescent="0.25">
      <c r="F375" s="7"/>
    </row>
    <row r="376" spans="6:6" x14ac:dyDescent="0.25">
      <c r="F376" s="7"/>
    </row>
    <row r="377" spans="6:6" x14ac:dyDescent="0.25">
      <c r="F377" s="7"/>
    </row>
    <row r="378" spans="6:6" x14ac:dyDescent="0.25">
      <c r="F378" s="7"/>
    </row>
    <row r="379" spans="6:6" x14ac:dyDescent="0.25">
      <c r="F379" s="7"/>
    </row>
    <row r="380" spans="6:6" x14ac:dyDescent="0.25">
      <c r="F380" s="7"/>
    </row>
    <row r="381" spans="6:6" x14ac:dyDescent="0.25">
      <c r="F381" s="7"/>
    </row>
    <row r="382" spans="6:6" x14ac:dyDescent="0.25">
      <c r="F382" s="7"/>
    </row>
    <row r="383" spans="6:6" x14ac:dyDescent="0.25">
      <c r="F383" s="7"/>
    </row>
    <row r="384" spans="6:6" x14ac:dyDescent="0.25">
      <c r="F384" s="7"/>
    </row>
    <row r="385" spans="6:6" x14ac:dyDescent="0.25">
      <c r="F385" s="7"/>
    </row>
    <row r="386" spans="6:6" x14ac:dyDescent="0.25">
      <c r="F386" s="7"/>
    </row>
    <row r="387" spans="6:6" x14ac:dyDescent="0.25">
      <c r="F387" s="7"/>
    </row>
    <row r="388" spans="6:6" x14ac:dyDescent="0.25">
      <c r="F388" s="7"/>
    </row>
    <row r="389" spans="6:6" x14ac:dyDescent="0.25">
      <c r="F389" s="7"/>
    </row>
    <row r="390" spans="6:6" x14ac:dyDescent="0.25">
      <c r="F390" s="7"/>
    </row>
    <row r="391" spans="6:6" x14ac:dyDescent="0.25">
      <c r="F391" s="7"/>
    </row>
    <row r="392" spans="6:6" x14ac:dyDescent="0.25">
      <c r="F392" s="7"/>
    </row>
    <row r="393" spans="6:6" x14ac:dyDescent="0.25">
      <c r="F393" s="7"/>
    </row>
    <row r="394" spans="6:6" x14ac:dyDescent="0.25">
      <c r="F394" s="7"/>
    </row>
    <row r="395" spans="6:6" x14ac:dyDescent="0.25">
      <c r="F395" s="7"/>
    </row>
    <row r="396" spans="6:6" x14ac:dyDescent="0.25">
      <c r="F396" s="7"/>
    </row>
    <row r="397" spans="6:6" x14ac:dyDescent="0.25">
      <c r="F397" s="7"/>
    </row>
    <row r="398" spans="6:6" x14ac:dyDescent="0.25">
      <c r="F398" s="7"/>
    </row>
    <row r="399" spans="6:6" x14ac:dyDescent="0.25">
      <c r="F399" s="7"/>
    </row>
    <row r="400" spans="6:6" x14ac:dyDescent="0.25">
      <c r="F400" s="7"/>
    </row>
    <row r="401" spans="6:6" x14ac:dyDescent="0.25">
      <c r="F401" s="7"/>
    </row>
    <row r="402" spans="6:6" x14ac:dyDescent="0.25">
      <c r="F402" s="7"/>
    </row>
    <row r="403" spans="6:6" x14ac:dyDescent="0.25">
      <c r="F403" s="7"/>
    </row>
    <row r="404" spans="6:6" x14ac:dyDescent="0.25">
      <c r="F404" s="7"/>
    </row>
    <row r="405" spans="6:6" x14ac:dyDescent="0.25">
      <c r="F405" s="7"/>
    </row>
    <row r="406" spans="6:6" x14ac:dyDescent="0.25">
      <c r="F406" s="7"/>
    </row>
    <row r="407" spans="6:6" x14ac:dyDescent="0.25">
      <c r="F407" s="7"/>
    </row>
    <row r="408" spans="6:6" x14ac:dyDescent="0.25">
      <c r="F408" s="7"/>
    </row>
    <row r="409" spans="6:6" x14ac:dyDescent="0.25">
      <c r="F409" s="7"/>
    </row>
    <row r="410" spans="6:6" x14ac:dyDescent="0.25">
      <c r="F410" s="7"/>
    </row>
    <row r="411" spans="6:6" x14ac:dyDescent="0.25">
      <c r="F411" s="7"/>
    </row>
    <row r="412" spans="6:6" x14ac:dyDescent="0.25">
      <c r="F412" s="7"/>
    </row>
    <row r="413" spans="6:6" x14ac:dyDescent="0.25">
      <c r="F413" s="7"/>
    </row>
    <row r="414" spans="6:6" x14ac:dyDescent="0.25">
      <c r="F414" s="7"/>
    </row>
    <row r="415" spans="6:6" x14ac:dyDescent="0.25">
      <c r="F415" s="7"/>
    </row>
    <row r="416" spans="6:6" x14ac:dyDescent="0.25">
      <c r="F416" s="7"/>
    </row>
    <row r="417" spans="6:6" x14ac:dyDescent="0.25">
      <c r="F417" s="7"/>
    </row>
    <row r="418" spans="6:6" x14ac:dyDescent="0.25">
      <c r="F418" s="7"/>
    </row>
    <row r="419" spans="6:6" x14ac:dyDescent="0.25">
      <c r="F419" s="7"/>
    </row>
    <row r="420" spans="6:6" x14ac:dyDescent="0.25">
      <c r="F420" s="7"/>
    </row>
    <row r="421" spans="6:6" x14ac:dyDescent="0.25">
      <c r="F421" s="7"/>
    </row>
    <row r="422" spans="6:6" x14ac:dyDescent="0.25">
      <c r="F422" s="7"/>
    </row>
    <row r="423" spans="6:6" x14ac:dyDescent="0.25">
      <c r="F423" s="7"/>
    </row>
    <row r="424" spans="6:6" x14ac:dyDescent="0.25">
      <c r="F424" s="7"/>
    </row>
    <row r="425" spans="6:6" x14ac:dyDescent="0.25">
      <c r="F425" s="7"/>
    </row>
    <row r="426" spans="6:6" x14ac:dyDescent="0.25">
      <c r="F426" s="7"/>
    </row>
    <row r="427" spans="6:6" x14ac:dyDescent="0.25">
      <c r="F427" s="7"/>
    </row>
    <row r="428" spans="6:6" x14ac:dyDescent="0.25">
      <c r="F428" s="7"/>
    </row>
    <row r="429" spans="6:6" x14ac:dyDescent="0.25">
      <c r="F429" s="7"/>
    </row>
    <row r="430" spans="6:6" x14ac:dyDescent="0.25">
      <c r="F430" s="7"/>
    </row>
    <row r="431" spans="6:6" x14ac:dyDescent="0.25">
      <c r="F431" s="7"/>
    </row>
    <row r="432" spans="6:6" x14ac:dyDescent="0.25">
      <c r="F432" s="7"/>
    </row>
    <row r="433" spans="6:6" x14ac:dyDescent="0.25">
      <c r="F433" s="7"/>
    </row>
    <row r="434" spans="6:6" x14ac:dyDescent="0.25">
      <c r="F434" s="7"/>
    </row>
    <row r="435" spans="6:6" x14ac:dyDescent="0.25">
      <c r="F435" s="7"/>
    </row>
    <row r="436" spans="6:6" x14ac:dyDescent="0.25">
      <c r="F436" s="7"/>
    </row>
    <row r="437" spans="6:6" x14ac:dyDescent="0.25">
      <c r="F437" s="7"/>
    </row>
    <row r="438" spans="6:6" x14ac:dyDescent="0.25">
      <c r="F438" s="7"/>
    </row>
    <row r="439" spans="6:6" x14ac:dyDescent="0.25">
      <c r="F439" s="7"/>
    </row>
    <row r="440" spans="6:6" x14ac:dyDescent="0.25">
      <c r="F440" s="7"/>
    </row>
    <row r="441" spans="6:6" x14ac:dyDescent="0.25">
      <c r="F441" s="7"/>
    </row>
    <row r="442" spans="6:6" x14ac:dyDescent="0.25">
      <c r="F442" s="7"/>
    </row>
    <row r="443" spans="6:6" x14ac:dyDescent="0.25">
      <c r="F443" s="7"/>
    </row>
    <row r="444" spans="6:6" x14ac:dyDescent="0.25">
      <c r="F444" s="7"/>
    </row>
    <row r="445" spans="6:6" x14ac:dyDescent="0.25">
      <c r="F445" s="7"/>
    </row>
    <row r="446" spans="6:6" x14ac:dyDescent="0.25">
      <c r="F446" s="7"/>
    </row>
    <row r="447" spans="6:6" x14ac:dyDescent="0.25">
      <c r="F447" s="7"/>
    </row>
    <row r="448" spans="6:6" x14ac:dyDescent="0.25">
      <c r="F448" s="7"/>
    </row>
    <row r="449" spans="6:6" x14ac:dyDescent="0.25">
      <c r="F449" s="7"/>
    </row>
    <row r="450" spans="6:6" x14ac:dyDescent="0.25">
      <c r="F450" s="7"/>
    </row>
    <row r="451" spans="6:6" x14ac:dyDescent="0.25">
      <c r="F451" s="7"/>
    </row>
    <row r="452" spans="6:6" x14ac:dyDescent="0.25">
      <c r="F452" s="7"/>
    </row>
    <row r="453" spans="6:6" x14ac:dyDescent="0.25">
      <c r="F453" s="7"/>
    </row>
    <row r="454" spans="6:6" x14ac:dyDescent="0.25">
      <c r="F454" s="7"/>
    </row>
    <row r="455" spans="6:6" x14ac:dyDescent="0.25">
      <c r="F455" s="7"/>
    </row>
    <row r="456" spans="6:6" x14ac:dyDescent="0.25">
      <c r="F456" s="7"/>
    </row>
    <row r="457" spans="6:6" x14ac:dyDescent="0.25">
      <c r="F457" s="7"/>
    </row>
    <row r="458" spans="6:6" x14ac:dyDescent="0.25">
      <c r="F458" s="7"/>
    </row>
    <row r="459" spans="6:6" x14ac:dyDescent="0.25">
      <c r="F459" s="7"/>
    </row>
    <row r="460" spans="6:6" x14ac:dyDescent="0.25">
      <c r="F460" s="7"/>
    </row>
    <row r="461" spans="6:6" x14ac:dyDescent="0.25">
      <c r="F461" s="7"/>
    </row>
    <row r="462" spans="6:6" x14ac:dyDescent="0.25">
      <c r="F462" s="7"/>
    </row>
    <row r="463" spans="6:6" x14ac:dyDescent="0.25">
      <c r="F463" s="7"/>
    </row>
    <row r="464" spans="6:6" x14ac:dyDescent="0.25">
      <c r="F464" s="7"/>
    </row>
    <row r="465" spans="6:6" x14ac:dyDescent="0.25">
      <c r="F465" s="7"/>
    </row>
    <row r="466" spans="6:6" x14ac:dyDescent="0.25">
      <c r="F466" s="7"/>
    </row>
    <row r="467" spans="6:6" x14ac:dyDescent="0.25">
      <c r="F467" s="7"/>
    </row>
    <row r="468" spans="6:6" x14ac:dyDescent="0.25">
      <c r="F468" s="7"/>
    </row>
    <row r="469" spans="6:6" x14ac:dyDescent="0.25">
      <c r="F469" s="7"/>
    </row>
    <row r="470" spans="6:6" x14ac:dyDescent="0.25">
      <c r="F470" s="7"/>
    </row>
    <row r="471" spans="6:6" x14ac:dyDescent="0.25">
      <c r="F471" s="7"/>
    </row>
    <row r="472" spans="6:6" x14ac:dyDescent="0.25">
      <c r="F472" s="7"/>
    </row>
    <row r="473" spans="6:6" x14ac:dyDescent="0.25">
      <c r="F473" s="7"/>
    </row>
    <row r="474" spans="6:6" x14ac:dyDescent="0.25">
      <c r="F474" s="7"/>
    </row>
    <row r="475" spans="6:6" x14ac:dyDescent="0.25">
      <c r="F475" s="7"/>
    </row>
    <row r="476" spans="6:6" x14ac:dyDescent="0.25">
      <c r="F476" s="7"/>
    </row>
    <row r="477" spans="6:6" x14ac:dyDescent="0.25">
      <c r="F477" s="7"/>
    </row>
    <row r="478" spans="6:6" x14ac:dyDescent="0.25">
      <c r="F478" s="7"/>
    </row>
    <row r="479" spans="6:6" x14ac:dyDescent="0.25">
      <c r="F479" s="7"/>
    </row>
    <row r="480" spans="6:6" x14ac:dyDescent="0.25">
      <c r="F480" s="7"/>
    </row>
    <row r="481" spans="6:6" x14ac:dyDescent="0.25">
      <c r="F481" s="7"/>
    </row>
    <row r="482" spans="6:6" x14ac:dyDescent="0.25">
      <c r="F482" s="7"/>
    </row>
    <row r="483" spans="6:6" x14ac:dyDescent="0.25">
      <c r="F483" s="7"/>
    </row>
    <row r="484" spans="6:6" x14ac:dyDescent="0.25">
      <c r="F484" s="7"/>
    </row>
    <row r="485" spans="6:6" x14ac:dyDescent="0.25">
      <c r="F485" s="7"/>
    </row>
    <row r="486" spans="6:6" x14ac:dyDescent="0.25">
      <c r="F486" s="7"/>
    </row>
    <row r="487" spans="6:6" x14ac:dyDescent="0.25">
      <c r="F487" s="7"/>
    </row>
    <row r="488" spans="6:6" x14ac:dyDescent="0.25">
      <c r="F488" s="7"/>
    </row>
    <row r="489" spans="6:6" x14ac:dyDescent="0.25">
      <c r="F489" s="7"/>
    </row>
    <row r="490" spans="6:6" x14ac:dyDescent="0.25">
      <c r="F490" s="7"/>
    </row>
    <row r="491" spans="6:6" x14ac:dyDescent="0.25">
      <c r="F491" s="7"/>
    </row>
    <row r="492" spans="6:6" x14ac:dyDescent="0.25">
      <c r="F492" s="7"/>
    </row>
    <row r="493" spans="6:6" x14ac:dyDescent="0.25">
      <c r="F493" s="7"/>
    </row>
    <row r="494" spans="6:6" x14ac:dyDescent="0.25">
      <c r="F494" s="7"/>
    </row>
    <row r="495" spans="6:6" x14ac:dyDescent="0.25">
      <c r="F495" s="7"/>
    </row>
    <row r="496" spans="6:6" x14ac:dyDescent="0.25">
      <c r="F496" s="7"/>
    </row>
    <row r="497" spans="6:6" x14ac:dyDescent="0.25">
      <c r="F497" s="7"/>
    </row>
    <row r="498" spans="6:6" x14ac:dyDescent="0.25">
      <c r="F498" s="7"/>
    </row>
    <row r="499" spans="6:6" x14ac:dyDescent="0.25">
      <c r="F499" s="7"/>
    </row>
    <row r="500" spans="6:6" x14ac:dyDescent="0.25">
      <c r="F500" s="7"/>
    </row>
    <row r="501" spans="6:6" x14ac:dyDescent="0.25">
      <c r="F501" s="7"/>
    </row>
    <row r="502" spans="6:6" x14ac:dyDescent="0.25">
      <c r="F502" s="7"/>
    </row>
    <row r="503" spans="6:6" x14ac:dyDescent="0.25">
      <c r="F503" s="7"/>
    </row>
    <row r="504" spans="6:6" x14ac:dyDescent="0.25">
      <c r="F504" s="7"/>
    </row>
    <row r="505" spans="6:6" x14ac:dyDescent="0.25">
      <c r="F505" s="7"/>
    </row>
    <row r="506" spans="6:6" x14ac:dyDescent="0.25">
      <c r="F506" s="7"/>
    </row>
    <row r="507" spans="6:6" x14ac:dyDescent="0.25">
      <c r="F507" s="7"/>
    </row>
    <row r="508" spans="6:6" x14ac:dyDescent="0.25">
      <c r="F508" s="7"/>
    </row>
    <row r="509" spans="6:6" x14ac:dyDescent="0.25">
      <c r="F509" s="7"/>
    </row>
    <row r="510" spans="6:6" x14ac:dyDescent="0.25">
      <c r="F510" s="7"/>
    </row>
    <row r="511" spans="6:6" x14ac:dyDescent="0.25">
      <c r="F511" s="7"/>
    </row>
    <row r="512" spans="6:6" x14ac:dyDescent="0.25">
      <c r="F512" s="7"/>
    </row>
    <row r="513" spans="6:6" x14ac:dyDescent="0.25">
      <c r="F513" s="7"/>
    </row>
    <row r="514" spans="6:6" x14ac:dyDescent="0.25">
      <c r="F514" s="7"/>
    </row>
    <row r="515" spans="6:6" x14ac:dyDescent="0.25">
      <c r="F515" s="7"/>
    </row>
    <row r="516" spans="6:6" x14ac:dyDescent="0.25">
      <c r="F516" s="7"/>
    </row>
    <row r="517" spans="6:6" x14ac:dyDescent="0.25">
      <c r="F517" s="7"/>
    </row>
    <row r="518" spans="6:6" x14ac:dyDescent="0.25">
      <c r="F518" s="7"/>
    </row>
    <row r="519" spans="6:6" x14ac:dyDescent="0.25">
      <c r="F519" s="7"/>
    </row>
    <row r="520" spans="6:6" x14ac:dyDescent="0.25">
      <c r="F520" s="7"/>
    </row>
    <row r="521" spans="6:6" x14ac:dyDescent="0.25">
      <c r="F521" s="7"/>
    </row>
    <row r="522" spans="6:6" x14ac:dyDescent="0.25">
      <c r="F522" s="7"/>
    </row>
    <row r="523" spans="6:6" x14ac:dyDescent="0.25">
      <c r="F523" s="7"/>
    </row>
    <row r="524" spans="6:6" x14ac:dyDescent="0.25">
      <c r="F524" s="7"/>
    </row>
    <row r="525" spans="6:6" x14ac:dyDescent="0.25">
      <c r="F525" s="7"/>
    </row>
    <row r="526" spans="6:6" x14ac:dyDescent="0.25">
      <c r="F526" s="7"/>
    </row>
    <row r="527" spans="6:6" x14ac:dyDescent="0.25">
      <c r="F527" s="7"/>
    </row>
    <row r="528" spans="6:6" x14ac:dyDescent="0.25">
      <c r="F528" s="7"/>
    </row>
    <row r="529" spans="6:6" x14ac:dyDescent="0.25">
      <c r="F529" s="7"/>
    </row>
    <row r="530" spans="6:6" x14ac:dyDescent="0.25">
      <c r="F530" s="7"/>
    </row>
    <row r="531" spans="6:6" x14ac:dyDescent="0.25">
      <c r="F531" s="7"/>
    </row>
    <row r="532" spans="6:6" x14ac:dyDescent="0.25">
      <c r="F532" s="7"/>
    </row>
    <row r="533" spans="6:6" x14ac:dyDescent="0.25">
      <c r="F533" s="7"/>
    </row>
    <row r="534" spans="6:6" x14ac:dyDescent="0.25">
      <c r="F534" s="7"/>
    </row>
    <row r="535" spans="6:6" x14ac:dyDescent="0.25">
      <c r="F535" s="7"/>
    </row>
  </sheetData>
  <mergeCells count="15">
    <mergeCell ref="B13:C13"/>
    <mergeCell ref="B14:C14"/>
    <mergeCell ref="B16:C16"/>
    <mergeCell ref="B17:C17"/>
    <mergeCell ref="H2:M2"/>
    <mergeCell ref="B11:C11"/>
    <mergeCell ref="E2:F3"/>
    <mergeCell ref="E4:F4"/>
    <mergeCell ref="E7:F8"/>
    <mergeCell ref="B2:C3"/>
    <mergeCell ref="B4:C4"/>
    <mergeCell ref="B7:C7"/>
    <mergeCell ref="B8:C8"/>
    <mergeCell ref="B10:C10"/>
    <mergeCell ref="E9:F9"/>
  </mergeCells>
  <conditionalFormatting sqref="E2">
    <cfRule type="dataBar" priority="2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{37A648D9-7158-42EF-9521-B346F3BFD173}</x14:id>
        </ext>
      </extLst>
    </cfRule>
  </conditionalFormatting>
  <conditionalFormatting sqref="E7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{A7CDDBD3-5064-473A-8EC2-C7B5C6654574}</x14:id>
        </ext>
      </extLst>
    </cfRule>
  </conditionalFormatting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A648D9-7158-42EF-9521-B346F3BFD173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E2</xm:sqref>
        </x14:conditionalFormatting>
        <x14:conditionalFormatting xmlns:xm="http://schemas.microsoft.com/office/excel/2006/main">
          <x14:cfRule type="dataBar" id="{A7CDDBD3-5064-473A-8EC2-C7B5C6654574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E7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CONFIG</vt:lpstr>
      <vt:lpstr>DINAMICOS</vt:lpstr>
      <vt:lpstr>LIGACAO</vt:lpstr>
      <vt:lpstr>CLIENTES</vt:lpstr>
      <vt:lpstr>DADOS</vt:lpstr>
      <vt:lpstr>DASHBOARD 3.0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DE GINO MODA</dc:creator>
  <cp:lastModifiedBy>EDUARDO DOS SANTOS</cp:lastModifiedBy>
  <dcterms:created xsi:type="dcterms:W3CDTF">2024-11-19T19:18:42Z</dcterms:created>
  <dcterms:modified xsi:type="dcterms:W3CDTF">2026-08-19T17:36:50Z</dcterms:modified>
</cp:coreProperties>
</file>