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alter\vendas-app\"/>
    </mc:Choice>
  </mc:AlternateContent>
  <xr:revisionPtr revIDLastSave="0" documentId="13_ncr:1_{DFAF1AFA-09C9-446E-B0AC-0C77A9152914}" xr6:coauthVersionLast="47" xr6:coauthVersionMax="47" xr10:uidLastSave="{00000000-0000-0000-0000-000000000000}"/>
  <bookViews>
    <workbookView xWindow="-120" yWindow="-120" windowWidth="29040" windowHeight="15720" firstSheet="2" activeTab="4" xr2:uid="{C79A0DDE-F4C1-4F3B-B92D-4CE5BDDC5514}"/>
  </bookViews>
  <sheets>
    <sheet name="CONFIG" sheetId="2" state="hidden" r:id="rId1"/>
    <sheet name="DINAMICOS" sheetId="6" r:id="rId2"/>
    <sheet name="LIGACAO" sheetId="4" r:id="rId3"/>
    <sheet name="CLIENTES" sheetId="1" r:id="rId4"/>
    <sheet name="DADOS" sheetId="3" r:id="rId5"/>
    <sheet name="DASHBOARD 3.0" sheetId="5" r:id="rId6"/>
  </sheets>
  <definedNames>
    <definedName name="_xlnm._FilterDatabase" localSheetId="3" hidden="1">CLIENTES!$I$1:$I$186</definedName>
    <definedName name="_xlnm._FilterDatabase" localSheetId="4" hidden="1">DADOS!$A$1:$A$3550</definedName>
    <definedName name="SegmentaçãodeDados_Anos__DATA">#N/A</definedName>
    <definedName name="SegmentaçãodeDados_Meses__DATA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50" i="3" l="1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16" i="3"/>
  <c r="B49" i="3"/>
  <c r="B3526" i="3"/>
  <c r="B3525" i="3"/>
  <c r="B3524" i="3"/>
  <c r="B3523" i="3"/>
  <c r="B3522" i="3"/>
  <c r="B3521" i="3"/>
  <c r="B3520" i="3"/>
  <c r="B3519" i="3"/>
  <c r="B3518" i="3"/>
  <c r="B3517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78" i="3"/>
  <c r="B3381" i="3"/>
  <c r="B3380" i="3"/>
  <c r="B3379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48" i="3"/>
  <c r="B3355" i="3"/>
  <c r="B3354" i="3"/>
  <c r="B3353" i="3"/>
  <c r="B3352" i="3"/>
  <c r="B3351" i="3"/>
  <c r="B3350" i="3"/>
  <c r="B3349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18" i="3"/>
  <c r="B3323" i="3"/>
  <c r="B3322" i="3"/>
  <c r="B3321" i="3"/>
  <c r="B3320" i="3"/>
  <c r="B3319" i="3"/>
  <c r="B3317" i="3"/>
  <c r="B3316" i="3"/>
  <c r="B3315" i="3"/>
  <c r="B3314" i="3"/>
  <c r="B3313" i="3"/>
  <c r="B3312" i="3"/>
  <c r="B3311" i="3"/>
  <c r="B3310" i="3"/>
  <c r="B3309" i="3"/>
  <c r="B3308" i="3"/>
  <c r="B3293" i="3"/>
  <c r="B3307" i="3"/>
  <c r="B3294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2" i="3"/>
  <c r="B3021" i="3"/>
  <c r="B3025" i="3"/>
  <c r="B3024" i="3"/>
  <c r="B3023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89" i="3"/>
  <c r="B2991" i="3"/>
  <c r="B2990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 l="1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38" i="3"/>
  <c r="B2946" i="3"/>
  <c r="B2945" i="3"/>
  <c r="B2944" i="3"/>
  <c r="B2943" i="3"/>
  <c r="B2942" i="3"/>
  <c r="B2941" i="3"/>
  <c r="B2917" i="3"/>
  <c r="B2918" i="3"/>
  <c r="B2940" i="3"/>
  <c r="B2939" i="3"/>
  <c r="B2937" i="3"/>
  <c r="B2936" i="3"/>
  <c r="B2932" i="3"/>
  <c r="B2935" i="3"/>
  <c r="B2934" i="3"/>
  <c r="B2933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59" i="3"/>
  <c r="B2861" i="3"/>
  <c r="B2860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G186" i="1" l="1"/>
  <c r="H185" i="1"/>
  <c r="G185" i="1"/>
  <c r="G184" i="1"/>
  <c r="H184" i="1"/>
  <c r="H183" i="1"/>
  <c r="G183" i="1"/>
  <c r="H181" i="1"/>
  <c r="G181" i="1"/>
  <c r="G182" i="1"/>
  <c r="H182" i="1"/>
  <c r="H178" i="1"/>
  <c r="G179" i="1"/>
  <c r="H179" i="1"/>
  <c r="G180" i="1"/>
  <c r="H180" i="1"/>
  <c r="G178" i="1"/>
  <c r="H177" i="1"/>
  <c r="G177" i="1"/>
  <c r="H176" i="1"/>
  <c r="G176" i="1"/>
  <c r="H173" i="1"/>
  <c r="G172" i="1"/>
  <c r="H174" i="1"/>
  <c r="G173" i="1"/>
  <c r="H171" i="1"/>
  <c r="H175" i="1"/>
  <c r="G174" i="1"/>
  <c r="G171" i="1"/>
  <c r="G175" i="1"/>
  <c r="H172" i="1"/>
  <c r="G170" i="1"/>
  <c r="H169" i="1"/>
  <c r="H170" i="1"/>
  <c r="G169" i="1"/>
  <c r="G167" i="1"/>
  <c r="H167" i="1"/>
  <c r="G168" i="1"/>
  <c r="H166" i="1"/>
  <c r="H168" i="1"/>
  <c r="G166" i="1"/>
  <c r="H164" i="1"/>
  <c r="G164" i="1"/>
  <c r="H165" i="1"/>
  <c r="G165" i="1"/>
  <c r="H163" i="1"/>
  <c r="G163" i="1"/>
  <c r="H162" i="1"/>
  <c r="H161" i="1"/>
  <c r="G161" i="1"/>
  <c r="G162" i="1"/>
  <c r="B2" i="4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4" i="5"/>
  <c r="H159" i="1" l="1"/>
  <c r="H160" i="1"/>
  <c r="G160" i="1"/>
  <c r="G159" i="1"/>
  <c r="G157" i="1"/>
  <c r="G158" i="1"/>
  <c r="H158" i="1"/>
  <c r="H157" i="1"/>
  <c r="H156" i="1"/>
  <c r="G156" i="1"/>
  <c r="H155" i="1"/>
  <c r="G155" i="1"/>
  <c r="G153" i="1"/>
  <c r="H153" i="1"/>
  <c r="H154" i="1"/>
  <c r="G154" i="1"/>
  <c r="H152" i="1"/>
  <c r="G151" i="1"/>
  <c r="G152" i="1"/>
  <c r="H151" i="1"/>
  <c r="H149" i="1"/>
  <c r="G149" i="1"/>
  <c r="H150" i="1"/>
  <c r="G150" i="1"/>
  <c r="H148" i="1"/>
  <c r="H147" i="1"/>
  <c r="G147" i="1"/>
  <c r="G148" i="1"/>
  <c r="G146" i="1"/>
  <c r="H146" i="1"/>
  <c r="G136" i="1"/>
  <c r="H136" i="1"/>
  <c r="G145" i="1"/>
  <c r="G144" i="1"/>
  <c r="H145" i="1"/>
  <c r="H144" i="1"/>
  <c r="G143" i="1"/>
  <c r="G142" i="1"/>
  <c r="H143" i="1"/>
  <c r="G141" i="1"/>
  <c r="H142" i="1"/>
  <c r="H140" i="1"/>
  <c r="G140" i="1"/>
  <c r="H141" i="1"/>
  <c r="H139" i="1"/>
  <c r="G139" i="1"/>
  <c r="H138" i="1"/>
  <c r="G138" i="1"/>
  <c r="H137" i="1"/>
  <c r="G137" i="1"/>
  <c r="G135" i="1"/>
  <c r="H135" i="1"/>
  <c r="H134" i="1"/>
  <c r="G134" i="1"/>
  <c r="H133" i="1"/>
  <c r="G133" i="1"/>
  <c r="H132" i="1"/>
  <c r="G132" i="1"/>
  <c r="G131" i="1"/>
  <c r="H131" i="1"/>
  <c r="H130" i="1"/>
  <c r="G130" i="1"/>
  <c r="G129" i="1"/>
  <c r="H129" i="1"/>
  <c r="H128" i="1"/>
  <c r="G128" i="1"/>
  <c r="H127" i="1"/>
  <c r="G127" i="1"/>
  <c r="H126" i="1"/>
  <c r="G126" i="1"/>
  <c r="H125" i="1"/>
  <c r="G125" i="1"/>
  <c r="G124" i="1"/>
  <c r="H124" i="1"/>
  <c r="H123" i="1"/>
  <c r="G123" i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5" i="5"/>
  <c r="H4" i="5"/>
  <c r="F1" i="6"/>
  <c r="H1" i="6"/>
  <c r="D1" i="6"/>
  <c r="B13" i="5" l="1"/>
  <c r="B16" i="5"/>
  <c r="B10" i="5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B1" i="6"/>
  <c r="B7" i="5" l="1"/>
  <c r="H2" i="1"/>
  <c r="G120" i="1"/>
  <c r="G117" i="1"/>
  <c r="G113" i="1"/>
  <c r="G108" i="1"/>
  <c r="G105" i="1"/>
  <c r="G101" i="1"/>
  <c r="G93" i="1"/>
  <c r="G90" i="1"/>
  <c r="G87" i="1"/>
  <c r="G80" i="1"/>
  <c r="G76" i="1"/>
  <c r="G74" i="1"/>
  <c r="G70" i="1"/>
  <c r="G63" i="1"/>
  <c r="G59" i="1"/>
  <c r="G53" i="1"/>
  <c r="G49" i="1"/>
  <c r="G44" i="1"/>
  <c r="G40" i="1"/>
  <c r="G36" i="1"/>
  <c r="G32" i="1"/>
  <c r="G28" i="1"/>
  <c r="G21" i="1"/>
  <c r="G14" i="1"/>
  <c r="G10" i="1"/>
  <c r="G6" i="1"/>
  <c r="G2" i="1"/>
  <c r="H116" i="1"/>
  <c r="H110" i="1"/>
  <c r="H107" i="1"/>
  <c r="H104" i="1"/>
  <c r="H99" i="1"/>
  <c r="H96" i="1"/>
  <c r="H92" i="1"/>
  <c r="H86" i="1"/>
  <c r="H83" i="1"/>
  <c r="H79" i="1"/>
  <c r="H73" i="1"/>
  <c r="H69" i="1"/>
  <c r="H66" i="1"/>
  <c r="H62" i="1"/>
  <c r="H58" i="1"/>
  <c r="H55" i="1"/>
  <c r="H52" i="1"/>
  <c r="H48" i="1"/>
  <c r="H45" i="1"/>
  <c r="H43" i="1"/>
  <c r="H39" i="1"/>
  <c r="H35" i="1"/>
  <c r="H31" i="1"/>
  <c r="H27" i="1"/>
  <c r="H24" i="1"/>
  <c r="H18" i="1"/>
  <c r="H13" i="1"/>
  <c r="H9" i="1"/>
  <c r="H5" i="1"/>
  <c r="G111" i="1"/>
  <c r="G116" i="1"/>
  <c r="G110" i="1"/>
  <c r="G107" i="1"/>
  <c r="G104" i="1"/>
  <c r="G99" i="1"/>
  <c r="G96" i="1"/>
  <c r="G92" i="1"/>
  <c r="G86" i="1"/>
  <c r="G83" i="1"/>
  <c r="G79" i="1"/>
  <c r="G73" i="1"/>
  <c r="G69" i="1"/>
  <c r="G66" i="1"/>
  <c r="G62" i="1"/>
  <c r="G58" i="1"/>
  <c r="G55" i="1"/>
  <c r="G52" i="1"/>
  <c r="G48" i="1"/>
  <c r="G45" i="1"/>
  <c r="G43" i="1"/>
  <c r="G39" i="1"/>
  <c r="G35" i="1"/>
  <c r="G31" i="1"/>
  <c r="G27" i="1"/>
  <c r="G24" i="1"/>
  <c r="G18" i="1"/>
  <c r="G13" i="1"/>
  <c r="G9" i="1"/>
  <c r="G5" i="1"/>
  <c r="H122" i="1"/>
  <c r="H119" i="1"/>
  <c r="H115" i="1"/>
  <c r="H103" i="1"/>
  <c r="H98" i="1"/>
  <c r="H95" i="1"/>
  <c r="H89" i="1"/>
  <c r="H85" i="1"/>
  <c r="H82" i="1"/>
  <c r="H78" i="1"/>
  <c r="H75" i="1"/>
  <c r="H72" i="1"/>
  <c r="H68" i="1"/>
  <c r="H65" i="1"/>
  <c r="H61" i="1"/>
  <c r="H57" i="1"/>
  <c r="H54" i="1"/>
  <c r="H51" i="1"/>
  <c r="H47" i="1"/>
  <c r="H42" i="1"/>
  <c r="H38" i="1"/>
  <c r="H34" i="1"/>
  <c r="H30" i="1"/>
  <c r="H26" i="1"/>
  <c r="H23" i="1"/>
  <c r="H20" i="1"/>
  <c r="H17" i="1"/>
  <c r="H15" i="1"/>
  <c r="H12" i="1"/>
  <c r="H8" i="1"/>
  <c r="H4" i="1"/>
  <c r="G122" i="1"/>
  <c r="G119" i="1"/>
  <c r="G115" i="1"/>
  <c r="G103" i="1"/>
  <c r="G98" i="1"/>
  <c r="G95" i="1"/>
  <c r="G89" i="1"/>
  <c r="G85" i="1"/>
  <c r="G82" i="1"/>
  <c r="G78" i="1"/>
  <c r="G75" i="1"/>
  <c r="G72" i="1"/>
  <c r="G68" i="1"/>
  <c r="G65" i="1"/>
  <c r="G61" i="1"/>
  <c r="G57" i="1"/>
  <c r="G54" i="1"/>
  <c r="G51" i="1"/>
  <c r="G47" i="1"/>
  <c r="G42" i="1"/>
  <c r="G38" i="1"/>
  <c r="G34" i="1"/>
  <c r="G30" i="1"/>
  <c r="G26" i="1"/>
  <c r="G23" i="1"/>
  <c r="G20" i="1"/>
  <c r="G17" i="1"/>
  <c r="G15" i="1"/>
  <c r="G12" i="1"/>
  <c r="G8" i="1"/>
  <c r="G4" i="1"/>
  <c r="H121" i="1"/>
  <c r="H118" i="1"/>
  <c r="H114" i="1"/>
  <c r="H112" i="1"/>
  <c r="H109" i="1"/>
  <c r="H106" i="1"/>
  <c r="H102" i="1"/>
  <c r="H100" i="1"/>
  <c r="H97" i="1"/>
  <c r="H94" i="1"/>
  <c r="H91" i="1"/>
  <c r="H88" i="1"/>
  <c r="H84" i="1"/>
  <c r="H81" i="1"/>
  <c r="H77" i="1"/>
  <c r="H71" i="1"/>
  <c r="H67" i="1"/>
  <c r="H64" i="1"/>
  <c r="H60" i="1"/>
  <c r="H56" i="1"/>
  <c r="H50" i="1"/>
  <c r="H46" i="1"/>
  <c r="H41" i="1"/>
  <c r="H37" i="1"/>
  <c r="H33" i="1"/>
  <c r="H29" i="1"/>
  <c r="H25" i="1"/>
  <c r="H22" i="1"/>
  <c r="H19" i="1"/>
  <c r="H16" i="1"/>
  <c r="H11" i="1"/>
  <c r="H7" i="1"/>
  <c r="H3" i="1"/>
  <c r="G121" i="1"/>
  <c r="G118" i="1"/>
  <c r="G114" i="1"/>
  <c r="G112" i="1"/>
  <c r="G109" i="1"/>
  <c r="G106" i="1"/>
  <c r="G102" i="1"/>
  <c r="G100" i="1"/>
  <c r="G97" i="1"/>
  <c r="G94" i="1"/>
  <c r="G91" i="1"/>
  <c r="G88" i="1"/>
  <c r="G84" i="1"/>
  <c r="G81" i="1"/>
  <c r="G77" i="1"/>
  <c r="G71" i="1"/>
  <c r="G67" i="1"/>
  <c r="G64" i="1"/>
  <c r="G60" i="1"/>
  <c r="G56" i="1"/>
  <c r="G50" i="1"/>
  <c r="G46" i="1"/>
  <c r="G41" i="1"/>
  <c r="G37" i="1"/>
  <c r="G33" i="1"/>
  <c r="G29" i="1"/>
  <c r="G25" i="1"/>
  <c r="G22" i="1"/>
  <c r="G19" i="1"/>
  <c r="G16" i="1"/>
  <c r="G11" i="1"/>
  <c r="G7" i="1"/>
  <c r="G3" i="1"/>
  <c r="H120" i="1"/>
  <c r="H117" i="1"/>
  <c r="H113" i="1"/>
  <c r="H111" i="1"/>
  <c r="H108" i="1"/>
  <c r="H105" i="1"/>
  <c r="H101" i="1"/>
  <c r="H93" i="1"/>
  <c r="H90" i="1"/>
  <c r="H87" i="1"/>
  <c r="H80" i="1"/>
  <c r="H76" i="1"/>
  <c r="H74" i="1"/>
  <c r="H70" i="1"/>
  <c r="H63" i="1"/>
  <c r="H59" i="1"/>
  <c r="H53" i="1"/>
  <c r="H49" i="1"/>
  <c r="H44" i="1"/>
  <c r="H40" i="1"/>
  <c r="H36" i="1"/>
  <c r="H32" i="1"/>
  <c r="H28" i="1"/>
  <c r="H21" i="1"/>
  <c r="H14" i="1"/>
  <c r="H10" i="1"/>
  <c r="H6" i="1"/>
  <c r="B2" i="5" l="1"/>
  <c r="L13" i="5" s="1"/>
  <c r="E1" i="2"/>
  <c r="I183" i="1" l="1"/>
  <c r="I185" i="1"/>
  <c r="I181" i="1"/>
  <c r="I182" i="1"/>
  <c r="I177" i="1"/>
  <c r="I178" i="1"/>
  <c r="I179" i="1"/>
  <c r="I180" i="1"/>
  <c r="I176" i="1"/>
  <c r="I172" i="1"/>
  <c r="I171" i="1"/>
  <c r="I173" i="1"/>
  <c r="I174" i="1"/>
  <c r="I175" i="1"/>
  <c r="I169" i="1"/>
  <c r="I170" i="1"/>
  <c r="I165" i="1"/>
  <c r="I166" i="1"/>
  <c r="I167" i="1"/>
  <c r="I168" i="1"/>
  <c r="I163" i="1"/>
  <c r="I164" i="1"/>
  <c r="I161" i="1"/>
  <c r="I162" i="1"/>
  <c r="I159" i="1"/>
  <c r="I160" i="1"/>
  <c r="L4" i="5"/>
  <c r="L20" i="5"/>
  <c r="L21" i="5"/>
  <c r="L10" i="5"/>
  <c r="L17" i="5"/>
  <c r="L9" i="5"/>
  <c r="L15" i="5"/>
  <c r="L7" i="5"/>
  <c r="L18" i="5"/>
  <c r="L22" i="5"/>
  <c r="E7" i="5"/>
  <c r="L23" i="5"/>
  <c r="L19" i="5"/>
  <c r="L12" i="5"/>
  <c r="L8" i="5"/>
  <c r="L5" i="5"/>
  <c r="L16" i="5"/>
  <c r="L6" i="5"/>
  <c r="L11" i="5"/>
  <c r="E2" i="5"/>
  <c r="L14" i="5"/>
  <c r="I156" i="1"/>
  <c r="I157" i="1"/>
  <c r="I158" i="1"/>
  <c r="I155" i="1"/>
  <c r="I153" i="1"/>
  <c r="I154" i="1"/>
  <c r="I151" i="1"/>
  <c r="I152" i="1"/>
  <c r="I149" i="1"/>
  <c r="I150" i="1"/>
  <c r="I146" i="1"/>
  <c r="I147" i="1"/>
  <c r="I148" i="1"/>
  <c r="I136" i="1"/>
  <c r="I144" i="1"/>
  <c r="I145" i="1"/>
  <c r="I142" i="1"/>
  <c r="I143" i="1"/>
  <c r="I140" i="1"/>
  <c r="I141" i="1"/>
  <c r="I139" i="1"/>
  <c r="I138" i="1"/>
  <c r="I137" i="1"/>
  <c r="I135" i="1"/>
  <c r="I134" i="1"/>
  <c r="I133" i="1"/>
  <c r="I131" i="1"/>
  <c r="I132" i="1"/>
  <c r="I130" i="1"/>
  <c r="I129" i="1"/>
  <c r="I128" i="1"/>
  <c r="I126" i="1"/>
  <c r="I127" i="1"/>
  <c r="I124" i="1"/>
  <c r="I125" i="1"/>
  <c r="I123" i="1"/>
  <c r="I2" i="1"/>
  <c r="I6" i="1"/>
  <c r="I10" i="1"/>
  <c r="I14" i="1"/>
  <c r="I21" i="1"/>
  <c r="I28" i="1"/>
  <c r="I32" i="1"/>
  <c r="I36" i="1"/>
  <c r="I40" i="1"/>
  <c r="I44" i="1"/>
  <c r="I49" i="1"/>
  <c r="I53" i="1"/>
  <c r="I59" i="1"/>
  <c r="I63" i="1"/>
  <c r="I70" i="1"/>
  <c r="I74" i="1"/>
  <c r="I76" i="1"/>
  <c r="I80" i="1"/>
  <c r="I87" i="1"/>
  <c r="I90" i="1"/>
  <c r="I93" i="1"/>
  <c r="I101" i="1"/>
  <c r="I105" i="1"/>
  <c r="I108" i="1"/>
  <c r="I111" i="1"/>
  <c r="I113" i="1"/>
  <c r="I117" i="1"/>
  <c r="I120" i="1"/>
  <c r="I4" i="1"/>
  <c r="I23" i="1"/>
  <c r="I34" i="1"/>
  <c r="I42" i="1"/>
  <c r="I47" i="1"/>
  <c r="I54" i="1"/>
  <c r="I61" i="1"/>
  <c r="I68" i="1"/>
  <c r="I78" i="1"/>
  <c r="I85" i="1"/>
  <c r="I98" i="1"/>
  <c r="I103" i="1"/>
  <c r="I115" i="1"/>
  <c r="I5" i="1"/>
  <c r="I13" i="1"/>
  <c r="I18" i="1"/>
  <c r="I24" i="1"/>
  <c r="I31" i="1"/>
  <c r="I39" i="1"/>
  <c r="I45" i="1"/>
  <c r="I52" i="1"/>
  <c r="I58" i="1"/>
  <c r="I66" i="1"/>
  <c r="I73" i="1"/>
  <c r="I79" i="1"/>
  <c r="I86" i="1"/>
  <c r="I92" i="1"/>
  <c r="I110" i="1"/>
  <c r="I116" i="1"/>
  <c r="I3" i="1"/>
  <c r="I7" i="1"/>
  <c r="I11" i="1"/>
  <c r="I16" i="1"/>
  <c r="I19" i="1"/>
  <c r="I22" i="1"/>
  <c r="I25" i="1"/>
  <c r="I29" i="1"/>
  <c r="I33" i="1"/>
  <c r="I37" i="1"/>
  <c r="I41" i="1"/>
  <c r="I46" i="1"/>
  <c r="I50" i="1"/>
  <c r="I56" i="1"/>
  <c r="I60" i="1"/>
  <c r="I64" i="1"/>
  <c r="I67" i="1"/>
  <c r="I71" i="1"/>
  <c r="I77" i="1"/>
  <c r="I81" i="1"/>
  <c r="I84" i="1"/>
  <c r="I88" i="1"/>
  <c r="I91" i="1"/>
  <c r="I94" i="1"/>
  <c r="I97" i="1"/>
  <c r="I100" i="1"/>
  <c r="I102" i="1"/>
  <c r="I106" i="1"/>
  <c r="I109" i="1"/>
  <c r="I112" i="1"/>
  <c r="I114" i="1"/>
  <c r="I118" i="1"/>
  <c r="I121" i="1"/>
  <c r="I8" i="1"/>
  <c r="I12" i="1"/>
  <c r="I15" i="1"/>
  <c r="I17" i="1"/>
  <c r="I20" i="1"/>
  <c r="I26" i="1"/>
  <c r="I30" i="1"/>
  <c r="I38" i="1"/>
  <c r="I51" i="1"/>
  <c r="I57" i="1"/>
  <c r="I65" i="1"/>
  <c r="I72" i="1"/>
  <c r="I75" i="1"/>
  <c r="I82" i="1"/>
  <c r="I89" i="1"/>
  <c r="I95" i="1"/>
  <c r="I119" i="1"/>
  <c r="I122" i="1"/>
  <c r="I9" i="1"/>
  <c r="I27" i="1"/>
  <c r="I35" i="1"/>
  <c r="I43" i="1"/>
  <c r="I48" i="1"/>
  <c r="I55" i="1"/>
  <c r="I62" i="1"/>
  <c r="I69" i="1"/>
  <c r="I83" i="1"/>
  <c r="I96" i="1"/>
  <c r="I99" i="1"/>
  <c r="I104" i="1"/>
  <c r="I107" i="1"/>
  <c r="L24" i="5" l="1"/>
</calcChain>
</file>

<file path=xl/sharedStrings.xml><?xml version="1.0" encoding="utf-8"?>
<sst xmlns="http://schemas.openxmlformats.org/spreadsheetml/2006/main" count="4935" uniqueCount="1146">
  <si>
    <t>SKU</t>
  </si>
  <si>
    <t>NOME</t>
  </si>
  <si>
    <t>EMAIL</t>
  </si>
  <si>
    <t>WHATS</t>
  </si>
  <si>
    <t>CIDADE</t>
  </si>
  <si>
    <t>PRIMEIRA COMPRA</t>
  </si>
  <si>
    <t>ULTIMA COMPRA</t>
  </si>
  <si>
    <t>CAMPINAS</t>
  </si>
  <si>
    <t>HOSPITAL BENEFICENTE SAO JOSE</t>
  </si>
  <si>
    <t>hospitalbsaojose@hotmail.com</t>
  </si>
  <si>
    <t>HERCULANDIA</t>
  </si>
  <si>
    <t>LAB.ANAL.CLIN.DE ITAPETININGA</t>
  </si>
  <si>
    <t>acaruj@globo.com</t>
  </si>
  <si>
    <t>ITAPETININGA</t>
  </si>
  <si>
    <t>CENTRO DE ANAL.CLIN. UNILAB  SC LTDA.</t>
  </si>
  <si>
    <t>marcia@laboratoriounilab.com.br</t>
  </si>
  <si>
    <t>PRESIDENTE PRUDENTE</t>
  </si>
  <si>
    <t>EXAME-LABORAT. DE ANAL. CLIN. CITODIAGNOSTICO S/S LTDA</t>
  </si>
  <si>
    <t>luizernesto@laboratorioexame.com</t>
  </si>
  <si>
    <t>LABORATORIO VIDA  S/S LTDA</t>
  </si>
  <si>
    <t>laboratorio.vida@yahoo.com.br</t>
  </si>
  <si>
    <t>PEDERNEIRAS</t>
  </si>
  <si>
    <t>VITALIS LAB.ANAL.CLIN.S/C LTDA</t>
  </si>
  <si>
    <t>vitalisitatinga@hotmail.com</t>
  </si>
  <si>
    <t>ITATINGA</t>
  </si>
  <si>
    <t>SANTA CASA DE CARIDADE DE GUARANESIA</t>
  </si>
  <si>
    <t>lucia.avelino@yahoo.com.br</t>
  </si>
  <si>
    <t>GUARANESIA</t>
  </si>
  <si>
    <t>LAB.ANAL.CLIN.SAO MANUEL SC LTDA.</t>
  </si>
  <si>
    <t>lab.sm@bol.com.br</t>
  </si>
  <si>
    <t>SAO MANUEL</t>
  </si>
  <si>
    <t>LABORATORIO PASTEUR HEMATOLOGIA E MICROBIOLOGIA S/S LTDA</t>
  </si>
  <si>
    <t>laboratorio.pasteur@terra.com.br</t>
  </si>
  <si>
    <t>SÃO CARLOS</t>
  </si>
  <si>
    <t>MASUDA &amp; MASUDA LABORATORIO CLINICO LTDA</t>
  </si>
  <si>
    <t>ltlabanalisesclinicas_pb@hotmail.com</t>
  </si>
  <si>
    <t>PEREIRA BARRETO</t>
  </si>
  <si>
    <t>LABORATI LAB. ANAL. CLIN. TIETE S/C LTDA.</t>
  </si>
  <si>
    <t>contato@laboratoriolaborati.com.br</t>
  </si>
  <si>
    <t>TIETE</t>
  </si>
  <si>
    <t>LABORATORIO DE ANALISES CLINICAS SRC LTDA</t>
  </si>
  <si>
    <t>faturamento.laboratoriosrc@gmail.com</t>
  </si>
  <si>
    <t>CATANDUVA</t>
  </si>
  <si>
    <t>LAB SAO LUCAS</t>
  </si>
  <si>
    <t>labsaolucas229@gmail.com</t>
  </si>
  <si>
    <t>TABATINGA</t>
  </si>
  <si>
    <t>TECNOLAB PATOLOGIA CLINICA S/C LTDA</t>
  </si>
  <si>
    <t>juliana.morais@tecnolabnet.com.br</t>
  </si>
  <si>
    <t>BAURU</t>
  </si>
  <si>
    <t>MOGI-MIRIM</t>
  </si>
  <si>
    <t>LABORATORIO MULTIANALISES LTDA-ME</t>
  </si>
  <si>
    <t>multianaliseslaboratorio1@hotmail.com</t>
  </si>
  <si>
    <t>ITAPOLIS</t>
  </si>
  <si>
    <t>DR MUNHOZ HOSPITAL VETERINARIO E PET SHOP</t>
  </si>
  <si>
    <t>adrianacavicchioli@yahoo.com.br</t>
  </si>
  <si>
    <t>CLINILAB LABORAT. ANAL. CLIN SC LTDA</t>
  </si>
  <si>
    <t>clinilab_ibi@hotmail.com</t>
  </si>
  <si>
    <t>IBITINGA</t>
  </si>
  <si>
    <t>LAB. ANAL. CLIN. POMPEIA</t>
  </si>
  <si>
    <t>lacpompeia@hotmail.com</t>
  </si>
  <si>
    <t>POMPEIA</t>
  </si>
  <si>
    <t>LAB.SAO PAULO DE ANAL.CLIN.SC LTDA.</t>
  </si>
  <si>
    <t>laboratoriosaopaulo@hotmail.com</t>
  </si>
  <si>
    <t>PIRAJU</t>
  </si>
  <si>
    <t>LAB. MEDICO GUIMARAES</t>
  </si>
  <si>
    <t>naylakrol@hotmail.com</t>
  </si>
  <si>
    <t>TUPA</t>
  </si>
  <si>
    <t>INSTITUTO DE HEMATOLOGIA SC LTDA.</t>
  </si>
  <si>
    <t>ihfsetortecnico@hotmail.com</t>
  </si>
  <si>
    <t>FERNANDOPOLIS</t>
  </si>
  <si>
    <t>LAB ANAL CLIN VENDRAMINI S/S LTDA</t>
  </si>
  <si>
    <t>diretoria@labvendramini.com.br</t>
  </si>
  <si>
    <t>JOSE BONIFACIO</t>
  </si>
  <si>
    <t>SAO ROQUE MEDICINA DIAGNOSTICA LTDA EPP</t>
  </si>
  <si>
    <t>compras@medsaoroque.com.br</t>
  </si>
  <si>
    <t>JALES</t>
  </si>
  <si>
    <t>LAB. ONUMA E BASILIO S/C LTDA</t>
  </si>
  <si>
    <t>labsantacatarina@hotmail.com</t>
  </si>
  <si>
    <t>PALMEIRA D OESTE</t>
  </si>
  <si>
    <t>JOAO JOSE SCHIAVUZZO ME</t>
  </si>
  <si>
    <t>laboratoriotrianalise@hotmail.com</t>
  </si>
  <si>
    <t>IMEDI INST.MEDICO DE PAT.E DIAGNOSTICO SC LTDA.</t>
  </si>
  <si>
    <t>imedi@email.com</t>
  </si>
  <si>
    <t>SAO JOSE DO RIO PRETO</t>
  </si>
  <si>
    <t>LAB. ANAL. CLIN. DRA SILVIA M.MANZATO LARANJO SC LTDA.</t>
  </si>
  <si>
    <t>labdrasilvialaranjo@gmail.com</t>
  </si>
  <si>
    <t>SANTA FE DO SUL</t>
  </si>
  <si>
    <t>LAB. ANAL. CLIN. DR. ALUISIO CASELLA</t>
  </si>
  <si>
    <t>laboratorio_casella@yahoo.com.br</t>
  </si>
  <si>
    <t>UNILAB LABORATORIO ANALISES CLINICAS SANTA FE DO SUL LTDA</t>
  </si>
  <si>
    <t>unilab.stafe@hotmail.com</t>
  </si>
  <si>
    <t>LAB. ANAL. CLIN. DR. HELIO NAKABASHI SC LTDA</t>
  </si>
  <si>
    <t>labhelionakabashi@gmail.com</t>
  </si>
  <si>
    <t>VOTUPORANGA</t>
  </si>
  <si>
    <t>LAB.ANAL.CLIN.BIOCLIN SC LTDA.</t>
  </si>
  <si>
    <t>bioclinlab@outlook.com</t>
  </si>
  <si>
    <t>ANDRADINA</t>
  </si>
  <si>
    <t>LAB.TRIANON DE ANAL.CLIN.SC LTDA.</t>
  </si>
  <si>
    <t>triatox@triatox.com.br</t>
  </si>
  <si>
    <t>ARACATUBA</t>
  </si>
  <si>
    <t>EXAME CENTRO DIAG.M.ARACATUBA SC LTDA.</t>
  </si>
  <si>
    <t>carolina.manzano@outlook.com</t>
  </si>
  <si>
    <t>STA. CASA MISERICORDIA DE ARACATUBA</t>
  </si>
  <si>
    <t>stacpra@terra.com.br</t>
  </si>
  <si>
    <t>MEGARON LABORATORIO ANAL.CLIN.SC LTDA.</t>
  </si>
  <si>
    <t>megaronlaboratorio@hotmail.com</t>
  </si>
  <si>
    <t>BURITAMA</t>
  </si>
  <si>
    <t>LAB.ANAL.CLIN. ALBERT SABIN SC LTDA.</t>
  </si>
  <si>
    <t>marilia.sabin@gmail.com</t>
  </si>
  <si>
    <t>BIRIGUI</t>
  </si>
  <si>
    <t>SAO LUCAS LABORATORIO ANAL. CLIN. S/C LTDA</t>
  </si>
  <si>
    <t>saolucas.laboratorio@gmail.com</t>
  </si>
  <si>
    <t>laboratoriodrlauro@gmail.com</t>
  </si>
  <si>
    <t>ASSOCIACAO DE ENSINO E CULTURA DE MATO GROSSO</t>
  </si>
  <si>
    <t>almoxarifado@unilago.edu.br</t>
  </si>
  <si>
    <t>TRES LAGOAS</t>
  </si>
  <si>
    <t>LAB.ANAL.CLIN ABI JAUDI SC LTDA.</t>
  </si>
  <si>
    <t>pabijaudi@gmail.com</t>
  </si>
  <si>
    <t>AMERICO BRASILIENSE</t>
  </si>
  <si>
    <t>MEDCLINICA MORATENSE SC LTDA ME</t>
  </si>
  <si>
    <t>medclinicamoratense@hotmail.com</t>
  </si>
  <si>
    <t>FRANCISCO MORATO</t>
  </si>
  <si>
    <t>LAB AN CLIN DR NESTOR FERRAREZZI FILHO  SC LTDA</t>
  </si>
  <si>
    <t>labnestor@hotmail.com</t>
  </si>
  <si>
    <t>SEVERINIA</t>
  </si>
  <si>
    <t>LABORATORIO ANAL. CLIN. DESCALVADO LTDA</t>
  </si>
  <si>
    <t>labdescalvado@gmail.com</t>
  </si>
  <si>
    <t>DESCALVADO</t>
  </si>
  <si>
    <t>LUIS VALERIO FILHO-ME</t>
  </si>
  <si>
    <t>patricia.azuaga@gmail.com</t>
  </si>
  <si>
    <t>MARAPOAMA</t>
  </si>
  <si>
    <t>LAB. GUARARAPES  ANAL. CLIN. SC LTDA</t>
  </si>
  <si>
    <t>laboratorioguararapes@gmail.com</t>
  </si>
  <si>
    <t>GUARARAPES</t>
  </si>
  <si>
    <t>LAB.ANAL.CLIN. SAO LUCAS SC LTDA.</t>
  </si>
  <si>
    <t>labolucas@gmail.com</t>
  </si>
  <si>
    <t>MIRANDOPOLIS</t>
  </si>
  <si>
    <t>LABSC SERVICOS LABORATORIAIS LTDA</t>
  </si>
  <si>
    <t>cfabriciof@hotmail.com</t>
  </si>
  <si>
    <t>SANTA ADELIA</t>
  </si>
  <si>
    <t>EDSON VANDERLEI CARRERA</t>
  </si>
  <si>
    <t>edson.carrera@hotmail.com</t>
  </si>
  <si>
    <t>SANTA CRUZ DA CONCEICAO</t>
  </si>
  <si>
    <t>LAB. ANAL. CLIN. DR ARNALDO BUAINAIN SS LTDA</t>
  </si>
  <si>
    <t>lab.buainain@uol.com.br</t>
  </si>
  <si>
    <t>ARARAQUARA</t>
  </si>
  <si>
    <t>FUNDEPAG</t>
  </si>
  <si>
    <t>ceav.biologico@gmail.com</t>
  </si>
  <si>
    <t>SAO PAULO</t>
  </si>
  <si>
    <t>FUNDACAO DE DESENVOLVIMENTO DA PESQUISA</t>
  </si>
  <si>
    <t>samuelsilva@fundep.com.br</t>
  </si>
  <si>
    <t>BELO HORIZONTE</t>
  </si>
  <si>
    <t>LAB. ANAL. CLIN. SAO LOURENCO S/C LTDA</t>
  </si>
  <si>
    <t>luizantonio_ciocca@hotmail.com</t>
  </si>
  <si>
    <t>URUPES</t>
  </si>
  <si>
    <t>LABORATORIO RIO NEGRO CENTER DE MARILIA  LTDA</t>
  </si>
  <si>
    <t>biolabormarilia@hotmail.com</t>
  </si>
  <si>
    <t>MARILIA</t>
  </si>
  <si>
    <t>MONICA VIEIRA DE CAMPOS REBELO-ME</t>
  </si>
  <si>
    <t>laboratoriosaobento@hotmail.com</t>
  </si>
  <si>
    <t>CONCHAS</t>
  </si>
  <si>
    <t>LABORATORIO DE ANALISES CLINICAS VITAL  BRAZIL LTDA EPP</t>
  </si>
  <si>
    <t>compras@lvb.com.br</t>
  </si>
  <si>
    <t>MICHELE LOPES BERGAMIM-ME</t>
  </si>
  <si>
    <t>biomedimiberga@hotmail.com</t>
  </si>
  <si>
    <t>IBIRA</t>
  </si>
  <si>
    <t>CEDIMA  CENTRO DE DIAG MONTE AZUL ANAL CLIN E CIT</t>
  </si>
  <si>
    <t>laboratorio.cedima@bol.com.br</t>
  </si>
  <si>
    <t>MONTE AZUL PAULISTA</t>
  </si>
  <si>
    <t>ASSOC.CASA DE SAUDE BEN. DE INDIAPORA</t>
  </si>
  <si>
    <t>laboratorioacsbi@gmail.com.br</t>
  </si>
  <si>
    <t>INDIAPORA</t>
  </si>
  <si>
    <t>LABORATORIO BIOANALISE DIAGNOSTICO LTDA</t>
  </si>
  <si>
    <t>qualidadebioanalise@gmail.com</t>
  </si>
  <si>
    <t>MATAO</t>
  </si>
  <si>
    <t>CISCRE IMPORTACAO E DISTRIBUICAO DE PRODUTOS MEDICOS LTDA</t>
  </si>
  <si>
    <t>fabiana@ciscre.com.br</t>
  </si>
  <si>
    <t>NOVO HORIZONTE LAB.ANAL.CLIN.S/C LTDA.</t>
  </si>
  <si>
    <t>everaldojoselazari@gmail.com</t>
  </si>
  <si>
    <t>NOVO HORIZONTE</t>
  </si>
  <si>
    <t>LAB.ANAL.CLIN. E REP. BADY BASSIT LTDA</t>
  </si>
  <si>
    <t>labbady@terra.com.br</t>
  </si>
  <si>
    <t>BADY BASSITT</t>
  </si>
  <si>
    <t>LAB. SANTA CLARA ANAL.CLIN.</t>
  </si>
  <si>
    <t>lab.santaclara@terra.com.br</t>
  </si>
  <si>
    <t>IRMANDADE DA SANTA CASA DE MISERIC. DE MOGI MIRIM</t>
  </si>
  <si>
    <t>francisco.rangel@santacasamogi.com.br</t>
  </si>
  <si>
    <t>A.C. BARBOSA S/C LTDA.</t>
  </si>
  <si>
    <t>laboratorioacbarbosa@hotmail.com</t>
  </si>
  <si>
    <t>PAULO DE FARIA</t>
  </si>
  <si>
    <t>ZANATA &amp; REIS LABORCLINICA LTDA</t>
  </si>
  <si>
    <t>fumagallioliveiralab@gmail.com</t>
  </si>
  <si>
    <t>CACONDE</t>
  </si>
  <si>
    <t>LABORATORIO DE ANALISES CLINICAS SENTOME LTDA-ME</t>
  </si>
  <si>
    <t>laboratoriosentome@hotmail.com</t>
  </si>
  <si>
    <t>BROTAS</t>
  </si>
  <si>
    <t>BIOMED LAB.ANAL.CLIN. SC  LTDA</t>
  </si>
  <si>
    <t>hpstanzani@hotmail.com</t>
  </si>
  <si>
    <t>LABORATORIO UNILABVET EIRELI</t>
  </si>
  <si>
    <t>orcamentosunilabvet@gmail.com</t>
  </si>
  <si>
    <t>AMERICANA</t>
  </si>
  <si>
    <t>A.C. CORREA DE OLIVEIRA LABORATORIO CLÍNICO</t>
  </si>
  <si>
    <t>anacarolina_biomedlab@hotmail.com</t>
  </si>
  <si>
    <t>LABORATORIO POPULAR LAB 7 LTDA</t>
  </si>
  <si>
    <t>pedromneto@uol.com.br</t>
  </si>
  <si>
    <t>SAO FRANCISCO ANAL. CLIN.</t>
  </si>
  <si>
    <t>lab.saofrancisco@uol.com.br</t>
  </si>
  <si>
    <t>LAB. MEDICO DR. MARICONDI S/C LTDA.</t>
  </si>
  <si>
    <t>anaamelia@labmaricondi.com.br</t>
  </si>
  <si>
    <t>SAO CARLOS</t>
  </si>
  <si>
    <t>BIO-LAB SAO JUDAS TADEU S/C LTDA - ME</t>
  </si>
  <si>
    <t>biolabsjt@gmail.com</t>
  </si>
  <si>
    <t>BOCAINA</t>
  </si>
  <si>
    <t>LABORATORIO BIONALISES S.S. LTDA</t>
  </si>
  <si>
    <t>marciopaschuini@bioanalisems.com.br</t>
  </si>
  <si>
    <t>FUNDACAO EDUCACIONAL DE ANDRADINA-FEA</t>
  </si>
  <si>
    <t>fundacaofea@gmail.com</t>
  </si>
  <si>
    <t>LAB ANAL CLINICAS SANTA RITA S/C LTDA</t>
  </si>
  <si>
    <t>laboratorio_santa_rita@hotmail.com</t>
  </si>
  <si>
    <t>VISTA ALEGRE DO ALTO</t>
  </si>
  <si>
    <t>ROSSETTO E BARROS LABORATORIO DE ANALISES CLINICAS LTDA</t>
  </si>
  <si>
    <t>biomedlp@uol.com.br</t>
  </si>
  <si>
    <t>LENCOIS PAULISTA</t>
  </si>
  <si>
    <t>LAB. ANAL. CLIN. COFFERS S/C LTDA</t>
  </si>
  <si>
    <t>marcelocoffers@bol.com.br</t>
  </si>
  <si>
    <t>SANTA CRUZ DO RIO PARDO</t>
  </si>
  <si>
    <t>LABORATORIO JUNHO TEIXEIRA LTDA</t>
  </si>
  <si>
    <t>junhoteixeira@outlook.com</t>
  </si>
  <si>
    <t>OURO FINO</t>
  </si>
  <si>
    <t>SANTA CASA DE MISER. DE TAQUARITUBA</t>
  </si>
  <si>
    <t>brendaleme@gmail.com</t>
  </si>
  <si>
    <t>TAQUARITUBA</t>
  </si>
  <si>
    <t>ROTOLI CLINICA VETERINARIA LTDA ME</t>
  </si>
  <si>
    <t>amanda_zr@hotmail.com</t>
  </si>
  <si>
    <t>INSTITUICAO DOM BOSCO DE ENSINO E CULTURA</t>
  </si>
  <si>
    <t>drc@fadap.br</t>
  </si>
  <si>
    <t>BIOLIFE-LABORATORIO DE ANALISES CLINICAS LTDA</t>
  </si>
  <si>
    <t>marina@laboratoriobiolife.com.br</t>
  </si>
  <si>
    <t>MOCOCA</t>
  </si>
  <si>
    <t>ASSOCIACAO SANTA CASA SAUDE DE ARACATUBA</t>
  </si>
  <si>
    <t>laboratorio@scsaudearacatuba.com.br</t>
  </si>
  <si>
    <t>ALMEIDA &amp; FLAITT LABORATORIOS DE ANALISES CLINICAS LTDA</t>
  </si>
  <si>
    <t>eficience2@hotmail.com</t>
  </si>
  <si>
    <t>IMUNOLAB LABORATORIO DE ANALISES CLINICAS LTDA ME</t>
  </si>
  <si>
    <t>imunolab01@gmail.com</t>
  </si>
  <si>
    <t>AREIOPOLIS</t>
  </si>
  <si>
    <t>NP- LABORATORIO DE ANALISES CLINICAS LTDA</t>
  </si>
  <si>
    <t>labormonte@hotmail.com</t>
  </si>
  <si>
    <t>MONTE APRAZIVEL</t>
  </si>
  <si>
    <t>ML NOSSA SENHORA APARECIDA SERVICOS ADMINISTRATIVOS LTDA</t>
  </si>
  <si>
    <t>birigui.sp@amorsaude.com</t>
  </si>
  <si>
    <t>CBI ANALISES CLINICAS S/S LTDA</t>
  </si>
  <si>
    <t>italabgarcia@hotmail.com</t>
  </si>
  <si>
    <t>UNIMED DE TUPA COOPERATIVA DE TRABALHO MEDICO</t>
  </si>
  <si>
    <t>lab.unimed@unimedtupa.com.br</t>
  </si>
  <si>
    <t>C D A CENTRO DE DIAGNOSTICO VETERINARIO</t>
  </si>
  <si>
    <t>contato@cdalabvet.com.br</t>
  </si>
  <si>
    <t>CENTRO DE DIAGNOSTICOS CONTROLE LTDA</t>
  </si>
  <si>
    <t>RIBEIRAO PRETO</t>
  </si>
  <si>
    <t>LABORLOPES LABORATORIO DE  ANALISES CLINICAS LTDA</t>
  </si>
  <si>
    <t>laborlopes@hotmail.com</t>
  </si>
  <si>
    <t>CLEMENTINA</t>
  </si>
  <si>
    <t>LABORATORIO DE ANALISES CLINICAS ROSSETO &amp; BARROS LTDA</t>
  </si>
  <si>
    <t>comercial.biomedlp@uol.com.br</t>
  </si>
  <si>
    <t>RIBAS DO RIO PARDO</t>
  </si>
  <si>
    <t>CONSORCIO INTERMUNICIPAL DE SAUDE</t>
  </si>
  <si>
    <t>ciensp.licitacao@terra.com.br</t>
  </si>
  <si>
    <t>LQF LABORATORIO QUIMICO FARMACEUTICO RIO PRETO EIRELI - ME</t>
  </si>
  <si>
    <t>compras2@lqf.com.br</t>
  </si>
  <si>
    <t>LAB LIFE LABORATORIO DE ANALISES CLINICAS LTDA</t>
  </si>
  <si>
    <t>jessica_b_ferraz@hotmail.com</t>
  </si>
  <si>
    <t>LABORATORIO SAMIA LTDA</t>
  </si>
  <si>
    <t>juliausamia@gmail.com</t>
  </si>
  <si>
    <t>CALDAS</t>
  </si>
  <si>
    <t>ANIMALAB SS LTDA</t>
  </si>
  <si>
    <t>animalabsc@hotmail.com</t>
  </si>
  <si>
    <t>UNIPREV LAB DE ANALISES LOCACAO DE BENS E REPAROS LTDA EPP</t>
  </si>
  <si>
    <t>rodrigo@uniprev.com.br</t>
  </si>
  <si>
    <t>HOSPITAL REGIONAL DR VIVALDO MARTINS SIMOES</t>
  </si>
  <si>
    <t>OSASCO</t>
  </si>
  <si>
    <t>ANSELMO EDUARDO BIANCO</t>
  </si>
  <si>
    <t>ARARAS</t>
  </si>
  <si>
    <t>LAB-MED LAB.ANALISES CLINICAS</t>
  </si>
  <si>
    <t>labmedtaba@gmail.com</t>
  </si>
  <si>
    <t>LABORATORIO SAO LUCAS DE BROTAS SS LTDA</t>
  </si>
  <si>
    <t>financeiro.labsaolucasbrotas@gmail.com</t>
  </si>
  <si>
    <t>LABORATORIO DE ANALISES CLINICAS VIDA BIRIGUI LTDA</t>
  </si>
  <si>
    <t>laboratoriovidabg@hotmail.com</t>
  </si>
  <si>
    <t>DIAGNOSTIKA-UNIDADE DIAGNOSTICA EM PATOLOGIA CIRURGICA E CITOLOGIA LTDA</t>
  </si>
  <si>
    <t>compras@diagnostika.med.br</t>
  </si>
  <si>
    <t>MURILO RIGOTTO TERRASSI</t>
  </si>
  <si>
    <t>SANTA RITA DO PASSA QUATRO</t>
  </si>
  <si>
    <t>SAO ROQUE MEDICINA DIAGNOSTICA</t>
  </si>
  <si>
    <t>saoroquecompras@hotmail.com</t>
  </si>
  <si>
    <t>BEBEDOURO</t>
  </si>
  <si>
    <t>FUNDACAO PAULISTA DE TECNOLOGIA E EDUCACAO</t>
  </si>
  <si>
    <t>dpcompras@fpte.br</t>
  </si>
  <si>
    <t>LINS</t>
  </si>
  <si>
    <t>ANDRIAO CANEPPA E SILVA LTDA ME</t>
  </si>
  <si>
    <t>aa2laboratorio@hotmail.com</t>
  </si>
  <si>
    <t>PROMISSAO</t>
  </si>
  <si>
    <t>SESTITO &amp; TORRES CLINICA MEDICA</t>
  </si>
  <si>
    <t>elisandratorres@hotmail.com</t>
  </si>
  <si>
    <t>RALO &amp; DORNELLES CLINICA VETERINARIA LTDA ME</t>
  </si>
  <si>
    <t>jaquelinem.ralo@gmail.com</t>
  </si>
  <si>
    <t>LABORATORIO DE ANALISES CLINICAS SAO JOSE LTDA</t>
  </si>
  <si>
    <t>compras@laboratoriosaojose.com.br</t>
  </si>
  <si>
    <t>ARAGUARI</t>
  </si>
  <si>
    <t>SOLUTE MEDICAL GROUP BRAZIL LTDA</t>
  </si>
  <si>
    <t>andre.tocchio@solutemedical.com.br</t>
  </si>
  <si>
    <t>INDAIATUBA</t>
  </si>
  <si>
    <t>CLINICAO ANDRADINA PET SHOP E CLINICA VETERINARIA LTDA</t>
  </si>
  <si>
    <t>clinicao_vet@hotmail.com</t>
  </si>
  <si>
    <t>CLINICA MEDICA E ODONTOLOGICA AMOR SAUDE TUPA LTDA</t>
  </si>
  <si>
    <t>tupa.sp@amorsaude.com</t>
  </si>
  <si>
    <t>ASSOCIACAO EDUCACIONAL DE ENSINO SUPERIOR</t>
  </si>
  <si>
    <t>laboratorios@unilago.edu.br</t>
  </si>
  <si>
    <t>UNIMED DE IBITINGA COOPERATIVA DE TRABALHO MEDICO</t>
  </si>
  <si>
    <t>laboratorio@unimedibitinga.com.br</t>
  </si>
  <si>
    <t>NOTRE DAME INTERMEDICA MINAS GERAIS SAUDE S.A</t>
  </si>
  <si>
    <t>nf.prestadores@hapvida.com.br</t>
  </si>
  <si>
    <t>BETIM</t>
  </si>
  <si>
    <t>SIM</t>
  </si>
  <si>
    <t>"Sentimos sua falta!"</t>
  </si>
  <si>
    <t>NÃO</t>
  </si>
  <si>
    <t>META</t>
  </si>
  <si>
    <t>149 CLIENTES 19/11/2024</t>
  </si>
  <si>
    <t xml:space="preserve"> </t>
  </si>
  <si>
    <t>TEL</t>
  </si>
  <si>
    <t>SKYPE</t>
  </si>
  <si>
    <t>75734/76933/77809</t>
  </si>
  <si>
    <t>77519/77615</t>
  </si>
  <si>
    <t>77705/77138/78056</t>
  </si>
  <si>
    <t>99339/78126</t>
  </si>
  <si>
    <t>77724/78157</t>
  </si>
  <si>
    <t>78323/78462</t>
  </si>
  <si>
    <t>78082/78569</t>
  </si>
  <si>
    <t>77932/78694</t>
  </si>
  <si>
    <t>wHATS</t>
  </si>
  <si>
    <t>78265/78742</t>
  </si>
  <si>
    <t>78161/78845</t>
  </si>
  <si>
    <t>79282/79357</t>
  </si>
  <si>
    <t>78863/78834/79493</t>
  </si>
  <si>
    <t>79364/79691</t>
  </si>
  <si>
    <t>78834/78231/78863</t>
  </si>
  <si>
    <t>79279/79805</t>
  </si>
  <si>
    <t>CLIENTE</t>
  </si>
  <si>
    <t>ENVIO</t>
  </si>
  <si>
    <t>PEDIDO INSUMOS</t>
  </si>
  <si>
    <t>VALOR INSUMOS</t>
  </si>
  <si>
    <t>PEDIDO EQUIPAMENTO</t>
  </si>
  <si>
    <t>VALOR EQUIPAMENTO</t>
  </si>
  <si>
    <t>LOCAÇÃO</t>
  </si>
  <si>
    <t>DATA</t>
  </si>
  <si>
    <t>RESPONSÁVEL</t>
  </si>
  <si>
    <t>HORA</t>
  </si>
  <si>
    <t>ATENDEU</t>
  </si>
  <si>
    <t>OBSERVAÇÃO</t>
  </si>
  <si>
    <t>VISITA</t>
  </si>
  <si>
    <t>MOTIVO</t>
  </si>
  <si>
    <t xml:space="preserve">EMAIL </t>
  </si>
  <si>
    <t>Estamos há prontos para renovar nossa parceria! Volte a comprar conosco e descubra ofertas exclusivas pensadas para você.</t>
  </si>
  <si>
    <t>INAT(DIAS)</t>
  </si>
  <si>
    <t>79247/79565</t>
  </si>
  <si>
    <t>79734/77533</t>
  </si>
  <si>
    <t>Total Geral</t>
  </si>
  <si>
    <t>Soma de VALOR INSUMOS</t>
  </si>
  <si>
    <t>META MENSAL</t>
  </si>
  <si>
    <t>VENDAS ISUMOS</t>
  </si>
  <si>
    <t>Soma de VALOR EQUIPAMENTO</t>
  </si>
  <si>
    <t>VENDAS EQUIPAMENTOS</t>
  </si>
  <si>
    <t>META ANUAL</t>
  </si>
  <si>
    <t>VENDAS TOTAIS</t>
  </si>
  <si>
    <t>PEDIDOS INSUMOS</t>
  </si>
  <si>
    <t>PEDIDOS EQUIPAMENTOS</t>
  </si>
  <si>
    <t>Contagem de PEDIDO INSUMOS</t>
  </si>
  <si>
    <t>Contagem de PEDIDO EQUIPAMENTO</t>
  </si>
  <si>
    <t>VALORES INSUMOS</t>
  </si>
  <si>
    <t>VALORES EQUIPAMENTOS</t>
  </si>
  <si>
    <t>TOP 20 CLIENTES</t>
  </si>
  <si>
    <t>% VENDA</t>
  </si>
  <si>
    <t>SEGMENTO</t>
  </si>
  <si>
    <t>FARMACIA</t>
  </si>
  <si>
    <t>INDUSTRIA</t>
  </si>
  <si>
    <t>VETERINARIA</t>
  </si>
  <si>
    <t>LABORATORIO</t>
  </si>
  <si>
    <t>HOSPITAL</t>
  </si>
  <si>
    <t>FACULDADE</t>
  </si>
  <si>
    <t>80307/79438/80879</t>
  </si>
  <si>
    <t>100055/99939</t>
  </si>
  <si>
    <t>REVENDA</t>
  </si>
  <si>
    <t>81212/100121</t>
  </si>
  <si>
    <t>MARCELO MAURICIO  DE SOUZA</t>
  </si>
  <si>
    <t>diretoria.servilab@gmail.com</t>
  </si>
  <si>
    <t>MACAUBAL</t>
  </si>
  <si>
    <t>Enviar e-mail</t>
  </si>
  <si>
    <t>81234/100129</t>
  </si>
  <si>
    <t>81243/100124</t>
  </si>
  <si>
    <t>8099/100138</t>
  </si>
  <si>
    <t>81342/100153</t>
  </si>
  <si>
    <t>81359/81360/80947</t>
  </si>
  <si>
    <t>81393/100164</t>
  </si>
  <si>
    <t>81384/100164</t>
  </si>
  <si>
    <t>81423/100170</t>
  </si>
  <si>
    <t>100175/81434</t>
  </si>
  <si>
    <t>100166/81454</t>
  </si>
  <si>
    <t>100178/81400</t>
  </si>
  <si>
    <t>81480/100188</t>
  </si>
  <si>
    <t>81482/100190</t>
  </si>
  <si>
    <t>81507/100152</t>
  </si>
  <si>
    <t>LABORATORIO GUIMARAES LTDA</t>
  </si>
  <si>
    <t>administrativo@laboratorioguimaraes.com</t>
  </si>
  <si>
    <t>BASTOS</t>
  </si>
  <si>
    <t>100206/81552</t>
  </si>
  <si>
    <t>81096/100204</t>
  </si>
  <si>
    <t>81011/100160</t>
  </si>
  <si>
    <t>100239/81823</t>
  </si>
  <si>
    <t>100234/81751</t>
  </si>
  <si>
    <t>81852/ 81849</t>
  </si>
  <si>
    <t>81881/100249</t>
  </si>
  <si>
    <t>MS10 COMERCIAL DE VIDRARIAS PARA LABORATORIOS LTDA</t>
  </si>
  <si>
    <t>ms10comercial@hotmail.com</t>
  </si>
  <si>
    <t>DIADEMA</t>
  </si>
  <si>
    <t>81665/81904</t>
  </si>
  <si>
    <t>81975/100267</t>
  </si>
  <si>
    <t>82072/100288</t>
  </si>
  <si>
    <t>82094/100296</t>
  </si>
  <si>
    <t>82106/100196</t>
  </si>
  <si>
    <t>82114/82120</t>
  </si>
  <si>
    <t>82105/81992</t>
  </si>
  <si>
    <t>82130/100304</t>
  </si>
  <si>
    <t>82165/100309</t>
  </si>
  <si>
    <t>81999/100275</t>
  </si>
  <si>
    <t>82228/100320</t>
  </si>
  <si>
    <t>81552/81007/82270</t>
  </si>
  <si>
    <t>82199/100313</t>
  </si>
  <si>
    <t>82330/100339</t>
  </si>
  <si>
    <t>82351/100344</t>
  </si>
  <si>
    <t>100343/82343</t>
  </si>
  <si>
    <t>81010/82409</t>
  </si>
  <si>
    <t>PLACIDO COMERCIO DE MATERIAIS CIRURGICOS E HOSPITALARES EIRELI ME</t>
  </si>
  <si>
    <t>mariaivani@cirurgicapaulista.med.br</t>
  </si>
  <si>
    <t>82391/100353/82387</t>
  </si>
  <si>
    <t>82343/100343</t>
  </si>
  <si>
    <t xml:space="preserve"> 82492/ 100364</t>
  </si>
  <si>
    <t>82524/100369</t>
  </si>
  <si>
    <t>82572/82530</t>
  </si>
  <si>
    <t>82546/100376</t>
  </si>
  <si>
    <t>/82566/82461</t>
  </si>
  <si>
    <t>81881/82553</t>
  </si>
  <si>
    <t>82235/81664</t>
  </si>
  <si>
    <t>82686/100399</t>
  </si>
  <si>
    <t>100349/82724</t>
  </si>
  <si>
    <t>82726/100309</t>
  </si>
  <si>
    <t>82638/100393</t>
  </si>
  <si>
    <t>100401/82711</t>
  </si>
  <si>
    <t>100421/82805</t>
  </si>
  <si>
    <t>82299/82060</t>
  </si>
  <si>
    <t>100391/82852</t>
  </si>
  <si>
    <t>100434/82905/82901</t>
  </si>
  <si>
    <t>OBERON CENTRO VETERINARIO LTDA</t>
  </si>
  <si>
    <t>laboratorio@oberonvet.com.br</t>
  </si>
  <si>
    <t>LETICIA</t>
  </si>
  <si>
    <t>83050/100457</t>
  </si>
  <si>
    <t>100460/83060</t>
  </si>
  <si>
    <t>83070/100465</t>
  </si>
  <si>
    <t>83073/100456</t>
  </si>
  <si>
    <t>83049/100477</t>
  </si>
  <si>
    <t>83107/83055</t>
  </si>
  <si>
    <t>Dra Rosely</t>
  </si>
  <si>
    <t>83199/100491</t>
  </si>
  <si>
    <t>82343/83222</t>
  </si>
  <si>
    <t>83260 /100503</t>
  </si>
  <si>
    <t>83231/100469</t>
  </si>
  <si>
    <t>83213/82060</t>
  </si>
  <si>
    <t>83285/83268</t>
  </si>
  <si>
    <t>83292/82400</t>
  </si>
  <si>
    <t>83295/82230</t>
  </si>
  <si>
    <t>81020/82696</t>
  </si>
  <si>
    <t>83408/100527</t>
  </si>
  <si>
    <t>100535/83439</t>
  </si>
  <si>
    <t>83431/100534</t>
  </si>
  <si>
    <t>83039/82228/100517/100320</t>
  </si>
  <si>
    <t>82607/83485/80999/100543</t>
  </si>
  <si>
    <t>83571/100558</t>
  </si>
  <si>
    <t>83549/100558</t>
  </si>
  <si>
    <t>83543/83514</t>
  </si>
  <si>
    <t>83485/100543</t>
  </si>
  <si>
    <t>83414/82982/100528</t>
  </si>
  <si>
    <t>83647/82330/100571</t>
  </si>
  <si>
    <t>83653/100572</t>
  </si>
  <si>
    <t>83666/100575</t>
  </si>
  <si>
    <t>83549/100556</t>
  </si>
  <si>
    <t>83637/100567</t>
  </si>
  <si>
    <t>83683/100583</t>
  </si>
  <si>
    <t>83683/100583/100376</t>
  </si>
  <si>
    <t>83724/83729/82905/100589</t>
  </si>
  <si>
    <t>83802/83804</t>
  </si>
  <si>
    <t>803019/81237</t>
  </si>
  <si>
    <t>100592/83752</t>
  </si>
  <si>
    <t>83678/100520</t>
  </si>
  <si>
    <t>83800 / 81999</t>
  </si>
  <si>
    <t>83915/100617</t>
  </si>
  <si>
    <t>83652/100620</t>
  </si>
  <si>
    <t>100627/83971</t>
  </si>
  <si>
    <t>100629/83985</t>
  </si>
  <si>
    <t>83880/100610</t>
  </si>
  <si>
    <t>83431/83238</t>
  </si>
  <si>
    <t>100632/84028</t>
  </si>
  <si>
    <t>83982/83987/84016</t>
  </si>
  <si>
    <t>83210/82409 /</t>
  </si>
  <si>
    <t>84103/100641</t>
  </si>
  <si>
    <t>GREEN LIFE PET BRANDS LTDA</t>
  </si>
  <si>
    <t>vendas@greenlifepet.com.br</t>
  </si>
  <si>
    <t>TATUI</t>
  </si>
  <si>
    <t>84108/100643</t>
  </si>
  <si>
    <t>84129/100653/100364</t>
  </si>
  <si>
    <t>84131/100652</t>
  </si>
  <si>
    <t>84140/100654</t>
  </si>
  <si>
    <t>83874/84116</t>
  </si>
  <si>
    <t>84225/84049/100666</t>
  </si>
  <si>
    <t>84222/82825</t>
  </si>
  <si>
    <t>84315/100681</t>
  </si>
  <si>
    <t>84305/82969</t>
  </si>
  <si>
    <t>84363/84179</t>
  </si>
  <si>
    <t>84379/83612/100698</t>
  </si>
  <si>
    <t>83640/100708</t>
  </si>
  <si>
    <t>84420/100706</t>
  </si>
  <si>
    <t>84557/83738</t>
  </si>
  <si>
    <t>100735/84613</t>
  </si>
  <si>
    <t>84540/100722</t>
  </si>
  <si>
    <t>100724/84533</t>
  </si>
  <si>
    <t>SAO ROQUE MEDICINA DIAGNOSTICA LTDA</t>
  </si>
  <si>
    <t>SINOP</t>
  </si>
  <si>
    <t>100665/84654</t>
  </si>
  <si>
    <t>84641/100747</t>
  </si>
  <si>
    <t>84649/100744</t>
  </si>
  <si>
    <t>84400/100702</t>
  </si>
  <si>
    <t>84814/100770</t>
  </si>
  <si>
    <t>100751/84689</t>
  </si>
  <si>
    <t>SOLUTION GESTAO PUBLICA</t>
  </si>
  <si>
    <t>PRESIDENTE ALVES</t>
  </si>
  <si>
    <t>FUNDACAO DE APOIO INSTITUCIONAL MURAKI</t>
  </si>
  <si>
    <t>MANAUS</t>
  </si>
  <si>
    <t>84898/100792</t>
  </si>
  <si>
    <t>100784/84219</t>
  </si>
  <si>
    <t>85050/100817</t>
  </si>
  <si>
    <t>85053/100696</t>
  </si>
  <si>
    <t>85062/100821</t>
  </si>
  <si>
    <t>100821/85062</t>
  </si>
  <si>
    <t>100653/100806/84983</t>
  </si>
  <si>
    <t>85011/100839</t>
  </si>
  <si>
    <t>100848/85155</t>
  </si>
  <si>
    <t>85182/100856</t>
  </si>
  <si>
    <t>85261/84995</t>
  </si>
  <si>
    <t>85230/85198/100861</t>
  </si>
  <si>
    <t>100877/85275</t>
  </si>
  <si>
    <t>85305/100887</t>
  </si>
  <si>
    <t>85331/100827</t>
  </si>
  <si>
    <t>85274/100876</t>
  </si>
  <si>
    <t>85375/100896</t>
  </si>
  <si>
    <t>85469/85470</t>
  </si>
  <si>
    <t>85429/84898/85035/100906</t>
  </si>
  <si>
    <t>100907/85292</t>
  </si>
  <si>
    <t>100918/85518</t>
  </si>
  <si>
    <t>85544/100926</t>
  </si>
  <si>
    <t>85260/100930</t>
  </si>
  <si>
    <t>100940/100567</t>
  </si>
  <si>
    <t>100943/85636</t>
  </si>
  <si>
    <t>100946/85645</t>
  </si>
  <si>
    <t>84795/85232</t>
  </si>
  <si>
    <t>85742/100974</t>
  </si>
  <si>
    <t>85778/100981</t>
  </si>
  <si>
    <t>100810/85379</t>
  </si>
  <si>
    <t>85495/84936/100921</t>
  </si>
  <si>
    <t>85834/85831/100985</t>
  </si>
  <si>
    <t>85390/100965/100343</t>
  </si>
  <si>
    <t>85681 /100952</t>
  </si>
  <si>
    <t>85513/100987</t>
  </si>
  <si>
    <t>85865/100989</t>
  </si>
  <si>
    <t>100991/85565</t>
  </si>
  <si>
    <t>85896/85869</t>
  </si>
  <si>
    <t>85911/100994</t>
  </si>
  <si>
    <t>85362/101001</t>
  </si>
  <si>
    <t>85940/101004</t>
  </si>
  <si>
    <t>85934/100998</t>
  </si>
  <si>
    <t>85740/100972</t>
  </si>
  <si>
    <t>85954/101005</t>
  </si>
  <si>
    <t>85109/85913</t>
  </si>
  <si>
    <t>83640/84898/101023/85712</t>
  </si>
  <si>
    <t>84753/85864</t>
  </si>
  <si>
    <t>86171/85634</t>
  </si>
  <si>
    <t>101032/86167</t>
  </si>
  <si>
    <t>101033/86184</t>
  </si>
  <si>
    <t>86204/84891</t>
  </si>
  <si>
    <t xml:space="preserve">    </t>
  </si>
  <si>
    <t>86385/85011/101077</t>
  </si>
  <si>
    <t>86267/101053</t>
  </si>
  <si>
    <t>86437/101096</t>
  </si>
  <si>
    <t>84955/86446</t>
  </si>
  <si>
    <t>85642/86404</t>
  </si>
  <si>
    <t>86280/85984</t>
  </si>
  <si>
    <t>84995/86446</t>
  </si>
  <si>
    <t>86213/86483/101104</t>
  </si>
  <si>
    <t>86311/101048</t>
  </si>
  <si>
    <t>86428/101090</t>
  </si>
  <si>
    <t>86546/86548</t>
  </si>
  <si>
    <t>86241/101071</t>
  </si>
  <si>
    <t>86672/10132</t>
  </si>
  <si>
    <t>86204/86703</t>
  </si>
  <si>
    <t>10102/86480</t>
  </si>
  <si>
    <t>86445/86763</t>
  </si>
  <si>
    <t>86793/101154</t>
  </si>
  <si>
    <t>SANCHES x SANCHES S/C LTDA</t>
  </si>
  <si>
    <t>86786/101046</t>
  </si>
  <si>
    <t>86718/101157</t>
  </si>
  <si>
    <t>101160/86716</t>
  </si>
  <si>
    <t>10130/86670</t>
  </si>
  <si>
    <t>84792/86641</t>
  </si>
  <si>
    <t>101169/86853</t>
  </si>
  <si>
    <t>86736/101145</t>
  </si>
  <si>
    <t>86705/101138</t>
  </si>
  <si>
    <t>86957/101190</t>
  </si>
  <si>
    <t>86964/101192</t>
  </si>
  <si>
    <t>86838/86202</t>
  </si>
  <si>
    <t>86299/86709</t>
  </si>
  <si>
    <t>86782/86388/101167/101102</t>
  </si>
  <si>
    <t>87043/101198</t>
  </si>
  <si>
    <t>87064/101202</t>
  </si>
  <si>
    <t>101203/87078</t>
  </si>
  <si>
    <t>101143/86965</t>
  </si>
  <si>
    <t>87098/101210</t>
  </si>
  <si>
    <t>87109/101212</t>
  </si>
  <si>
    <t>87100/101218</t>
  </si>
  <si>
    <t>87167/101279</t>
  </si>
  <si>
    <t>87399/86705/101270</t>
  </si>
  <si>
    <t>87448/101278</t>
  </si>
  <si>
    <t>87433/101277</t>
  </si>
  <si>
    <t>87508/101292</t>
  </si>
  <si>
    <t>85712/87409/86480/101298</t>
  </si>
  <si>
    <t>86831/86620</t>
  </si>
  <si>
    <t>87375/87564</t>
  </si>
  <si>
    <t>87113/101305</t>
  </si>
  <si>
    <t>UBERABA</t>
  </si>
  <si>
    <t>87755/87762</t>
  </si>
  <si>
    <t>101338/87725</t>
  </si>
  <si>
    <t>101337/87724</t>
  </si>
  <si>
    <t>87700/85062</t>
  </si>
  <si>
    <t>87785/87090</t>
  </si>
  <si>
    <t>101346/87525</t>
  </si>
  <si>
    <t>87801/101350</t>
  </si>
  <si>
    <t>87699/101330</t>
  </si>
  <si>
    <t>87606/87166</t>
  </si>
  <si>
    <t>101163/87166</t>
  </si>
  <si>
    <t>87832/101360</t>
  </si>
  <si>
    <t xml:space="preserve">cliente bia </t>
  </si>
  <si>
    <t>87930/86709</t>
  </si>
  <si>
    <t>87855/101364</t>
  </si>
  <si>
    <t>101356/101362/ 87834</t>
  </si>
  <si>
    <t>101357/87882</t>
  </si>
  <si>
    <t>87772/86926/87113/101318</t>
  </si>
  <si>
    <t>87922/101382</t>
  </si>
  <si>
    <t>87991/87454</t>
  </si>
  <si>
    <t>88021/101394</t>
  </si>
  <si>
    <t>87932/101374</t>
  </si>
  <si>
    <t>88077/88078</t>
  </si>
  <si>
    <t>88072/101402</t>
  </si>
  <si>
    <t>88111/101409</t>
  </si>
  <si>
    <t>87167/881/85/101419</t>
  </si>
  <si>
    <t>88186/101343</t>
  </si>
  <si>
    <t>101421/88196</t>
  </si>
  <si>
    <t>88203/88204/101377</t>
  </si>
  <si>
    <t>87750/101434</t>
  </si>
  <si>
    <t>88261/87834/88193</t>
  </si>
  <si>
    <t>88346/101455</t>
  </si>
  <si>
    <t>101459/88355</t>
  </si>
  <si>
    <t>88384/87433/101462</t>
  </si>
  <si>
    <t>101464/88393</t>
  </si>
  <si>
    <t>88406/87864</t>
  </si>
  <si>
    <t>88495/101220</t>
  </si>
  <si>
    <t>88481/101486</t>
  </si>
  <si>
    <t>88436/101472</t>
  </si>
  <si>
    <t>88446/101476</t>
  </si>
  <si>
    <t>101491/85785</t>
  </si>
  <si>
    <t>101343/88186</t>
  </si>
  <si>
    <t>88563/88564</t>
  </si>
  <si>
    <t>88367/87113/101424</t>
  </si>
  <si>
    <t>88593/101509</t>
  </si>
  <si>
    <t>88589/10133</t>
  </si>
  <si>
    <t>88334/101452</t>
  </si>
  <si>
    <t>88191/88687</t>
  </si>
  <si>
    <t>88729/101434</t>
  </si>
  <si>
    <t>101546/88776</t>
  </si>
  <si>
    <t>101332/101162/88789</t>
  </si>
  <si>
    <t>101531/88827</t>
  </si>
  <si>
    <t>88832/101528</t>
  </si>
  <si>
    <t>8884/101567</t>
  </si>
  <si>
    <t>101564/88896</t>
  </si>
  <si>
    <t>88852 /88186/101570</t>
  </si>
  <si>
    <t>88916/101572</t>
  </si>
  <si>
    <t>88915/88305</t>
  </si>
  <si>
    <t>88869/101563</t>
  </si>
  <si>
    <t>101597/88986</t>
  </si>
  <si>
    <t>101579/88999</t>
  </si>
  <si>
    <t>88951/88852/101570</t>
  </si>
  <si>
    <t>89090/101603</t>
  </si>
  <si>
    <t>88203/89049</t>
  </si>
  <si>
    <t>101610/88680/89116</t>
  </si>
  <si>
    <t>89201/89174</t>
  </si>
  <si>
    <t>89241/88111/101633</t>
  </si>
  <si>
    <t>101322/101631/89230</t>
  </si>
  <si>
    <t>89253/88311</t>
  </si>
  <si>
    <t>89248/101634</t>
  </si>
  <si>
    <t>88513/101519</t>
  </si>
  <si>
    <t>89392/101657</t>
  </si>
  <si>
    <t>89422/101655</t>
  </si>
  <si>
    <t>89458/101670</t>
  </si>
  <si>
    <t>89414/101662/101661</t>
  </si>
  <si>
    <t> 51074</t>
  </si>
  <si>
    <t>ADONEX COMÉRCIO DE PRODUTOS PARA LABORATÓRIO LTDA</t>
  </si>
  <si>
    <t>adonex@gmail.com</t>
  </si>
  <si>
    <t xml:space="preserve">SAO PAULO </t>
  </si>
  <si>
    <t>88825/89497/101677</t>
  </si>
  <si>
    <t>89519/101682</t>
  </si>
  <si>
    <t>89528/101532</t>
  </si>
  <si>
    <t>INSTITUTO SOCIAL HOSPITAL ALEMAO OSWALDO CRUZ</t>
  </si>
  <si>
    <t xml:space="preserve">santos </t>
  </si>
  <si>
    <t>luiz.ferraz@haoc.com.br</t>
  </si>
  <si>
    <t>89531/101530</t>
  </si>
  <si>
    <t>89240/101616</t>
  </si>
  <si>
    <t>89320/101673</t>
  </si>
  <si>
    <t>TORRINHA</t>
  </si>
  <si>
    <t>89804/101495</t>
  </si>
  <si>
    <t>88967/101749</t>
  </si>
  <si>
    <t>89901/101757</t>
  </si>
  <si>
    <t>89911/101762</t>
  </si>
  <si>
    <t>89828/89922/101745</t>
  </si>
  <si>
    <t xml:space="preserve">ITAPOLIS </t>
  </si>
  <si>
    <t>PLATAFORMA</t>
  </si>
  <si>
    <t>101774/89973</t>
  </si>
  <si>
    <t>89948/101768</t>
  </si>
  <si>
    <t>90053/101792</t>
  </si>
  <si>
    <t>UNIMED AMPARO COOPERATIVA DE TRABALHO MEDICO</t>
  </si>
  <si>
    <t>AMPARO</t>
  </si>
  <si>
    <t>90103/101800</t>
  </si>
  <si>
    <t>ASSOCIACAO BENEFICIENTE NOSSA SENHORA DE NAZARE</t>
  </si>
  <si>
    <t>SÃO PAULO</t>
  </si>
  <si>
    <t>SOCIEDADE EDUCACIONAL UBERABENSE</t>
  </si>
  <si>
    <t>89839/89875/90090</t>
  </si>
  <si>
    <t>BIOLABOR LAB. ANAL. CLIN. SC LTDA.</t>
  </si>
  <si>
    <t>SCQ SOLUCOES LABORATORIAIS LTDA</t>
  </si>
  <si>
    <t>são carlos</t>
  </si>
  <si>
    <t>101787/90026</t>
  </si>
  <si>
    <t>90294/101827</t>
  </si>
  <si>
    <t>90299/101826</t>
  </si>
  <si>
    <t>101823/90283</t>
  </si>
  <si>
    <t>IERT- INSTITUICOES DE ENSINO REUNIDAS TIETE LTDA</t>
  </si>
  <si>
    <t>BARRA BONITA</t>
  </si>
  <si>
    <t>90341/101807</t>
  </si>
  <si>
    <t>90345/101836</t>
  </si>
  <si>
    <t>JAQUELINE MARTINS RUIZ LAB DE ANALISES CLINICAS</t>
  </si>
  <si>
    <t>IATPU</t>
  </si>
  <si>
    <t>90384/89805/101842</t>
  </si>
  <si>
    <t>101860/90481</t>
  </si>
  <si>
    <t>90391/101861</t>
  </si>
  <si>
    <t>90183/90538</t>
  </si>
  <si>
    <t>90545/101872</t>
  </si>
  <si>
    <t>90557/101857</t>
  </si>
  <si>
    <t>90546/101875</t>
  </si>
  <si>
    <t>90562/101877</t>
  </si>
  <si>
    <t>FUND.DESENV.DE CIENCIAS FARMACEUTICAS</t>
  </si>
  <si>
    <t>90655/101895</t>
  </si>
  <si>
    <t>90454/101854</t>
  </si>
  <si>
    <t>101882/89976/89955</t>
  </si>
  <si>
    <t>90416/101849</t>
  </si>
  <si>
    <t>90150/90078</t>
  </si>
  <si>
    <t>90352/101839</t>
  </si>
  <si>
    <t>90737/90565/101910</t>
  </si>
  <si>
    <t>90584/101883</t>
  </si>
  <si>
    <t>90283/90782/90005/101873</t>
  </si>
  <si>
    <t>90308/90643</t>
  </si>
  <si>
    <t>90703/101902</t>
  </si>
  <si>
    <t>90704/101903</t>
  </si>
  <si>
    <t>101939/90890</t>
  </si>
  <si>
    <t>90973/101944</t>
  </si>
  <si>
    <t>101946/90981</t>
  </si>
  <si>
    <t>91025/90737</t>
  </si>
  <si>
    <t>91035/89950</t>
  </si>
  <si>
    <t>90579/101952</t>
  </si>
  <si>
    <t>VERONICA DE OLIVEIRA SALES PEREIRA</t>
  </si>
  <si>
    <t>itu</t>
  </si>
  <si>
    <t>91083/101964</t>
  </si>
  <si>
    <t>91076/91076</t>
  </si>
  <si>
    <t>91011/101953</t>
  </si>
  <si>
    <t>101993/90680</t>
  </si>
  <si>
    <t>TEANS</t>
  </si>
  <si>
    <t>91153/101979</t>
  </si>
  <si>
    <t>91219/90204</t>
  </si>
  <si>
    <t>91261/101945</t>
  </si>
  <si>
    <t>91305/102007</t>
  </si>
  <si>
    <t>91339/102013/91292</t>
  </si>
  <si>
    <t>91352/90259</t>
  </si>
  <si>
    <t>IRMANDADE DA STA.CASA MISERIC.SAO CARLOS</t>
  </si>
  <si>
    <t xml:space="preserve">SÃO CARLOS </t>
  </si>
  <si>
    <t>91420/102026</t>
  </si>
  <si>
    <t>91448/102022</t>
  </si>
  <si>
    <t>91439/102028</t>
  </si>
  <si>
    <t>91428/102027</t>
  </si>
  <si>
    <t>91538/102034</t>
  </si>
  <si>
    <t>91533/90753</t>
  </si>
  <si>
    <t>91606/102050</t>
  </si>
  <si>
    <t>102051/91614</t>
  </si>
  <si>
    <t>102056/91635</t>
  </si>
  <si>
    <t>91678/102068</t>
  </si>
  <si>
    <t>91697/102071</t>
  </si>
  <si>
    <t>94786/90764</t>
  </si>
  <si>
    <t>TELEFONE</t>
  </si>
  <si>
    <t>91830/102100</t>
  </si>
  <si>
    <t>91932/102124</t>
  </si>
  <si>
    <t>91900/91951</t>
  </si>
  <si>
    <t>91961/102127</t>
  </si>
  <si>
    <t>HEMOVA HEMOTERAPIA VETERINARIA AVANÇADA E DIAGNOSTICOS</t>
  </si>
  <si>
    <t>HOUPILLARD SERVICOS VETERINARIOS LTDA.</t>
  </si>
  <si>
    <t>campinas</t>
  </si>
  <si>
    <t>91979/102133</t>
  </si>
  <si>
    <t>92011/102139</t>
  </si>
  <si>
    <t>91866/10211</t>
  </si>
  <si>
    <t>10214/292029</t>
  </si>
  <si>
    <t>92076/102150</t>
  </si>
  <si>
    <t>91181/89952</t>
  </si>
  <si>
    <t>102038/91470</t>
  </si>
  <si>
    <t>92045/102144</t>
  </si>
  <si>
    <t>92014/102099</t>
  </si>
  <si>
    <t>91625/90890/102163</t>
  </si>
  <si>
    <t>91420/102067</t>
  </si>
  <si>
    <t>102159/92121</t>
  </si>
  <si>
    <t>92191/102090</t>
  </si>
  <si>
    <t>102166/92194</t>
  </si>
  <si>
    <t>92115/102157</t>
  </si>
  <si>
    <t>102185/92307</t>
  </si>
  <si>
    <t>102190/92336</t>
  </si>
  <si>
    <t>92165/102170</t>
  </si>
  <si>
    <t>92413/91499</t>
  </si>
  <si>
    <t>96940/92380/91854</t>
  </si>
  <si>
    <t>92508/92115</t>
  </si>
  <si>
    <t>92523/91961/102179/92507</t>
  </si>
  <si>
    <t>92419/102210</t>
  </si>
  <si>
    <t>9241192572/102208/102198</t>
  </si>
  <si>
    <t>92437/92076</t>
  </si>
  <si>
    <t>92159/92292</t>
  </si>
  <si>
    <t>89890/92624/92623</t>
  </si>
  <si>
    <t>92697/102266</t>
  </si>
  <si>
    <t>102234/92745</t>
  </si>
  <si>
    <t>92418/102209</t>
  </si>
  <si>
    <t>91947/92558</t>
  </si>
  <si>
    <t>91786/90764</t>
  </si>
  <si>
    <t>92817/102282</t>
  </si>
  <si>
    <t>9288/4102280</t>
  </si>
  <si>
    <t>GENNER FABRIS FLORENCIO OLIVO</t>
  </si>
  <si>
    <t>cliente claudia</t>
  </si>
  <si>
    <t>email</t>
  </si>
  <si>
    <t>92475/91625/102285</t>
  </si>
  <si>
    <t>92928/102310</t>
  </si>
  <si>
    <t>102294/92869</t>
  </si>
  <si>
    <t>92889/102304</t>
  </si>
  <si>
    <t>91780/92694</t>
  </si>
  <si>
    <t>90767/92663/102250</t>
  </si>
  <si>
    <t>92451/92553</t>
  </si>
  <si>
    <t>102321/92985</t>
  </si>
  <si>
    <t>92838/102291</t>
  </si>
  <si>
    <t>92934/92389</t>
  </si>
  <si>
    <t>92960/92929/102320/102300</t>
  </si>
  <si>
    <t>92411/92509</t>
  </si>
  <si>
    <t>92786/92115/102279</t>
  </si>
  <si>
    <t>93029/92286</t>
  </si>
  <si>
    <t>102326/93035</t>
  </si>
  <si>
    <t>92871/102296</t>
  </si>
  <si>
    <t>93054/102331</t>
  </si>
  <si>
    <t>93267/102360</t>
  </si>
  <si>
    <t>93268/10231</t>
  </si>
  <si>
    <t>93278/102364</t>
  </si>
  <si>
    <t>933312/102368</t>
  </si>
  <si>
    <t>93432/102389</t>
  </si>
  <si>
    <t>102349/93150</t>
  </si>
  <si>
    <t>102400/93478</t>
  </si>
  <si>
    <t>93505/102405</t>
  </si>
  <si>
    <t>93510/102407</t>
  </si>
  <si>
    <t>93527/102410</t>
  </si>
  <si>
    <t>102415/93549</t>
  </si>
  <si>
    <t>LABORATORIOS DOCTOR</t>
  </si>
  <si>
    <t>ITU</t>
  </si>
  <si>
    <t>93520/102402</t>
  </si>
  <si>
    <t>CLIN KIDS SERVICOS MEDICOS S/A</t>
  </si>
  <si>
    <t>102435/93656</t>
  </si>
  <si>
    <t>102448/93269</t>
  </si>
  <si>
    <t>93736/102455</t>
  </si>
  <si>
    <t>93780/102367</t>
  </si>
  <si>
    <t>102462/93765</t>
  </si>
  <si>
    <t>93108/102474</t>
  </si>
  <si>
    <t>102467/93802</t>
  </si>
  <si>
    <t>102481/93849/93185</t>
  </si>
  <si>
    <t>SOLUCOES FARMA DISTRIBUIDORA E IMPORTADORA DE MEDICAMENTOS E PRODUTOS PARA SAUDE LTDA.</t>
  </si>
  <si>
    <t xml:space="preserve">MINAS </t>
  </si>
  <si>
    <t>93941/102471</t>
  </si>
  <si>
    <t>DR BACCILI SERVICOS MEDICO HOSPITALARES S/S</t>
  </si>
  <si>
    <t>93511/102408</t>
  </si>
  <si>
    <t>102508/94003</t>
  </si>
  <si>
    <t>93483/102505</t>
  </si>
  <si>
    <t>94005/102509</t>
  </si>
  <si>
    <t>94010/102417</t>
  </si>
  <si>
    <t>93877/102513</t>
  </si>
  <si>
    <t>93947/102504</t>
  </si>
  <si>
    <t>94017/102519</t>
  </si>
  <si>
    <t>93206/93532</t>
  </si>
  <si>
    <t>93986/102506</t>
  </si>
  <si>
    <t>93715/102537</t>
  </si>
  <si>
    <t>102501/93920</t>
  </si>
  <si>
    <t>HOSPITAL BDW SP LTDA</t>
  </si>
  <si>
    <t>94246 / 94260 / 94265 / 94245</t>
  </si>
  <si>
    <t>94152/102535</t>
  </si>
  <si>
    <t>94147/102348</t>
  </si>
  <si>
    <t>94186/102547</t>
  </si>
  <si>
    <t>102457/93761</t>
  </si>
  <si>
    <t>94379/102588</t>
  </si>
  <si>
    <t>102529/94384</t>
  </si>
  <si>
    <t>102528/94177</t>
  </si>
  <si>
    <t>102575/93559</t>
  </si>
  <si>
    <t>102599/94429</t>
  </si>
  <si>
    <t>102602/ 93988</t>
  </si>
  <si>
    <t>94452/102562</t>
  </si>
  <si>
    <t>94459/102563</t>
  </si>
  <si>
    <t>BIOGESP - ASSOC DE GESTAO E EXECUCAO DE SERV PUBLICOS E SOCIAIS</t>
  </si>
  <si>
    <t>102606/94471</t>
  </si>
  <si>
    <t>102613/93974</t>
  </si>
  <si>
    <t>94549/102624</t>
  </si>
  <si>
    <t>102542/94179</t>
  </si>
  <si>
    <t>102650/94178</t>
  </si>
  <si>
    <t>102654/94650</t>
  </si>
  <si>
    <t>102625/94566</t>
  </si>
  <si>
    <t>94670/102646</t>
  </si>
  <si>
    <t>INOVA LABORATORIO DE ANALISES CLINICAS LTDA</t>
  </si>
  <si>
    <t>94788/102668</t>
  </si>
  <si>
    <t>102645/94363</t>
  </si>
  <si>
    <t>94504/102616</t>
  </si>
  <si>
    <t>102686/94876</t>
  </si>
  <si>
    <t>102699/94949</t>
  </si>
  <si>
    <t>LAB ANAL CLIN SAO JUDAS TADEU SC LTDA</t>
  </si>
  <si>
    <t>CERQUILHO</t>
  </si>
  <si>
    <t>102682/94914</t>
  </si>
  <si>
    <t>95003/102711</t>
  </si>
  <si>
    <t>95074/102688</t>
  </si>
  <si>
    <t>95099/102736</t>
  </si>
  <si>
    <t>102736/102734/95093</t>
  </si>
  <si>
    <t>94545/102742</t>
  </si>
  <si>
    <t>95206/102758</t>
  </si>
  <si>
    <t>102759/95213</t>
  </si>
  <si>
    <t>102764/94877</t>
  </si>
  <si>
    <t>102738/94866</t>
  </si>
  <si>
    <t>102762/95251</t>
  </si>
  <si>
    <t>95301/102774</t>
  </si>
  <si>
    <t>95328/102783</t>
  </si>
  <si>
    <t>102625/94991</t>
  </si>
  <si>
    <t>102797/95424</t>
  </si>
  <si>
    <t>102781/95325</t>
  </si>
  <si>
    <t>102784/95334</t>
  </si>
  <si>
    <t>102780/102347/95310</t>
  </si>
  <si>
    <t>102756/95191</t>
  </si>
  <si>
    <t>95066/94888/102725</t>
  </si>
  <si>
    <t>95428/102798</t>
  </si>
  <si>
    <t>102769/95214</t>
  </si>
  <si>
    <t>102789/95361</t>
  </si>
  <si>
    <t>102706/94980</t>
  </si>
  <si>
    <t>95291/ 102772</t>
  </si>
  <si>
    <t>102743/95129</t>
  </si>
  <si>
    <t>102821/95601</t>
  </si>
  <si>
    <t>102753/95606</t>
  </si>
  <si>
    <t>102758/95208</t>
  </si>
  <si>
    <t>95641/102827</t>
  </si>
  <si>
    <t>102826/95628</t>
  </si>
  <si>
    <t>94873/102684</t>
  </si>
  <si>
    <t>102840/95697</t>
  </si>
  <si>
    <t>102812/95529</t>
  </si>
  <si>
    <t>102849/95750</t>
  </si>
  <si>
    <t>95588/102819</t>
  </si>
  <si>
    <t>102816/95748</t>
  </si>
  <si>
    <t>95154/102855</t>
  </si>
  <si>
    <t>95856/102861</t>
  </si>
  <si>
    <t>102874/95908</t>
  </si>
  <si>
    <t>95742/102841/95705</t>
  </si>
  <si>
    <t>95808/102883</t>
  </si>
  <si>
    <t>102889/95979</t>
  </si>
  <si>
    <t>95997/102894</t>
  </si>
  <si>
    <t>95971/102886</t>
  </si>
  <si>
    <t>96261/102918</t>
  </si>
  <si>
    <t>102925/96150</t>
  </si>
  <si>
    <t>96167/102919</t>
  </si>
  <si>
    <t>102930/96164</t>
  </si>
  <si>
    <t>102936/96201</t>
  </si>
  <si>
    <t>102964/95679</t>
  </si>
  <si>
    <t>EASYMED SERVICOS MEDICOS LTDA</t>
  </si>
  <si>
    <t>DOCTOR PRIME CLINICA E DIAGNOSTICOS LTDA</t>
  </si>
  <si>
    <t>102910 /95977</t>
  </si>
  <si>
    <t>102978/96372</t>
  </si>
  <si>
    <t>LABORATORIO CORTES VILLELA LTDA</t>
  </si>
  <si>
    <t>102632/95781</t>
  </si>
  <si>
    <t>96572/103011</t>
  </si>
  <si>
    <t>96346 /102955</t>
  </si>
  <si>
    <t>96298/102959</t>
  </si>
  <si>
    <t>96399/102979</t>
  </si>
  <si>
    <t>96207/102941</t>
  </si>
  <si>
    <t>96212/96654</t>
  </si>
  <si>
    <t>CIRÚRGICA PAULISTA COMERCIO PROD MED LTDA</t>
  </si>
  <si>
    <t>103025/96634</t>
  </si>
  <si>
    <t>96184/102929</t>
  </si>
  <si>
    <t>96538/103002</t>
  </si>
  <si>
    <t>95905/103042</t>
  </si>
  <si>
    <t>102934/96787</t>
  </si>
  <si>
    <t>102954/96280</t>
  </si>
  <si>
    <t>96735/103039</t>
  </si>
  <si>
    <t>95368/95305</t>
  </si>
  <si>
    <t>96464/102984</t>
  </si>
  <si>
    <t>103056/96843</t>
  </si>
  <si>
    <t>96861/96841</t>
  </si>
  <si>
    <t>103013/96563/96764</t>
  </si>
  <si>
    <t>96884/103069</t>
  </si>
  <si>
    <t>103099/97037</t>
  </si>
  <si>
    <t>103067/97032</t>
  </si>
  <si>
    <t>103118/97121</t>
  </si>
  <si>
    <t>97124/97092</t>
  </si>
  <si>
    <t>96648/103124</t>
  </si>
  <si>
    <t>97182/103131</t>
  </si>
  <si>
    <t>97015/103101</t>
  </si>
  <si>
    <t>97230/103142</t>
  </si>
  <si>
    <t>103111/97085</t>
  </si>
  <si>
    <t>103127/97173</t>
  </si>
  <si>
    <t>97282/103150</t>
  </si>
  <si>
    <t>103066/97373</t>
  </si>
  <si>
    <t>CLIENTE CAROL</t>
  </si>
  <si>
    <t>97342/103159</t>
  </si>
  <si>
    <t>103065/96820</t>
  </si>
  <si>
    <t>97383/103176</t>
  </si>
  <si>
    <t>97345 /103155</t>
  </si>
  <si>
    <t>103180/97499</t>
  </si>
  <si>
    <t>103179/97552</t>
  </si>
  <si>
    <t>103189/97580</t>
  </si>
  <si>
    <t>103125/96906</t>
  </si>
  <si>
    <t>103182 /97442</t>
  </si>
  <si>
    <t>103206/97612</t>
  </si>
  <si>
    <t>103209/97660</t>
  </si>
  <si>
    <t>103226/97816</t>
  </si>
  <si>
    <t>103071/96889</t>
  </si>
  <si>
    <t>103225/97800</t>
  </si>
  <si>
    <t>REDE D'OR SAO LUIZ S.A.</t>
  </si>
  <si>
    <t>97828/103218</t>
  </si>
  <si>
    <t>BATISTA &amp; BATISTA ANALISES CLINICAS LTDA</t>
  </si>
  <si>
    <t>teans</t>
  </si>
  <si>
    <t>103250/98004</t>
  </si>
  <si>
    <t>98041/103257</t>
  </si>
  <si>
    <t>103256/98035</t>
  </si>
  <si>
    <t>103263/97668</t>
  </si>
  <si>
    <t>98099/103265</t>
  </si>
  <si>
    <t>103254/98100</t>
  </si>
  <si>
    <t>98160/103275</t>
  </si>
  <si>
    <t>98185/103219</t>
  </si>
  <si>
    <t>98230/103284</t>
  </si>
  <si>
    <t>103255/96605</t>
  </si>
  <si>
    <t>103297/97617</t>
  </si>
  <si>
    <t>98409/103311</t>
  </si>
  <si>
    <t>103317/98416</t>
  </si>
  <si>
    <t>LABORATORIO SAO ROQUE LTDA</t>
  </si>
  <si>
    <t>98343/103302</t>
  </si>
  <si>
    <t>97693/103326</t>
  </si>
  <si>
    <t>98445/103329</t>
  </si>
  <si>
    <t>103328/98477</t>
  </si>
  <si>
    <t>103330/98579</t>
  </si>
  <si>
    <t>103341/98589</t>
  </si>
  <si>
    <t>103347/98393</t>
  </si>
  <si>
    <t>103365/98695</t>
  </si>
  <si>
    <t>103349/98609</t>
  </si>
  <si>
    <t>SERRA MAYOR SERVICOS MEDICOS S/A</t>
  </si>
  <si>
    <t>98756/103375</t>
  </si>
  <si>
    <t>96651/103299</t>
  </si>
  <si>
    <t>98806/98786</t>
  </si>
  <si>
    <t>98039/98496/103333</t>
  </si>
  <si>
    <t>103398/98865</t>
  </si>
  <si>
    <t>103435/99077</t>
  </si>
  <si>
    <t>99073/99095</t>
  </si>
  <si>
    <t>103449/99149</t>
  </si>
  <si>
    <t>99143/103442</t>
  </si>
  <si>
    <t>99104/103441</t>
  </si>
  <si>
    <t>103446/99135</t>
  </si>
  <si>
    <t>99122/103445</t>
  </si>
  <si>
    <t>103426/103461/99211</t>
  </si>
  <si>
    <t>99238/103468</t>
  </si>
  <si>
    <t>99245/103471</t>
  </si>
  <si>
    <t>99273/103472</t>
  </si>
  <si>
    <t>103287/99341</t>
  </si>
  <si>
    <t>103502/99411</t>
  </si>
  <si>
    <t>99342/103490</t>
  </si>
  <si>
    <t>103484/99331</t>
  </si>
  <si>
    <t>CAETANO FACCHINI DA VEIGA</t>
  </si>
  <si>
    <t>98378/103370</t>
  </si>
  <si>
    <t>103524/99523</t>
  </si>
  <si>
    <t>103552/99685</t>
  </si>
  <si>
    <t>99718/99670</t>
  </si>
  <si>
    <t>98838/99667</t>
  </si>
  <si>
    <t>LUIZ FRANCISCO ZAFALON</t>
  </si>
  <si>
    <t>103585/99874</t>
  </si>
  <si>
    <t>99792/103578</t>
  </si>
  <si>
    <t>99683/103556</t>
  </si>
  <si>
    <t>103529/98823</t>
  </si>
  <si>
    <t>99937/103587</t>
  </si>
  <si>
    <t>99524/103525</t>
  </si>
  <si>
    <t>103520/99497</t>
  </si>
  <si>
    <t>LABORATORIO DE ANALISES CLINICAS SRC FOZ DO IGUACU LTDA</t>
  </si>
  <si>
    <t>100012/99771</t>
  </si>
  <si>
    <t>103571/99788</t>
  </si>
  <si>
    <t>103575/99824</t>
  </si>
  <si>
    <t>100054/103611</t>
  </si>
  <si>
    <t>98818/99146</t>
  </si>
  <si>
    <t>103613/100058</t>
  </si>
  <si>
    <t>99963/103621</t>
  </si>
  <si>
    <t>103616/100083</t>
  </si>
  <si>
    <t xml:space="preserve"> 99776/103572</t>
  </si>
  <si>
    <t>99682/103627</t>
  </si>
  <si>
    <t>99627/103625</t>
  </si>
  <si>
    <t>99694/103634</t>
  </si>
  <si>
    <t>103640/100171</t>
  </si>
  <si>
    <t>100252/103657</t>
  </si>
  <si>
    <t>103554/99669</t>
  </si>
  <si>
    <t>103665/100271</t>
  </si>
  <si>
    <t xml:space="preserve"> 100310/103674</t>
  </si>
  <si>
    <t>103677/99383</t>
  </si>
  <si>
    <t>99998/103680</t>
  </si>
  <si>
    <t>100349/100349</t>
  </si>
  <si>
    <t>103658/100251</t>
  </si>
  <si>
    <t>100264/103661</t>
  </si>
  <si>
    <t>103686/99441</t>
  </si>
  <si>
    <t xml:space="preserve">103691/99960 </t>
  </si>
  <si>
    <t>103664/99771/100037</t>
  </si>
  <si>
    <t>97583/100394</t>
  </si>
  <si>
    <t>100392/100389</t>
  </si>
  <si>
    <t>103608/98037</t>
  </si>
  <si>
    <t>103720/100407</t>
  </si>
  <si>
    <t>100547/103721</t>
  </si>
  <si>
    <t>103692/100612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</si>
</sst>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F400]h:mm:ss\ AM/PM"/>
    <numFmt numFmtId="165" formatCode="&quot;R$&quot;\ #,##0.0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212529"/>
      <name val="Calibri"/>
      <family val="2"/>
    </font>
    <font>
      <sz val="11"/>
      <color rgb="FF212529"/>
      <name val="Calibri"/>
      <family val="2"/>
    </font>
    <font>
      <sz val="12"/>
      <color rgb="FF212529"/>
      <name val="Calibri"/>
      <family val="2"/>
      <scheme val="minor"/>
    </font>
    <font>
      <u/>
      <sz val="12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212529"/>
      <name val="Calibri"/>
      <family val="2"/>
    </font>
    <font>
      <sz val="11"/>
      <color rgb="FF212529"/>
      <name val="Inter"/>
    </font>
    <font>
      <b/>
      <sz val="11"/>
      <color rgb="FF333333"/>
      <name val="Calibri"/>
      <family val="2"/>
    </font>
    <font>
      <sz val="11"/>
      <color rgb="FF212529"/>
      <name val="Calibri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164CC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/>
    <xf numFmtId="164" fontId="0" fillId="0" borderId="0" xfId="0" applyNumberFormat="1"/>
    <xf numFmtId="44" fontId="0" fillId="0" borderId="0" xfId="2" applyFont="1"/>
    <xf numFmtId="44" fontId="0" fillId="0" borderId="0" xfId="0" applyNumberFormat="1"/>
    <xf numFmtId="0" fontId="0" fillId="0" borderId="1" xfId="0" applyBorder="1" applyAlignment="1">
      <alignment horizontal="center"/>
    </xf>
    <xf numFmtId="0" fontId="8" fillId="3" borderId="0" xfId="0" applyFont="1" applyFill="1"/>
    <xf numFmtId="165" fontId="8" fillId="3" borderId="0" xfId="0" applyNumberFormat="1" applyFont="1" applyFill="1"/>
    <xf numFmtId="14" fontId="8" fillId="3" borderId="0" xfId="0" applyNumberFormat="1" applyFont="1" applyFill="1"/>
    <xf numFmtId="0" fontId="0" fillId="0" borderId="1" xfId="0" applyBorder="1"/>
    <xf numFmtId="0" fontId="7" fillId="0" borderId="0" xfId="0" applyFont="1" applyAlignment="1">
      <alignment horizontal="left"/>
    </xf>
    <xf numFmtId="0" fontId="9" fillId="3" borderId="5" xfId="0" applyFont="1" applyFill="1" applyBorder="1"/>
    <xf numFmtId="0" fontId="9" fillId="3" borderId="8" xfId="0" applyFont="1" applyFill="1" applyBorder="1"/>
    <xf numFmtId="14" fontId="9" fillId="3" borderId="4" xfId="0" applyNumberFormat="1" applyFont="1" applyFill="1" applyBorder="1"/>
    <xf numFmtId="0" fontId="10" fillId="0" borderId="7" xfId="0" applyFont="1" applyBorder="1"/>
    <xf numFmtId="0" fontId="10" fillId="0" borderId="1" xfId="0" applyFont="1" applyBorder="1"/>
    <xf numFmtId="14" fontId="10" fillId="0" borderId="6" xfId="0" applyNumberFormat="1" applyFont="1" applyBorder="1"/>
    <xf numFmtId="44" fontId="10" fillId="0" borderId="1" xfId="2" applyFont="1" applyBorder="1"/>
    <xf numFmtId="14" fontId="10" fillId="0" borderId="1" xfId="0" applyNumberFormat="1" applyFont="1" applyBorder="1"/>
    <xf numFmtId="44" fontId="10" fillId="0" borderId="1" xfId="2" applyFont="1" applyBorder="1" applyAlignment="1">
      <alignment horizontal="left"/>
    </xf>
    <xf numFmtId="0" fontId="8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9" fontId="0" fillId="0" borderId="1" xfId="3" applyFont="1" applyBorder="1"/>
    <xf numFmtId="0" fontId="0" fillId="2" borderId="1" xfId="0" applyFill="1" applyBorder="1"/>
    <xf numFmtId="9" fontId="1" fillId="2" borderId="1" xfId="0" applyNumberFormat="1" applyFont="1" applyFill="1" applyBorder="1"/>
    <xf numFmtId="0" fontId="7" fillId="0" borderId="0" xfId="0" applyFont="1"/>
    <xf numFmtId="0" fontId="11" fillId="3" borderId="5" xfId="0" applyFont="1" applyFill="1" applyBorder="1" applyAlignment="1">
      <alignment horizontal="left"/>
    </xf>
    <xf numFmtId="0" fontId="11" fillId="3" borderId="8" xfId="0" applyFont="1" applyFill="1" applyBorder="1" applyAlignment="1">
      <alignment horizontal="left"/>
    </xf>
    <xf numFmtId="165" fontId="11" fillId="3" borderId="8" xfId="0" applyNumberFormat="1" applyFont="1" applyFill="1" applyBorder="1" applyAlignment="1">
      <alignment horizontal="left"/>
    </xf>
    <xf numFmtId="0" fontId="12" fillId="3" borderId="0" xfId="0" applyFont="1" applyFill="1"/>
    <xf numFmtId="14" fontId="11" fillId="3" borderId="8" xfId="0" applyNumberFormat="1" applyFont="1" applyFill="1" applyBorder="1" applyAlignment="1">
      <alignment horizontal="left"/>
    </xf>
    <xf numFmtId="0" fontId="11" fillId="3" borderId="4" xfId="0" applyFont="1" applyFill="1" applyBorder="1" applyAlignment="1">
      <alignment horizontal="left"/>
    </xf>
    <xf numFmtId="0" fontId="13" fillId="0" borderId="7" xfId="0" applyFont="1" applyBorder="1"/>
    <xf numFmtId="0" fontId="13" fillId="0" borderId="1" xfId="0" applyFont="1" applyBorder="1"/>
    <xf numFmtId="14" fontId="13" fillId="0" borderId="1" xfId="0" applyNumberFormat="1" applyFont="1" applyBorder="1"/>
    <xf numFmtId="0" fontId="13" fillId="0" borderId="1" xfId="0" applyFont="1" applyBorder="1" applyAlignment="1">
      <alignment horizontal="center"/>
    </xf>
    <xf numFmtId="0" fontId="14" fillId="0" borderId="1" xfId="1" applyFont="1" applyBorder="1"/>
    <xf numFmtId="0" fontId="13" fillId="0" borderId="6" xfId="0" applyFont="1" applyBorder="1"/>
    <xf numFmtId="0" fontId="13" fillId="0" borderId="0" xfId="0" applyFont="1"/>
    <xf numFmtId="14" fontId="13" fillId="0" borderId="0" xfId="0" applyNumberFormat="1" applyFont="1"/>
    <xf numFmtId="0" fontId="10" fillId="0" borderId="3" xfId="0" applyFont="1" applyBorder="1"/>
    <xf numFmtId="0" fontId="10" fillId="0" borderId="9" xfId="0" applyFont="1" applyBorder="1"/>
    <xf numFmtId="0" fontId="0" fillId="0" borderId="0" xfId="0" applyAlignment="1">
      <alignment horizontal="right"/>
    </xf>
    <xf numFmtId="44" fontId="0" fillId="0" borderId="0" xfId="2" applyFont="1" applyAlignment="1"/>
    <xf numFmtId="44" fontId="10" fillId="0" borderId="9" xfId="2" applyFont="1" applyBorder="1"/>
    <xf numFmtId="14" fontId="10" fillId="0" borderId="9" xfId="0" applyNumberFormat="1" applyFont="1" applyBorder="1"/>
    <xf numFmtId="14" fontId="10" fillId="0" borderId="2" xfId="0" applyNumberFormat="1" applyFont="1" applyBorder="1"/>
    <xf numFmtId="0" fontId="10" fillId="0" borderId="9" xfId="0" applyFont="1" applyBorder="1" applyAlignment="1">
      <alignment horizontal="right"/>
    </xf>
    <xf numFmtId="0" fontId="13" fillId="0" borderId="3" xfId="0" applyFont="1" applyBorder="1"/>
    <xf numFmtId="0" fontId="13" fillId="0" borderId="9" xfId="0" applyFont="1" applyBorder="1"/>
    <xf numFmtId="0" fontId="14" fillId="0" borderId="9" xfId="1" applyFont="1" applyBorder="1"/>
    <xf numFmtId="0" fontId="13" fillId="0" borderId="2" xfId="0" applyFont="1" applyBorder="1"/>
    <xf numFmtId="44" fontId="10" fillId="0" borderId="9" xfId="2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2" fillId="0" borderId="1" xfId="1" applyBorder="1"/>
    <xf numFmtId="0" fontId="15" fillId="0" borderId="3" xfId="0" applyFont="1" applyBorder="1"/>
    <xf numFmtId="0" fontId="10" fillId="4" borderId="3" xfId="0" applyFont="1" applyFill="1" applyBorder="1"/>
    <xf numFmtId="0" fontId="10" fillId="4" borderId="9" xfId="0" applyFont="1" applyFill="1" applyBorder="1"/>
    <xf numFmtId="44" fontId="10" fillId="4" borderId="9" xfId="2" applyFont="1" applyFill="1" applyBorder="1"/>
    <xf numFmtId="14" fontId="10" fillId="4" borderId="9" xfId="0" applyNumberFormat="1" applyFont="1" applyFill="1" applyBorder="1"/>
    <xf numFmtId="14" fontId="10" fillId="4" borderId="2" xfId="0" applyNumberFormat="1" applyFont="1" applyFill="1" applyBorder="1"/>
    <xf numFmtId="165" fontId="10" fillId="0" borderId="9" xfId="0" applyNumberFormat="1" applyFont="1" applyBorder="1" applyAlignment="1">
      <alignment horizontal="right"/>
    </xf>
    <xf numFmtId="0" fontId="10" fillId="4" borderId="9" xfId="0" applyFont="1" applyFill="1" applyBorder="1" applyAlignment="1">
      <alignment horizontal="right"/>
    </xf>
    <xf numFmtId="0" fontId="16" fillId="0" borderId="3" xfId="0" applyFont="1" applyBorder="1"/>
    <xf numFmtId="0" fontId="17" fillId="0" borderId="3" xfId="0" applyFont="1" applyBorder="1"/>
    <xf numFmtId="0" fontId="18" fillId="0" borderId="9" xfId="1" applyFont="1" applyBorder="1"/>
    <xf numFmtId="0" fontId="10" fillId="0" borderId="3" xfId="0" applyFont="1" applyBorder="1" applyAlignment="1">
      <alignment horizontal="right"/>
    </xf>
    <xf numFmtId="14" fontId="10" fillId="0" borderId="2" xfId="0" applyNumberFormat="1" applyFont="1" applyBorder="1" applyAlignment="1">
      <alignment horizontal="right"/>
    </xf>
    <xf numFmtId="0" fontId="10" fillId="5" borderId="7" xfId="0" applyFont="1" applyFill="1" applyBorder="1"/>
    <xf numFmtId="0" fontId="10" fillId="5" borderId="1" xfId="0" applyFont="1" applyFill="1" applyBorder="1"/>
    <xf numFmtId="44" fontId="10" fillId="5" borderId="1" xfId="2" applyFont="1" applyFill="1" applyBorder="1"/>
    <xf numFmtId="14" fontId="10" fillId="5" borderId="1" xfId="0" applyNumberFormat="1" applyFont="1" applyFill="1" applyBorder="1"/>
    <xf numFmtId="14" fontId="10" fillId="5" borderId="6" xfId="0" applyNumberFormat="1" applyFont="1" applyFill="1" applyBorder="1"/>
    <xf numFmtId="0" fontId="10" fillId="6" borderId="3" xfId="0" applyFont="1" applyFill="1" applyBorder="1"/>
    <xf numFmtId="0" fontId="10" fillId="6" borderId="9" xfId="0" applyFont="1" applyFill="1" applyBorder="1"/>
    <xf numFmtId="44" fontId="10" fillId="6" borderId="9" xfId="2" applyFont="1" applyFill="1" applyBorder="1"/>
    <xf numFmtId="14" fontId="10" fillId="6" borderId="9" xfId="0" applyNumberFormat="1" applyFont="1" applyFill="1" applyBorder="1"/>
    <xf numFmtId="14" fontId="10" fillId="6" borderId="2" xfId="0" applyNumberFormat="1" applyFont="1" applyFill="1" applyBorder="1"/>
    <xf numFmtId="0" fontId="10" fillId="6" borderId="9" xfId="0" applyFont="1" applyFill="1" applyBorder="1" applyAlignment="1">
      <alignment horizontal="right"/>
    </xf>
    <xf numFmtId="0" fontId="10" fillId="5" borderId="1" xfId="0" applyFont="1" applyFill="1" applyBorder="1" applyAlignment="1">
      <alignment horizontal="right"/>
    </xf>
    <xf numFmtId="44" fontId="9" fillId="3" borderId="8" xfId="2" applyFont="1" applyFill="1" applyBorder="1"/>
    <xf numFmtId="44" fontId="10" fillId="0" borderId="9" xfId="2" applyFont="1" applyFill="1" applyBorder="1"/>
    <xf numFmtId="0" fontId="0" fillId="6" borderId="0" xfId="0" applyFill="1"/>
    <xf numFmtId="0" fontId="19" fillId="0" borderId="3" xfId="0" applyFont="1" applyBorder="1"/>
    <xf numFmtId="0" fontId="19" fillId="0" borderId="9" xfId="0" applyFont="1" applyBorder="1"/>
    <xf numFmtId="0" fontId="19" fillId="0" borderId="9" xfId="0" applyFont="1" applyBorder="1" applyAlignment="1">
      <alignment horizontal="right"/>
    </xf>
    <xf numFmtId="44" fontId="19" fillId="0" borderId="9" xfId="2" applyFont="1" applyFill="1" applyBorder="1"/>
    <xf numFmtId="14" fontId="19" fillId="0" borderId="9" xfId="0" applyNumberFormat="1" applyFont="1" applyBorder="1"/>
    <xf numFmtId="14" fontId="19" fillId="0" borderId="2" xfId="0" applyNumberFormat="1" applyFont="1" applyBorder="1"/>
    <xf numFmtId="0" fontId="20" fillId="0" borderId="0" xfId="0" applyFont="1"/>
    <xf numFmtId="0" fontId="21" fillId="0" borderId="3" xfId="0" applyFont="1" applyBorder="1"/>
    <xf numFmtId="0" fontId="22" fillId="0" borderId="0" xfId="0" applyFont="1"/>
    <xf numFmtId="44" fontId="10" fillId="0" borderId="1" xfId="2" applyFont="1" applyFill="1" applyBorder="1"/>
    <xf numFmtId="44" fontId="10" fillId="0" borderId="9" xfId="2" applyFont="1" applyFill="1" applyBorder="1" applyAlignment="1">
      <alignment horizontal="left"/>
    </xf>
    <xf numFmtId="44" fontId="10" fillId="0" borderId="1" xfId="2" applyFont="1" applyFill="1" applyBorder="1" applyAlignment="1">
      <alignment horizontal="left"/>
    </xf>
    <xf numFmtId="0" fontId="23" fillId="0" borderId="9" xfId="0" applyFont="1" applyBorder="1"/>
    <xf numFmtId="44" fontId="10" fillId="0" borderId="3" xfId="2" applyFont="1" applyBorder="1"/>
    <xf numFmtId="0" fontId="24" fillId="0" borderId="3" xfId="0" applyFont="1" applyBorder="1"/>
    <xf numFmtId="44" fontId="19" fillId="0" borderId="9" xfId="2" applyFont="1" applyBorder="1"/>
    <xf numFmtId="0" fontId="9" fillId="3" borderId="8" xfId="0" applyFont="1" applyFill="1" applyBorder="1" applyAlignment="1">
      <alignment horizontal="right"/>
    </xf>
    <xf numFmtId="0" fontId="22" fillId="0" borderId="0" xfId="0" applyFont="1" applyAlignment="1">
      <alignment horizontal="right"/>
    </xf>
    <xf numFmtId="0" fontId="10" fillId="0" borderId="9" xfId="2" applyNumberFormat="1" applyFont="1" applyBorder="1" applyAlignment="1">
      <alignment horizontal="right"/>
    </xf>
    <xf numFmtId="0" fontId="25" fillId="0" borderId="0" xfId="0" applyFont="1"/>
    <xf numFmtId="14" fontId="13" fillId="0" borderId="9" xfId="0" applyNumberFormat="1" applyFont="1" applyBorder="1"/>
    <xf numFmtId="14" fontId="13" fillId="0" borderId="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9" fontId="0" fillId="0" borderId="2" xfId="3" applyFont="1" applyBorder="1" applyAlignment="1">
      <alignment horizontal="center"/>
    </xf>
    <xf numFmtId="9" fontId="0" fillId="0" borderId="3" xfId="3" applyFont="1" applyBorder="1" applyAlignment="1">
      <alignment horizontal="center"/>
    </xf>
    <xf numFmtId="9" fontId="0" fillId="0" borderId="4" xfId="3" applyFont="1" applyBorder="1" applyAlignment="1">
      <alignment horizontal="center"/>
    </xf>
    <xf numFmtId="9" fontId="0" fillId="0" borderId="5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4" fontId="0" fillId="0" borderId="1" xfId="0" applyNumberFormat="1" applyBorder="1" applyAlignment="1">
      <alignment horizontal="center"/>
    </xf>
  </cellXfs>
  <cellStyles count="4">
    <cellStyle name="Hiperlink" xfId="1" builtinId="8"/>
    <cellStyle name="Moeda" xfId="2" builtinId="4"/>
    <cellStyle name="Normal" xfId="0" builtinId="0"/>
    <cellStyle name="Porcentagem" xfId="3" builtinId="5"/>
  </cellStyles>
  <dxfs count="54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auto="1"/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left" relativeIndent="1"/>
    </dxf>
    <dxf>
      <alignment horizontal="left" relativeIndent="1"/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164CC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F400]h:mm:ss\ AM/PM"/>
    </dxf>
    <dxf>
      <numFmt numFmtId="19" formatCode="dd/mm/yyyy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164CC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d/mm/yyyy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164CC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  <color rgb="FF00FFFF"/>
      <color rgb="FFFF5050"/>
      <color rgb="FFFF99FF"/>
      <color rgb="FFFF6699"/>
      <color rgb="FFFF66FF"/>
      <color rgb="FFEEF8E4"/>
      <color rgb="FF0164CC"/>
      <color rgb="FFFF3300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4</xdr:row>
      <xdr:rowOff>0</xdr:rowOff>
    </xdr:from>
    <xdr:to>
      <xdr:col>3</xdr:col>
      <xdr:colOff>514350</xdr:colOff>
      <xdr:row>17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es (DATA)">
              <a:extLst>
                <a:ext uri="{FF2B5EF4-FFF2-40B4-BE49-F238E27FC236}">
                  <a16:creationId xmlns:a16="http://schemas.microsoft.com/office/drawing/2014/main" id="{16324B47-70FD-E1BD-F64D-4C0BA6829D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50" y="762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9525</xdr:colOff>
      <xdr:row>4</xdr:row>
      <xdr:rowOff>0</xdr:rowOff>
    </xdr:from>
    <xdr:to>
      <xdr:col>2</xdr:col>
      <xdr:colOff>200025</xdr:colOff>
      <xdr:row>17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s (DATA)">
              <a:extLst>
                <a:ext uri="{FF2B5EF4-FFF2-40B4-BE49-F238E27FC236}">
                  <a16:creationId xmlns:a16="http://schemas.microsoft.com/office/drawing/2014/main" id="{7E054AD1-5B84-449E-D9B2-4809205EA4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5" y="762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476249</xdr:colOff>
      <xdr:row>11</xdr:row>
      <xdr:rowOff>11906</xdr:rowOff>
    </xdr:from>
    <xdr:to>
      <xdr:col>6</xdr:col>
      <xdr:colOff>138111</xdr:colOff>
      <xdr:row>31</xdr:row>
      <xdr:rowOff>130969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es (DATA) 1">
              <a:extLst>
                <a:ext uri="{FF2B5EF4-FFF2-40B4-BE49-F238E27FC236}">
                  <a16:creationId xmlns:a16="http://schemas.microsoft.com/office/drawing/2014/main" id="{1D8D0CCB-44D1-45A8-9BA1-E34B422D46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2280" y="2297906"/>
              <a:ext cx="1828800" cy="3929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11905</xdr:colOff>
      <xdr:row>18</xdr:row>
      <xdr:rowOff>107156</xdr:rowOff>
    </xdr:from>
    <xdr:to>
      <xdr:col>2</xdr:col>
      <xdr:colOff>888205</xdr:colOff>
      <xdr:row>31</xdr:row>
      <xdr:rowOff>154781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s (DATA) 1">
              <a:extLst>
                <a:ext uri="{FF2B5EF4-FFF2-40B4-BE49-F238E27FC236}">
                  <a16:creationId xmlns:a16="http://schemas.microsoft.com/office/drawing/2014/main" id="{DDD00881-94D8-4066-916F-2B8262862E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4" y="3726656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 PINHEIRO" refreshedDate="46251.334269212966" createdVersion="8" refreshedVersion="8" minRefreshableVersion="3" recordCount="3574" xr:uid="{A282E0B8-4DC4-4B90-96D3-492EADBFCD22}">
  <cacheSource type="worksheet">
    <worksheetSource name="tVendas"/>
  </cacheSource>
  <cacheFields count="13">
    <cacheField name="W" numFmtId="0">
      <sharedItems containsBlank="1" containsMixedTypes="1" containsNumber="1" containsInteger="1" minValue="0" maxValue="501266"/>
    </cacheField>
    <cacheField name="NOME" numFmtId="0">
      <sharedItems containsMixedTypes="1" containsNumber="1" containsInteger="1" minValue="0" maxValue="0" count="168">
        <s v="CADASTRAR CLIENTE"/>
        <s v="JOAO JOSE SCHIAVUZZO ME"/>
        <s v="FUNDACAO PAULISTA DE TECNOLOGIA E EDUCACAO"/>
        <s v="LAB.ANAL.CLIN.BIOCLIN SC LTDA."/>
        <s v="UNILAB LABORATORIO ANALISES CLINICAS SANTA FE DO SUL LTDA"/>
        <s v="LAB. ANAL. CLIN. DR ARNALDO BUAINAIN SS LTDA"/>
        <s v="LAB ANAL CLINICAS SANTA RITA S/C LTDA"/>
        <s v="LABSC SERVICOS LABORATORIAIS LTDA"/>
        <s v="LAB.TRIANON DE ANAL.CLIN.SC LTDA."/>
        <s v="LABORATORIO VIDA  S/S LTDA"/>
        <s v="CBI ANALISES CLINICAS S/S LTDA"/>
        <s v="TECNOLAB PATOLOGIA CLINICA S/C LTDA"/>
        <s v="UNIMED DE TUPA COOPERATIVA DE TRABALHO MEDICO"/>
        <s v="LAB.ANAL.CLIN. ALBERT SABIN SC LTDA."/>
        <s v="UNIPREV LAB DE ANALISES LOCACAO DE BENS E REPAROS LTDA EPP"/>
        <s v="BIOLIFE-LABORATORIO DE ANALISES CLINICAS LTDA"/>
        <s v="LAB ANAL CLIN VENDRAMINI S/S LTDA"/>
        <s v="SANCHES x SANCHES S/C LTDA"/>
        <s v="CENTRO DE DIAGNOSTICOS CONTROLE LTDA"/>
        <s v="SAO ROQUE MEDICINA DIAGNOSTICA LTDA EPP"/>
        <s v="SAO ROQUE MEDICINA DIAGNOSTICA"/>
        <s v="CEDIMA  CENTRO DE DIAG MONTE AZUL ANAL CLIN E CIT"/>
        <s v="LABORATORIO SAMIA LTDA"/>
        <s v="LABORATORIO DE ANALISES CLINICAS SRC LTDA"/>
        <s v="EXAME CENTRO DIAG.M.ARACATUBA SC LTDA."/>
        <s v="MONICA VIEIRA DE CAMPOS REBELO-ME"/>
        <s v="LAB. ANAL. CLIN. POMPEIA"/>
        <s v="LABORATORIO ANAL. CLIN. DESCALVADO LTDA"/>
        <s v="LAB. MEDICO DR. MARICONDI S/C LTDA."/>
        <s v="LABORATORIO POPULAR LAB 7 LTDA"/>
        <s v="LUIS VALERIO FILHO-ME"/>
        <s v="VITALIS LAB.ANAL.CLIN.S/C LTDA"/>
        <s v="MASUDA &amp; MASUDA LABORATORIO CLINICO LTDA"/>
        <s v="LABORATORIO RIO NEGRO CENTER DE MARILIA  LTDA"/>
        <s v="IRMANDADE DA SANTA CASA DE MISERIC. DE MOGI MIRIM"/>
        <s v="LABORATORIO SAO LUCAS DE BROTAS SS LTDA"/>
        <s v="BIO-LAB SAO JUDAS TADEU S/C LTDA - ME"/>
        <s v="ANDRIAO CANEPPA E SILVA LTDA ME"/>
        <s v="MURILO RIGOTTO TERRASSI"/>
        <s v="LAB SAO LUCAS"/>
        <s v="ALMEIDA &amp; FLAITT LABORATORIOS DE ANALISES CLINICAS LTDA"/>
        <s v="STA. CASA MISERICORDIA DE ARACATUBA"/>
        <s v="LAB. ANAL. CLIN. DRA SILVIA M.MANZATO LARANJO SC LTDA."/>
        <s v="LABORATORIO PASTEUR HEMATOLOGIA E MICROBIOLOGIA S/S LTDA"/>
        <s v="FUNDACAO EDUCACIONAL DE ANDRADINA-FEA"/>
        <s v="DR MUNHOZ HOSPITAL VETERINARIO E PET SHOP"/>
        <s v="CENTRO DE ANAL.CLIN. UNILAB  SC LTDA."/>
        <s v="LABORATORIO UNILABVET EIRELI"/>
        <s v="BIOMED LAB.ANAL.CLIN. SC  LTDA"/>
        <s v="LAB. ONUMA E BASILIO S/C LTDA"/>
        <s v="LABORATORIO BIOANALISE DIAGNOSTICO LTDA"/>
        <s v="LABORATORIO MULTIANALISES LTDA-ME"/>
        <s v="LABORATORIO JUNHO TEIXEIRA LTDA"/>
        <s v="LAB.ANAL.CLIN ABI JAUDI SC LTDA."/>
        <s v="LABORATORIO DE ANALISES CLINICAS SENTOME LTDA-ME"/>
        <s v="ASSOCIACAO DE ENSINO E CULTURA DE MATO GROSSO"/>
        <s v="IMEDI INST.MEDICO DE PAT.E DIAGNOSTICO SC LTDA."/>
        <s v="LAB.ANAL.CLIN. E REP. BADY BASSIT LTDA"/>
        <s v="LAB. ANAL. CLIN. SAO LOURENCO S/C LTDA"/>
        <s v="LQF LABORATORIO QUIMICO FARMACEUTICO RIO PRETO EIRELI - ME"/>
        <s v="C D A CENTRO DE DIAGNOSTICO VETERINARIO"/>
        <s v="LAB. SANTA CLARA ANAL.CLIN."/>
        <s v="IMUNOLAB LABORATORIO DE ANALISES CLINICAS LTDA ME"/>
        <s v="ROSSETTO E BARROS LABORATORIO DE ANALISES CLINICAS LTDA"/>
        <s v="NP- LABORATORIO DE ANALISES CLINICAS LTDA"/>
        <s v="LAB. ANAL. CLIN. DR. ALUISIO CASELLA"/>
        <s v="SAO LUCAS LABORATORIO ANAL. CLIN. S/C LTDA"/>
        <s v="SAO FRANCISCO ANAL. CLIN."/>
        <s v="cliente bia "/>
        <s v="LAB.SAO PAULO DE ANAL.CLIN.SC LTDA."/>
        <s v="HOSPITAL BENEFICENTE SAO JOSE"/>
        <s v="MEGARON LABORATORIO ANAL.CLIN.SC LTDA."/>
        <s v="LAB AN CLIN DR NESTOR FERRAREZZI FILHO  SC LTDA"/>
        <s v="SANTA CASA DE MISER. DE TAQUARITUBA"/>
        <s v="CLINILAB LABORAT. ANAL. CLIN SC LTDA"/>
        <s v="LABORLOPES LABORATORIO DE  ANALISES CLINICAS LTDA"/>
        <s v="ASSOC.CASA DE SAUDE BEN. DE INDIAPORA"/>
        <s v="DIAGNOSTIKA-UNIDADE DIAGNOSTICA EM PATOLOGIA CIRURGICA E CITOLOGIA LTDA"/>
        <s v="EDSON VANDERLEI CARRERA"/>
        <s v="CLINICA MEDICA E ODONTOLOGICA AMOR SAUDE TUPA LTDA"/>
        <s v="LAB. GUARARAPES  ANAL. CLIN. SC LTDA"/>
        <s v="A.C. BARBOSA S/C LTDA."/>
        <s v="ASSOCIACAO SANTA CASA SAUDE DE ARACATUBA"/>
        <s v="NOVO HORIZONTE LAB.ANAL.CLIN.S/C LTDA."/>
        <s v="SESTITO &amp; TORRES CLINICA MEDICA"/>
        <s v="LAB. ANAL. CLIN. DR. HELIO NAKABASHI SC LTDA"/>
        <s v="LAB-MED LAB.ANALISES CLINICAS"/>
        <s v="FUNDEPAG"/>
        <s v="MEDCLINICA MORATENSE SC LTDA ME"/>
        <s v="HOSPITAL REGIONAL DR VIVALDO MARTINS SIMOES"/>
        <s v="LAB.ANAL.CLIN.SAO MANUEL SC LTDA."/>
        <s v="ZANATA &amp; REIS LABORCLINICA LTDA"/>
        <s v="LABORATORIO BIONALISES S.S. LTDA"/>
        <s v="LABORATORIO DE ANALISES CLINICAS SAO JOSE LTDA"/>
        <s v="SAO ROQUE MEDICINA DIAGNOSTICA LTDA"/>
        <s v="LABORATORIO DE ANALISES CLINICAS ROSSETO &amp; BARROS LTDA"/>
        <s v="LABORATORIO DE ANALISES CLINICAS VIDA BIRIGUI LTDA"/>
        <s v="EXAME-LABORAT. DE ANAL. CLIN. CITODIAGNOSTICO S/S LTDA"/>
        <s v="LABORATI LAB. ANAL. CLIN. TIETE S/C LTDA."/>
        <s v="LAB.ANAL.CLIN.DE ITAPETININGA"/>
        <s v="RALO &amp; DORNELLES CLINICA VETERINARIA LTDA ME"/>
        <s v="LAB.ANAL.CLIN. SAO LUCAS SC LTDA."/>
        <s v="ASSOCIACAO EDUCACIONAL DE ENSINO SUPERIOR"/>
        <s v="LAB LIFE LABORATORIO DE ANALISES CLINICAS LTDA"/>
        <s v="CISCRE IMPORTACAO E DISTRIBUICAO DE PRODUTOS MEDICOS LTDA"/>
        <s v="ANIMALAB SS LTDA"/>
        <s v="CLINICAO ANDRADINA PET SHOP E CLINICA VETERINARIA LTDA"/>
        <s v="A.C. CORREA DE OLIVEIRA LABORATORIO CLÍNICO"/>
        <s v="ANSELMO EDUARDO BIANCO"/>
        <s v="SOLUTE MEDICAL GROUP BRAZIL LTDA"/>
        <s v="UNIMED DE IBITINGA COOPERATIVA DE TRABALHO MEDICO"/>
        <s v="CONSORCIO INTERMUNICIPAL DE SAUDE"/>
        <s v="DR BACCILI SERVICOS MEDICO HOSPITALARES S/S"/>
        <s v="INSTITUICAO DOM BOSCO DE ENSINO E CULTURA"/>
        <s v="LABORATORIO DE ANALISES CLINICAS VITAL  BRAZIL LTDA EPP"/>
        <s v="LAB. ANAL. CLIN. COFFERS S/C LTDA"/>
        <s v="LAB. MEDICO GUIMARAES"/>
        <s v="FUNDACAO DE DESENVOLVIMENTO DA PESQUISA"/>
        <s v="NOTRE DAME INTERMEDICA MINAS GERAIS SAUDE S.A"/>
        <s v="MICHELE LOPES BERGAMIM-ME"/>
        <s v="ROTOLI CLINICA VETERINARIA LTDA ME"/>
        <s v="INSTITUTO DE HEMATOLOGIA SC LTDA."/>
        <s v="ML NOSSA SENHORA APARECIDA SERVICOS ADMINISTRATIVOS LTDA"/>
        <s v="SANTA CASA DE CARIDADE DE GUARANESIA"/>
        <s v="MARCELO MAURICIO  DE SOUZA"/>
        <s v="LABORATORIO GUIMARAES LTDA"/>
        <s v="MS10 COMERCIAL DE VIDRARIAS PARA LABORATORIOS LTDA"/>
        <s v="PLACIDO COMERCIO DE MATERIAIS CIRURGICOS E HOSPITALARES EIRELI ME"/>
        <s v="OBERON CENTRO VETERINARIO LTDA"/>
        <s v="GREEN LIFE PET BRANDS LTDA"/>
        <s v="SOLUTION GESTAO PUBLICA"/>
        <s v="FUNDACAO DE APOIO INSTITUCIONAL MURAKI"/>
        <s v="SOCIEDADE EDUCACIONAL UBERABENSE"/>
        <s v="JAQUELINE MARTINS RUIZ LAB DE ANALISES CLINICAS"/>
        <s v="BIOLABOR LAB. ANAL. CLIN. SC LTDA."/>
        <s v="HEMOVA HEMOTERAPIA VETERINARIA AVANÇADA E DIAGNOSTICOS"/>
        <s v="ADONEX COMÉRCIO DE PRODUTOS PARA LABORATÓRIO LTDA"/>
        <s v="INSTITUTO SOCIAL HOSPITAL ALEMAO OSWALDO CRUZ"/>
        <s v="UNIMED AMPARO COOPERATIVA DE TRABALHO MEDICO"/>
        <s v="ASSOCIACAO BENEFICIENTE NOSSA SENHORA DE NAZARE"/>
        <s v="SCQ SOLUCOES LABORATORIAIS LTDA"/>
        <s v="IERT- INSTITUICOES DE ENSINO REUNIDAS TIETE LTDA"/>
        <s v="FUND.DESENV.DE CIENCIAS FARMACEUTICAS"/>
        <s v="VERONICA DE OLIVEIRA SALES PEREIRA"/>
        <s v="IRMANDADE DA STA.CASA MISERIC.SAO CARLOS"/>
        <s v="HOUPILLARD SERVICOS VETERINARIOS LTDA."/>
        <s v="GENNER FABRIS FLORENCIO OLIVO"/>
        <s v="cliente claudia"/>
        <s v="LABORATORIOS DOCTOR"/>
        <s v="CLIN KIDS SERVICOS MEDICOS S/A"/>
        <s v="SOLUCOES FARMA DISTRIBUIDORA E IMPORTADORA DE MEDICAMENTOS E PRODUTOS PARA SAUDE LTDA."/>
        <s v="HOSPITAL BDW SP LTDA"/>
        <s v="INOVA LABORATORIO DE ANALISES CLINICAS LTDA"/>
        <s v="LAB ANAL CLIN SAO JUDAS TADEU SC LTDA"/>
        <s v="BIOGESP - ASSOC DE GESTAO E EXECUCAO DE SERV PUBLICOS E SOCIAIS"/>
        <s v="EASYMED SERVICOS MEDICOS LTDA"/>
        <s v="DOCTOR PRIME CLINICA E DIAGNOSTICOS LTDA"/>
        <s v="LABORATORIO CORTES VILLELA LTDA"/>
        <s v="CIRÚRGICA PAULISTA COMERCIO PROD MED LTDA"/>
        <s v="CLIENTE CAROL"/>
        <s v="REDE D'OR SAO LUIZ S.A."/>
        <s v="BATISTA &amp; BATISTA ANALISES CLINICAS LTDA"/>
        <s v="LABORATORIO SAO ROQUE LTDA"/>
        <s v="SERRA MAYOR SERVICOS MEDICOS S/A"/>
        <s v="CAETANO FACCHINI DA VEIGA"/>
        <s v="LUIZ FRANCISCO ZAFALON"/>
        <s v="LABORATORIO DE ANALISES CLINICAS SRC FOZ DO IGUACU LTDA"/>
        <n v="0" u="1"/>
      </sharedItems>
    </cacheField>
    <cacheField name="ENVIO" numFmtId="0">
      <sharedItems containsBlank="1"/>
    </cacheField>
    <cacheField name="PEDIDO INSUMOS" numFmtId="0">
      <sharedItems containsBlank="1" containsMixedTypes="1" containsNumber="1" containsInteger="1" minValue="123" maxValue="89209101723"/>
    </cacheField>
    <cacheField name="VALOR INSUMOS" numFmtId="44">
      <sharedItems containsString="0" containsBlank="1" containsNumber="1" minValue="10.25" maxValue="32130.45"/>
    </cacheField>
    <cacheField name="PEDIDO EQUIPAMENTO" numFmtId="0">
      <sharedItems containsString="0" containsBlank="1" containsNumber="1" containsInteger="1" minValue="1" maxValue="80173"/>
    </cacheField>
    <cacheField name="VALOR EQUIPAMENTO" numFmtId="44">
      <sharedItems containsBlank="1" containsMixedTypes="1" containsNumber="1" minValue="0" maxValue="75000"/>
    </cacheField>
    <cacheField name="LOCAÇÃO" numFmtId="0">
      <sharedItems containsNonDate="0" containsString="0" containsBlank="1"/>
    </cacheField>
    <cacheField name="DATA" numFmtId="14">
      <sharedItems containsSemiMixedTypes="0" containsNonDate="0" containsDate="1" containsString="0" minDate="2002-07-30T00:00:00" maxDate="2029-06-30T00:00:00" count="588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3T00:00:00"/>
        <d v="2024-05-24T00:00:00"/>
        <d v="2024-05-27T00:00:00"/>
        <d v="2024-05-28T00:00:00"/>
        <d v="2024-05-29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5T00:00:00"/>
        <d v="2024-07-08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2T00:00:00"/>
        <d v="2024-10-03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8T00:00:00"/>
        <d v="2024-11-19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17T00:00:00"/>
        <d v="2024-12-18T00:00:00"/>
        <d v="2024-12-26T00:00:00"/>
        <d v="2024-12-27T00:00:00"/>
        <d v="2024-12-30T00:00:00"/>
        <d v="2025-01-02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5T00:00:00"/>
        <d v="2025-03-06T00:00:00"/>
        <d v="2025-03-07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3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3T00:00:00"/>
        <d v="2025-04-22T00:00:00"/>
        <d v="2025-04-24T00:00:00"/>
        <d v="2025-04-25T00:00:00"/>
        <d v="2025-04-28T00:00:00"/>
        <d v="2025-04-29T00:00:00"/>
        <d v="2025-04-30T00:00:00"/>
        <d v="2025-05-06T00:00:00"/>
        <d v="2025-05-05T00:00:00"/>
        <d v="2025-05-07T00:00:00"/>
        <d v="2025-05-09T00:00:00"/>
        <d v="2025-05-13T00:00:00"/>
        <d v="2025-05-08T00:00:00"/>
        <d v="2025-05-12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7-03T00:00:00"/>
        <d v="2025-07-04T00:00:00"/>
        <d v="2025-07-07T00:00:00"/>
        <d v="2025-07-08T00:00:00"/>
        <d v="2025-07-10T00:00:00"/>
        <d v="2025-07-11T00:00:00"/>
        <d v="2025-07-15T00:00:00"/>
        <d v="2025-07-14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4T00:00:00"/>
        <d v="2025-08-06T00:00:00"/>
        <d v="2025-08-05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25T00:00:00"/>
        <d v="2025-08-19T00:00:00"/>
        <d v="2025-08-20T00:00:00"/>
        <d v="2025-08-22T00:00:00"/>
        <d v="2025-08-21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9T00:00:00"/>
        <d v="2025-09-30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20T00:00:00"/>
        <d v="2025-10-17T00:00:00"/>
        <d v="2025-10-21T00:00:00"/>
        <d v="2025-10-22T00:00:00"/>
        <d v="2025-10-23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10T00:00:00"/>
        <d v="2025-11-07T00:00:00"/>
        <d v="2025-11-11T00:00:00"/>
        <d v="2025-11-12T00:00:00"/>
        <d v="2025-11-13T00:00:00"/>
        <d v="2025-11-17T00:00:00"/>
        <d v="2025-11-18T00:00:00"/>
        <d v="2025-11-19T00:00:00"/>
        <d v="2025-11-21T00:00:00"/>
        <d v="2025-11-24T00:00:00"/>
        <d v="2025-11-26T00:00:00"/>
        <d v="2025-11-25T00:00:00"/>
        <d v="2025-11-27T00:00:00"/>
        <d v="2025-11-28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30T00:00:00"/>
        <d v="2026-01-15T00:00:00"/>
        <d v="2026-01-16T00:00:00"/>
        <d v="2026-01-19T00:00:00"/>
        <d v="2026-01-20T00:00:00"/>
        <d v="2026-01-21T00:00:00"/>
        <d v="2026-01-28T00:00:00"/>
        <d v="2026-01-22T00:00:00"/>
        <d v="2026-01-26T00:00:00"/>
        <d v="2026-01-23T00:00:00"/>
        <d v="2026-01-27T00:00:00"/>
        <d v="2026-01-29T00:00:00"/>
        <d v="2026-02-02T00:00:00"/>
        <d v="2026-02-03T00:00:00"/>
        <d v="2026-02-27T00:00:00"/>
        <d v="2026-02-16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8T00:00:00"/>
        <d v="2026-02-19T00:00:00"/>
        <d v="2026-02-20T00:00:00"/>
        <d v="2026-02-23T00:00:00"/>
        <d v="2026-02-25T00:00:00"/>
        <d v="2026-02-24T00:00:00"/>
        <d v="2026-02-26T00:00:00"/>
        <d v="2026-03-02T00:00:00"/>
        <d v="2026-03-03T00:00:00"/>
        <d v="2026-03-04T00:00:00"/>
        <d v="2026-03-05T00:00:00"/>
        <d v="2026-03-09T00:00:00"/>
        <d v="2026-03-06T00:00:00"/>
        <d v="2026-03-10T00:00:00"/>
        <d v="2026-03-11T00:00:00"/>
        <d v="2026-03-12T00:00:00"/>
        <d v="2026-03-16T00:00:00"/>
        <d v="2026-03-18T00:00:00"/>
        <d v="2026-03-17T00:00:00"/>
        <d v="2026-03-19T00:00:00"/>
        <d v="2026-03-23T00:00:00"/>
        <d v="2026-03-29T00:00:00"/>
        <d v="2026-03-20T00:00:00"/>
        <d v="2026-03-24T00:00:00"/>
        <d v="2026-03-25T00:00:00"/>
        <d v="2026-03-27T00:00:00"/>
        <d v="2026-03-26T00:00:00"/>
        <d v="2026-03-30T00:00:00"/>
        <d v="2026-03-31T00:00:00"/>
        <d v="2026-04-01T00:00:00"/>
        <d v="2026-04-02T00:00:00"/>
        <d v="2026-04-07T00:00:00"/>
        <d v="2026-04-08T00:00:00"/>
        <d v="2026-04-06T00:00:00"/>
        <d v="2026-04-09T00:00:00"/>
        <d v="2026-04-10T00:00:00"/>
        <d v="2026-04-13T00:00:00"/>
        <d v="2026-04-14T00:00:00"/>
        <d v="2026-04-15T00:00:00"/>
        <d v="2026-04-27T00:00:00"/>
        <d v="2026-04-16T00:00:00"/>
        <d v="2026-04-17T00:00:00"/>
        <d v="2026-04-20T00:00:00"/>
        <d v="2026-04-22T00:00:00"/>
        <d v="2026-04-23T00:00:00"/>
        <d v="2026-04-24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9-06-03T00:00:00"/>
        <d v="2026-06-05T00:00:00"/>
        <d v="2026-06-08T00:00:00"/>
        <d v="2026-06-09T00:00:00"/>
        <d v="2026-06-10T00:00:00"/>
        <d v="2026-06-15T00:00:00"/>
        <d v="2026-06-11T00:00:00"/>
        <d v="2026-06-12T00:00:00"/>
        <d v="2026-06-16T00:00:00"/>
        <d v="2026-06-17T00:00:00"/>
        <d v="2026-06-30T00:00:00"/>
        <d v="2026-06-18T00:00:00"/>
        <d v="2026-06-19T00:00:00"/>
        <d v="2026-06-22T00:00:00"/>
        <d v="2026-06-23T00:00:00"/>
        <d v="2026-06-24T00:00:00"/>
        <d v="2026-06-29T00:00:00"/>
        <d v="2026-06-25T00:00:00"/>
        <d v="2026-06-26T00:00:00"/>
        <d v="2026-07-01T00:00:00"/>
        <d v="2026-07-02T00:00:00"/>
        <d v="2026-07-03T00:00:00"/>
        <d v="2026-07-06T00:00:00"/>
        <d v="2026-07-07T00:00:00"/>
        <d v="2026-07-08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02-07-30T00:00:00" u="1"/>
        <d v="2029-06-29T00:00:00" u="1"/>
        <d v="2029-06-18T00:00:00" u="1"/>
        <d v="2027-06-17T00:00:00" u="1"/>
      </sharedItems>
      <fieldGroup par="12"/>
    </cacheField>
    <cacheField name="OBSERVAÇAO" numFmtId="0">
      <sharedItems containsBlank="1"/>
    </cacheField>
    <cacheField name="Meses (DATA)" numFmtId="0" databaseField="0">
      <fieldGroup base="8">
        <rangePr groupBy="months" startDate="2024-01-01T00:00:00" endDate="2029-06-04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4/06/2029"/>
        </groupItems>
      </fieldGroup>
    </cacheField>
    <cacheField name="Trimestres (DATA)" numFmtId="0" databaseField="0">
      <fieldGroup base="8">
        <rangePr groupBy="quarters" startDate="2024-01-01T00:00:00" endDate="2029-06-04T00:00:00"/>
        <groupItems count="6">
          <s v="&lt;01/01/2024"/>
          <s v="Trim1"/>
          <s v="Trim2"/>
          <s v="Trim3"/>
          <s v="Trim4"/>
          <s v="&gt;04/06/2029"/>
        </groupItems>
      </fieldGroup>
    </cacheField>
    <cacheField name="Anos (DATA)" numFmtId="0" databaseField="0">
      <fieldGroup base="8">
        <rangePr groupBy="years" startDate="2024-01-01T00:00:00" endDate="2029-06-04T00:00:00"/>
        <groupItems count="8">
          <s v="&lt;01/01/2024"/>
          <s v="2024"/>
          <s v="2025"/>
          <s v="2026"/>
          <s v="2027"/>
          <s v="2028"/>
          <s v="2029"/>
          <s v="&gt;04/06/2029"/>
        </groupItems>
      </fieldGroup>
    </cacheField>
  </cacheFields>
  <extLst>
    <ext xmlns:x14="http://schemas.microsoft.com/office/spreadsheetml/2009/9/main" uri="{725AE2AE-9491-48be-B2B4-4EB974FC3084}">
      <x14:pivotCacheDefinition pivotCacheId="17203798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4">
  <r>
    <m/>
    <x v="0"/>
    <m/>
    <m/>
    <m/>
    <m/>
    <n v="0"/>
    <m/>
    <x v="0"/>
    <m/>
  </r>
  <r>
    <m/>
    <x v="0"/>
    <m/>
    <m/>
    <m/>
    <m/>
    <n v="0"/>
    <m/>
    <x v="1"/>
    <m/>
  </r>
  <r>
    <m/>
    <x v="0"/>
    <m/>
    <m/>
    <m/>
    <m/>
    <n v="0"/>
    <m/>
    <x v="2"/>
    <m/>
  </r>
  <r>
    <m/>
    <x v="0"/>
    <m/>
    <m/>
    <m/>
    <m/>
    <n v="0"/>
    <m/>
    <x v="3"/>
    <m/>
  </r>
  <r>
    <m/>
    <x v="0"/>
    <m/>
    <m/>
    <m/>
    <m/>
    <n v="0"/>
    <m/>
    <x v="4"/>
    <m/>
  </r>
  <r>
    <m/>
    <x v="0"/>
    <m/>
    <m/>
    <m/>
    <m/>
    <n v="0"/>
    <m/>
    <x v="5"/>
    <m/>
  </r>
  <r>
    <m/>
    <x v="0"/>
    <m/>
    <m/>
    <m/>
    <m/>
    <n v="0"/>
    <m/>
    <x v="6"/>
    <m/>
  </r>
  <r>
    <m/>
    <x v="0"/>
    <m/>
    <m/>
    <m/>
    <m/>
    <n v="0"/>
    <m/>
    <x v="7"/>
    <m/>
  </r>
  <r>
    <m/>
    <x v="0"/>
    <m/>
    <m/>
    <m/>
    <m/>
    <n v="0"/>
    <m/>
    <x v="8"/>
    <m/>
  </r>
  <r>
    <m/>
    <x v="0"/>
    <m/>
    <m/>
    <m/>
    <m/>
    <n v="0"/>
    <m/>
    <x v="9"/>
    <m/>
  </r>
  <r>
    <m/>
    <x v="0"/>
    <m/>
    <m/>
    <m/>
    <m/>
    <n v="0"/>
    <m/>
    <x v="10"/>
    <m/>
  </r>
  <r>
    <m/>
    <x v="0"/>
    <m/>
    <m/>
    <m/>
    <m/>
    <n v="0"/>
    <m/>
    <x v="11"/>
    <m/>
  </r>
  <r>
    <m/>
    <x v="0"/>
    <m/>
    <m/>
    <m/>
    <m/>
    <n v="0"/>
    <m/>
    <x v="12"/>
    <m/>
  </r>
  <r>
    <m/>
    <x v="0"/>
    <m/>
    <m/>
    <m/>
    <m/>
    <n v="0"/>
    <m/>
    <x v="13"/>
    <m/>
  </r>
  <r>
    <m/>
    <x v="0"/>
    <m/>
    <m/>
    <m/>
    <m/>
    <n v="0"/>
    <m/>
    <x v="14"/>
    <m/>
  </r>
  <r>
    <m/>
    <x v="0"/>
    <m/>
    <m/>
    <m/>
    <m/>
    <n v="0"/>
    <m/>
    <x v="15"/>
    <m/>
  </r>
  <r>
    <m/>
    <x v="0"/>
    <m/>
    <m/>
    <m/>
    <m/>
    <n v="0"/>
    <m/>
    <x v="16"/>
    <m/>
  </r>
  <r>
    <m/>
    <x v="0"/>
    <m/>
    <m/>
    <m/>
    <m/>
    <n v="0"/>
    <m/>
    <x v="17"/>
    <m/>
  </r>
  <r>
    <m/>
    <x v="0"/>
    <m/>
    <m/>
    <m/>
    <m/>
    <n v="0"/>
    <m/>
    <x v="18"/>
    <m/>
  </r>
  <r>
    <m/>
    <x v="0"/>
    <m/>
    <m/>
    <m/>
    <m/>
    <n v="0"/>
    <m/>
    <x v="19"/>
    <m/>
  </r>
  <r>
    <m/>
    <x v="0"/>
    <m/>
    <m/>
    <m/>
    <m/>
    <n v="0"/>
    <m/>
    <x v="20"/>
    <m/>
  </r>
  <r>
    <m/>
    <x v="0"/>
    <m/>
    <m/>
    <m/>
    <m/>
    <n v="0"/>
    <m/>
    <x v="21"/>
    <m/>
  </r>
  <r>
    <m/>
    <x v="0"/>
    <m/>
    <m/>
    <m/>
    <m/>
    <n v="0"/>
    <m/>
    <x v="22"/>
    <m/>
  </r>
  <r>
    <m/>
    <x v="0"/>
    <m/>
    <m/>
    <m/>
    <m/>
    <n v="0"/>
    <m/>
    <x v="23"/>
    <m/>
  </r>
  <r>
    <s v=" "/>
    <x v="0"/>
    <s v="WHATS"/>
    <n v="71101"/>
    <n v="1640"/>
    <m/>
    <m/>
    <m/>
    <x v="2"/>
    <m/>
  </r>
  <r>
    <n v="705"/>
    <x v="1"/>
    <s v="WHATS"/>
    <n v="70919"/>
    <n v="389.35"/>
    <m/>
    <m/>
    <m/>
    <x v="2"/>
    <m/>
  </r>
  <r>
    <n v="705"/>
    <x v="1"/>
    <s v="WHATS"/>
    <n v="98127"/>
    <n v="884.95"/>
    <m/>
    <m/>
    <m/>
    <x v="2"/>
    <m/>
  </r>
  <r>
    <n v="50558"/>
    <x v="2"/>
    <s v="EMAIL"/>
    <n v="71252"/>
    <n v="3005.2"/>
    <m/>
    <m/>
    <m/>
    <x v="2"/>
    <m/>
  </r>
  <r>
    <n v="50558"/>
    <x v="2"/>
    <s v="EMAIL"/>
    <n v="72125"/>
    <n v="2585"/>
    <m/>
    <m/>
    <m/>
    <x v="2"/>
    <m/>
  </r>
  <r>
    <n v="746"/>
    <x v="3"/>
    <s v="TEL"/>
    <n v="71236"/>
    <n v="2994.26"/>
    <m/>
    <m/>
    <m/>
    <x v="2"/>
    <m/>
  </r>
  <r>
    <n v="746"/>
    <x v="3"/>
    <s v="TEL"/>
    <n v="98201"/>
    <n v="273.3"/>
    <m/>
    <m/>
    <m/>
    <x v="2"/>
    <m/>
  </r>
  <r>
    <n v="731"/>
    <x v="4"/>
    <s v="WHATS"/>
    <n v="71126"/>
    <n v="744"/>
    <m/>
    <m/>
    <m/>
    <x v="2"/>
    <m/>
  </r>
  <r>
    <n v="50600"/>
    <x v="0"/>
    <s v="WHATS"/>
    <n v="70713"/>
    <n v="846.59"/>
    <m/>
    <m/>
    <m/>
    <x v="2"/>
    <m/>
  </r>
  <r>
    <n v="50600"/>
    <x v="0"/>
    <s v="WHATS"/>
    <n v="71101"/>
    <n v="1640"/>
    <m/>
    <m/>
    <m/>
    <x v="2"/>
    <m/>
  </r>
  <r>
    <n v="1058"/>
    <x v="5"/>
    <s v="WHATS"/>
    <n v="71247"/>
    <n v="600"/>
    <m/>
    <m/>
    <m/>
    <x v="2"/>
    <m/>
  </r>
  <r>
    <n v="2397"/>
    <x v="6"/>
    <s v="TEL"/>
    <n v="70924"/>
    <n v="969"/>
    <m/>
    <m/>
    <m/>
    <x v="2"/>
    <m/>
  </r>
  <r>
    <n v="1026"/>
    <x v="7"/>
    <s v="EMAIL"/>
    <n v="71230"/>
    <n v="532"/>
    <m/>
    <m/>
    <m/>
    <x v="2"/>
    <m/>
  </r>
  <r>
    <n v="756"/>
    <x v="8"/>
    <s v="TEL"/>
    <n v="71267"/>
    <n v="3460.28"/>
    <m/>
    <m/>
    <m/>
    <x v="2"/>
    <m/>
  </r>
  <r>
    <n v="335"/>
    <x v="9"/>
    <s v="WHATS"/>
    <n v="71250"/>
    <n v="363.8"/>
    <m/>
    <m/>
    <m/>
    <x v="2"/>
    <m/>
  </r>
  <r>
    <n v="335"/>
    <x v="9"/>
    <s v="WHATS"/>
    <n v="98205"/>
    <n v="332.15"/>
    <m/>
    <m/>
    <m/>
    <x v="2"/>
    <m/>
  </r>
  <r>
    <n v="3077"/>
    <x v="10"/>
    <s v="TEL"/>
    <n v="71097"/>
    <n v="548.5"/>
    <m/>
    <m/>
    <m/>
    <x v="24"/>
    <m/>
  </r>
  <r>
    <n v="516"/>
    <x v="11"/>
    <s v="WHATS"/>
    <n v="71052"/>
    <n v="3830.18"/>
    <m/>
    <m/>
    <m/>
    <x v="24"/>
    <m/>
  </r>
  <r>
    <n v="3153"/>
    <x v="12"/>
    <s v="WHATS"/>
    <n v="71341"/>
    <n v="1195"/>
    <m/>
    <m/>
    <m/>
    <x v="25"/>
    <m/>
  </r>
  <r>
    <n v="3153"/>
    <x v="12"/>
    <s v="WHATS"/>
    <n v="71114"/>
    <n v="1195"/>
    <m/>
    <m/>
    <m/>
    <x v="25"/>
    <m/>
  </r>
  <r>
    <n v="784"/>
    <x v="13"/>
    <s v="WHATS"/>
    <n v="72133"/>
    <n v="12.5"/>
    <m/>
    <m/>
    <m/>
    <x v="25"/>
    <m/>
  </r>
  <r>
    <n v="50219"/>
    <x v="14"/>
    <s v="WHATS"/>
    <n v="71359"/>
    <n v="1168.57"/>
    <m/>
    <m/>
    <m/>
    <x v="25"/>
    <m/>
  </r>
  <r>
    <n v="520"/>
    <x v="0"/>
    <s v="TEL"/>
    <n v="71369"/>
    <n v="1345.12"/>
    <m/>
    <m/>
    <m/>
    <x v="25"/>
    <m/>
  </r>
  <r>
    <n v="520"/>
    <x v="0"/>
    <s v="TEL"/>
    <n v="98226"/>
    <n v="536.95000000000005"/>
    <m/>
    <m/>
    <m/>
    <x v="25"/>
    <m/>
  </r>
  <r>
    <n v="2911"/>
    <x v="15"/>
    <s v="SKYPE"/>
    <n v="98217"/>
    <n v="10.25"/>
    <m/>
    <m/>
    <m/>
    <x v="25"/>
    <m/>
  </r>
  <r>
    <n v="2911"/>
    <x v="15"/>
    <s v="SKYPE"/>
    <n v="71328"/>
    <n v="1216"/>
    <m/>
    <m/>
    <m/>
    <x v="25"/>
    <m/>
  </r>
  <r>
    <n v="687"/>
    <x v="16"/>
    <s v="SKYPE"/>
    <n v="71375"/>
    <n v="540"/>
    <m/>
    <m/>
    <m/>
    <x v="25"/>
    <m/>
  </r>
  <r>
    <n v="823"/>
    <x v="17"/>
    <s v="SKYPE"/>
    <n v="98224"/>
    <n v="110"/>
    <m/>
    <m/>
    <m/>
    <x v="25"/>
    <m/>
  </r>
  <r>
    <n v="823"/>
    <x v="17"/>
    <s v="SKYPE"/>
    <n v="71130"/>
    <n v="7118.27"/>
    <m/>
    <m/>
    <m/>
    <x v="25"/>
    <m/>
  </r>
  <r>
    <n v="3194"/>
    <x v="18"/>
    <s v="TEL"/>
    <n v="98235"/>
    <n v="376.15"/>
    <m/>
    <m/>
    <m/>
    <x v="26"/>
    <m/>
  </r>
  <r>
    <n v="3194"/>
    <x v="18"/>
    <s v="TEL"/>
    <n v="71397"/>
    <n v="503.05"/>
    <m/>
    <m/>
    <m/>
    <x v="26"/>
    <m/>
  </r>
  <r>
    <n v="690"/>
    <x v="19"/>
    <s v="TEL"/>
    <n v="71384"/>
    <n v="1003.2"/>
    <m/>
    <m/>
    <m/>
    <x v="26"/>
    <m/>
  </r>
  <r>
    <n v="690"/>
    <x v="19"/>
    <s v="TEL"/>
    <n v="98230"/>
    <n v="856.9"/>
    <m/>
    <m/>
    <m/>
    <x v="26"/>
    <m/>
  </r>
  <r>
    <n v="50554"/>
    <x v="20"/>
    <s v="TEL"/>
    <n v="71391"/>
    <n v="2586.5500000000002"/>
    <m/>
    <m/>
    <m/>
    <x v="26"/>
    <m/>
  </r>
  <r>
    <n v="50554"/>
    <x v="20"/>
    <s v="TEL"/>
    <n v="98231"/>
    <n v="587.20000000000005"/>
    <m/>
    <m/>
    <m/>
    <x v="26"/>
    <m/>
  </r>
  <r>
    <n v="516"/>
    <x v="11"/>
    <s v="TEL"/>
    <n v="71418"/>
    <n v="657.2"/>
    <m/>
    <m/>
    <m/>
    <x v="26"/>
    <m/>
  </r>
  <r>
    <n v="1493"/>
    <x v="21"/>
    <s v="WHATS"/>
    <n v="71414"/>
    <n v="685.25"/>
    <m/>
    <m/>
    <m/>
    <x v="26"/>
    <m/>
  </r>
  <r>
    <n v="9063"/>
    <x v="22"/>
    <s v="WHATS"/>
    <n v="71427"/>
    <n v="572.99"/>
    <m/>
    <m/>
    <m/>
    <x v="26"/>
    <m/>
  </r>
  <r>
    <n v="475"/>
    <x v="23"/>
    <s v="WHATS"/>
    <n v="71335"/>
    <n v="4886.6400000000003"/>
    <m/>
    <m/>
    <m/>
    <x v="26"/>
    <m/>
  </r>
  <r>
    <n v="475"/>
    <x v="23"/>
    <s v="WHATS"/>
    <n v="98220"/>
    <n v="412.93"/>
    <m/>
    <m/>
    <m/>
    <x v="26"/>
    <m/>
  </r>
  <r>
    <n v="761"/>
    <x v="24"/>
    <s v="WHATS"/>
    <n v="98239"/>
    <n v="280.8"/>
    <m/>
    <m/>
    <m/>
    <x v="26"/>
    <m/>
  </r>
  <r>
    <n v="1240"/>
    <x v="25"/>
    <s v="WHATS"/>
    <n v="71276"/>
    <n v="556.35"/>
    <m/>
    <m/>
    <m/>
    <x v="26"/>
    <m/>
  </r>
  <r>
    <n v="618"/>
    <x v="26"/>
    <s v="WHATS"/>
    <n v="71431"/>
    <n v="105.6"/>
    <m/>
    <m/>
    <m/>
    <x v="27"/>
    <m/>
  </r>
  <r>
    <n v="618"/>
    <x v="26"/>
    <s v="WHATS"/>
    <n v="98244"/>
    <n v="316.31"/>
    <m/>
    <m/>
    <m/>
    <x v="27"/>
    <m/>
  </r>
  <r>
    <n v="1194"/>
    <x v="0"/>
    <s v="TEL"/>
    <n v="98246"/>
    <n v="59.25"/>
    <m/>
    <m/>
    <m/>
    <x v="27"/>
    <m/>
  </r>
  <r>
    <n v="1194"/>
    <x v="0"/>
    <s v="TEL"/>
    <n v="71434"/>
    <n v="1057.9000000000001"/>
    <m/>
    <m/>
    <m/>
    <x v="27"/>
    <m/>
  </r>
  <r>
    <n v="906"/>
    <x v="27"/>
    <s v="TEL"/>
    <n v="71443"/>
    <n v="146.5"/>
    <m/>
    <m/>
    <m/>
    <x v="27"/>
    <m/>
  </r>
  <r>
    <n v="906"/>
    <x v="27"/>
    <s v="TEL"/>
    <n v="98247"/>
    <n v="1063.94"/>
    <m/>
    <m/>
    <m/>
    <x v="27"/>
    <m/>
  </r>
  <r>
    <n v="3153"/>
    <x v="12"/>
    <s v="WHATS"/>
    <n v="71313"/>
    <n v="4162.8999999999996"/>
    <m/>
    <m/>
    <m/>
    <x v="27"/>
    <m/>
  </r>
  <r>
    <n v="2022"/>
    <x v="28"/>
    <s v="WHATS"/>
    <n v="71455"/>
    <n v="780"/>
    <m/>
    <m/>
    <m/>
    <x v="27"/>
    <m/>
  </r>
  <r>
    <n v="1971"/>
    <x v="29"/>
    <s v="WHATS"/>
    <n v="71476"/>
    <n v="432.13"/>
    <m/>
    <m/>
    <m/>
    <x v="27"/>
    <m/>
  </r>
  <r>
    <n v="960"/>
    <x v="30"/>
    <s v="WHATS"/>
    <n v="71326"/>
    <n v="751.7"/>
    <m/>
    <m/>
    <m/>
    <x v="28"/>
    <m/>
  </r>
  <r>
    <n v="746"/>
    <x v="3"/>
    <s v="TEL"/>
    <n v="98252"/>
    <n v="23.7"/>
    <m/>
    <m/>
    <m/>
    <x v="28"/>
    <m/>
  </r>
  <r>
    <n v="364"/>
    <x v="31"/>
    <s v="WHATS"/>
    <n v="71505"/>
    <n v="488.9"/>
    <m/>
    <m/>
    <m/>
    <x v="28"/>
    <m/>
  </r>
  <r>
    <n v="364"/>
    <x v="31"/>
    <s v="WHATS"/>
    <n v="98257"/>
    <n v="249.2"/>
    <m/>
    <m/>
    <m/>
    <x v="28"/>
    <m/>
  </r>
  <r>
    <n v="761"/>
    <x v="24"/>
    <s v="WHATS"/>
    <n v="71512"/>
    <n v="155"/>
    <m/>
    <m/>
    <m/>
    <x v="28"/>
    <m/>
  </r>
  <r>
    <n v="463"/>
    <x v="32"/>
    <s v="WHATS"/>
    <n v="71520"/>
    <n v="1579.55"/>
    <m/>
    <m/>
    <m/>
    <x v="28"/>
    <m/>
  </r>
  <r>
    <n v="475"/>
    <x v="23"/>
    <s v="WHATS"/>
    <n v="98258"/>
    <n v="825.87"/>
    <m/>
    <m/>
    <m/>
    <x v="28"/>
    <m/>
  </r>
  <r>
    <n v="475"/>
    <x v="23"/>
    <s v="WHATS"/>
    <n v="71522"/>
    <n v="3318.64"/>
    <m/>
    <m/>
    <m/>
    <x v="28"/>
    <m/>
  </r>
  <r>
    <n v="1206"/>
    <x v="33"/>
    <s v="WHATS"/>
    <n v="71497"/>
    <n v="1970.8"/>
    <m/>
    <m/>
    <m/>
    <x v="29"/>
    <m/>
  </r>
  <r>
    <n v="1726"/>
    <x v="34"/>
    <s v="WHATS"/>
    <n v="71552"/>
    <n v="160"/>
    <m/>
    <m/>
    <m/>
    <x v="29"/>
    <m/>
  </r>
  <r>
    <n v="50418"/>
    <x v="35"/>
    <s v="WHATS"/>
    <n v="71568"/>
    <n v="174.14"/>
    <m/>
    <m/>
    <m/>
    <x v="29"/>
    <m/>
  </r>
  <r>
    <n v="632"/>
    <x v="0"/>
    <s v="WHATS"/>
    <n v="71595"/>
    <n v="575.41"/>
    <m/>
    <m/>
    <m/>
    <x v="30"/>
    <m/>
  </r>
  <r>
    <n v="475"/>
    <x v="23"/>
    <s v="WHATS"/>
    <n v="71570"/>
    <n v="1747.2"/>
    <m/>
    <m/>
    <m/>
    <x v="30"/>
    <m/>
  </r>
  <r>
    <n v="475"/>
    <x v="23"/>
    <s v="WHATS"/>
    <n v="71310"/>
    <n v="1495"/>
    <m/>
    <m/>
    <m/>
    <x v="30"/>
    <m/>
  </r>
  <r>
    <n v="705"/>
    <x v="1"/>
    <s v="TEL"/>
    <n v="71599"/>
    <n v="550"/>
    <m/>
    <m/>
    <m/>
    <x v="30"/>
    <m/>
  </r>
  <r>
    <n v="2163"/>
    <x v="36"/>
    <s v="TEL"/>
    <n v="71607"/>
    <n v="1862.9"/>
    <m/>
    <m/>
    <m/>
    <x v="30"/>
    <m/>
  </r>
  <r>
    <n v="50576"/>
    <x v="37"/>
    <s v="SKYPE"/>
    <n v="71598"/>
    <n v="2516.35"/>
    <m/>
    <m/>
    <m/>
    <x v="30"/>
    <m/>
  </r>
  <r>
    <n v="50526"/>
    <x v="38"/>
    <s v="SKYPE"/>
    <n v="98271"/>
    <n v="260.7"/>
    <m/>
    <m/>
    <m/>
    <x v="30"/>
    <m/>
  </r>
  <r>
    <n v="516"/>
    <x v="11"/>
    <s v="TEL"/>
    <n v="71509"/>
    <n v="2039.6"/>
    <m/>
    <m/>
    <m/>
    <x v="30"/>
    <m/>
  </r>
  <r>
    <n v="480"/>
    <x v="39"/>
    <s v="TEL"/>
    <n v="71573"/>
    <n v="1076"/>
    <m/>
    <m/>
    <m/>
    <x v="30"/>
    <m/>
  </r>
  <r>
    <n v="480"/>
    <x v="39"/>
    <s v="TEL"/>
    <n v="98272"/>
    <n v="218.9"/>
    <m/>
    <m/>
    <m/>
    <x v="30"/>
    <m/>
  </r>
  <r>
    <n v="1240"/>
    <x v="25"/>
    <s v="WHATS"/>
    <n v="72526"/>
    <n v="1754.22"/>
    <m/>
    <m/>
    <m/>
    <x v="30"/>
    <m/>
  </r>
  <r>
    <n v="3077"/>
    <x v="10"/>
    <s v="TEL"/>
    <n v="71585"/>
    <n v="1002.06"/>
    <m/>
    <m/>
    <m/>
    <x v="30"/>
    <m/>
  </r>
  <r>
    <n v="2980"/>
    <x v="40"/>
    <s v="WHATS"/>
    <n v="71045"/>
    <n v="396.4"/>
    <m/>
    <m/>
    <m/>
    <x v="30"/>
    <m/>
  </r>
  <r>
    <n v="756"/>
    <x v="8"/>
    <s v="WHATS"/>
    <n v="71636"/>
    <n v="1125.9100000000001"/>
    <m/>
    <m/>
    <m/>
    <x v="31"/>
    <m/>
  </r>
  <r>
    <n v="906"/>
    <x v="27"/>
    <s v="WHATS"/>
    <n v="71646"/>
    <n v="8134"/>
    <n v="1"/>
    <n v="6980"/>
    <m/>
    <x v="31"/>
    <m/>
  </r>
  <r>
    <n v="762"/>
    <x v="41"/>
    <s v="WHATS"/>
    <n v="71410"/>
    <n v="5556.94"/>
    <m/>
    <m/>
    <m/>
    <x v="31"/>
    <m/>
  </r>
  <r>
    <n v="762"/>
    <x v="41"/>
    <s v="WHATS"/>
    <n v="71410"/>
    <n v="10289.85"/>
    <m/>
    <m/>
    <m/>
    <x v="31"/>
    <m/>
  </r>
  <r>
    <n v="724"/>
    <x v="42"/>
    <s v="WHATS"/>
    <n v="71670"/>
    <n v="978.8"/>
    <m/>
    <m/>
    <m/>
    <x v="31"/>
    <m/>
  </r>
  <r>
    <n v="475"/>
    <x v="23"/>
    <s v="WHATS"/>
    <n v="71693"/>
    <n v="3860"/>
    <m/>
    <m/>
    <m/>
    <x v="32"/>
    <m/>
  </r>
  <r>
    <n v="1194"/>
    <x v="0"/>
    <s v="TEL"/>
    <n v="71484"/>
    <n v="572"/>
    <m/>
    <m/>
    <m/>
    <x v="32"/>
    <m/>
  </r>
  <r>
    <n v="335"/>
    <x v="9"/>
    <s v="TEL"/>
    <n v="98205"/>
    <n v="43.6"/>
    <m/>
    <m/>
    <m/>
    <x v="32"/>
    <m/>
  </r>
  <r>
    <n v="335"/>
    <x v="9"/>
    <s v="TEL"/>
    <n v="71659"/>
    <n v="47.5"/>
    <m/>
    <m/>
    <m/>
    <x v="32"/>
    <m/>
  </r>
  <r>
    <n v="432"/>
    <x v="43"/>
    <s v="WHATS"/>
    <n v="71686"/>
    <n v="161.4"/>
    <m/>
    <m/>
    <m/>
    <x v="33"/>
    <m/>
  </r>
  <r>
    <n v="2203"/>
    <x v="44"/>
    <s v="EMAIL"/>
    <n v="71649"/>
    <n v="1473.2"/>
    <m/>
    <m/>
    <m/>
    <x v="33"/>
    <m/>
  </r>
  <r>
    <n v="50219"/>
    <x v="14"/>
    <s v="WHATS"/>
    <n v="71770"/>
    <n v="60"/>
    <m/>
    <m/>
    <m/>
    <x v="34"/>
    <m/>
  </r>
  <r>
    <n v="746"/>
    <x v="3"/>
    <s v="TEL"/>
    <n v="71787"/>
    <n v="1110"/>
    <m/>
    <m/>
    <m/>
    <x v="34"/>
    <m/>
  </r>
  <r>
    <n v="2022"/>
    <x v="28"/>
    <s v="WHATS"/>
    <n v="71465"/>
    <n v="308"/>
    <m/>
    <m/>
    <m/>
    <x v="34"/>
    <m/>
  </r>
  <r>
    <n v="575"/>
    <x v="45"/>
    <s v="EMAIL"/>
    <n v="71780"/>
    <n v="734.73"/>
    <m/>
    <m/>
    <m/>
    <x v="34"/>
    <m/>
  </r>
  <r>
    <n v="311"/>
    <x v="46"/>
    <s v="WHATS"/>
    <n v="98292"/>
    <n v="758.4"/>
    <m/>
    <m/>
    <m/>
    <x v="34"/>
    <m/>
  </r>
  <r>
    <n v="311"/>
    <x v="46"/>
    <s v="WHATS"/>
    <n v="71795"/>
    <n v="552.6"/>
    <m/>
    <m/>
    <m/>
    <x v="34"/>
    <m/>
  </r>
  <r>
    <n v="575"/>
    <x v="45"/>
    <s v="TEL"/>
    <n v="71780"/>
    <n v="734.73"/>
    <m/>
    <m/>
    <m/>
    <x v="34"/>
    <m/>
  </r>
  <r>
    <n v="575"/>
    <x v="45"/>
    <s v="EMAIL"/>
    <n v="70835"/>
    <n v="252.5"/>
    <m/>
    <m/>
    <m/>
    <x v="34"/>
    <m/>
  </r>
  <r>
    <n v="1842"/>
    <x v="47"/>
    <s v="WHATS"/>
    <n v="98294"/>
    <n v="112.45"/>
    <m/>
    <m/>
    <m/>
    <x v="34"/>
    <m/>
  </r>
  <r>
    <n v="1842"/>
    <x v="47"/>
    <s v="WHATS"/>
    <n v="71804"/>
    <n v="185.5"/>
    <m/>
    <m/>
    <m/>
    <x v="34"/>
    <m/>
  </r>
  <r>
    <n v="1813"/>
    <x v="48"/>
    <s v="WHATS"/>
    <n v="71794"/>
    <n v="1007.2"/>
    <m/>
    <m/>
    <m/>
    <x v="34"/>
    <m/>
  </r>
  <r>
    <n v="704"/>
    <x v="49"/>
    <s v="TEL"/>
    <n v="71833"/>
    <n v="895.5"/>
    <m/>
    <m/>
    <m/>
    <x v="34"/>
    <m/>
  </r>
  <r>
    <n v="704"/>
    <x v="49"/>
    <s v="TEL"/>
    <n v="98304"/>
    <n v="255.85"/>
    <m/>
    <m/>
    <m/>
    <x v="34"/>
    <m/>
  </r>
  <r>
    <n v="1533"/>
    <x v="50"/>
    <s v="WHATS"/>
    <n v="98303"/>
    <n v="520.61"/>
    <m/>
    <m/>
    <m/>
    <x v="34"/>
    <m/>
  </r>
  <r>
    <n v="756"/>
    <x v="8"/>
    <s v="TEL"/>
    <n v="71840"/>
    <n v="109"/>
    <m/>
    <m/>
    <m/>
    <x v="34"/>
    <m/>
  </r>
  <r>
    <n v="572"/>
    <x v="51"/>
    <s v="WHATS"/>
    <n v="71687"/>
    <n v="1658.85"/>
    <m/>
    <m/>
    <m/>
    <x v="34"/>
    <m/>
  </r>
  <r>
    <n v="1206"/>
    <x v="33"/>
    <s v="TEL"/>
    <n v="71847"/>
    <n v="1320"/>
    <m/>
    <m/>
    <m/>
    <x v="35"/>
    <m/>
  </r>
  <r>
    <n v="516"/>
    <x v="11"/>
    <s v="EMAIL"/>
    <n v="71843"/>
    <n v="15108.13"/>
    <m/>
    <m/>
    <m/>
    <x v="35"/>
    <m/>
  </r>
  <r>
    <n v="2655"/>
    <x v="52"/>
    <s v="WHATS"/>
    <n v="71792"/>
    <n v="909.71"/>
    <m/>
    <m/>
    <m/>
    <x v="35"/>
    <m/>
  </r>
  <r>
    <n v="874"/>
    <x v="53"/>
    <s v="WHATS"/>
    <n v="71859"/>
    <n v="1316.27"/>
    <m/>
    <m/>
    <m/>
    <x v="35"/>
    <m/>
  </r>
  <r>
    <n v="724"/>
    <x v="42"/>
    <s v="WHATS"/>
    <n v="71673"/>
    <n v="450"/>
    <m/>
    <m/>
    <m/>
    <x v="35"/>
    <m/>
  </r>
  <r>
    <n v="724"/>
    <x v="42"/>
    <s v="WHATS"/>
    <n v="71670"/>
    <n v="406.8"/>
    <m/>
    <m/>
    <m/>
    <x v="35"/>
    <m/>
  </r>
  <r>
    <n v="50219"/>
    <x v="14"/>
    <s v="WHATS"/>
    <n v="71770"/>
    <n v="60"/>
    <m/>
    <m/>
    <m/>
    <x v="35"/>
    <m/>
  </r>
  <r>
    <n v="1770"/>
    <x v="0"/>
    <s v="EMAIL"/>
    <n v="71571"/>
    <n v="745.07"/>
    <m/>
    <m/>
    <m/>
    <x v="35"/>
    <m/>
  </r>
  <r>
    <n v="1806"/>
    <x v="54"/>
    <s v="EMAIL"/>
    <n v="71903"/>
    <n v="479.01"/>
    <m/>
    <m/>
    <m/>
    <x v="36"/>
    <m/>
  </r>
  <r>
    <n v="832"/>
    <x v="55"/>
    <s v="TEL"/>
    <n v="71345"/>
    <n v="1290"/>
    <m/>
    <m/>
    <m/>
    <x v="36"/>
    <m/>
  </r>
  <r>
    <n v="708"/>
    <x v="56"/>
    <s v="WHATS"/>
    <n v="71934"/>
    <n v="242.5"/>
    <m/>
    <m/>
    <m/>
    <x v="36"/>
    <m/>
  </r>
  <r>
    <n v="1623"/>
    <x v="57"/>
    <s v="TEL"/>
    <n v="70900"/>
    <n v="857.8"/>
    <m/>
    <m/>
    <m/>
    <x v="36"/>
    <m/>
  </r>
  <r>
    <n v="1533"/>
    <x v="50"/>
    <s v="WHATS"/>
    <n v="71941"/>
    <n v="103.4"/>
    <m/>
    <m/>
    <m/>
    <x v="37"/>
    <m/>
  </r>
  <r>
    <n v="1533"/>
    <x v="50"/>
    <s v="WHATS"/>
    <n v="98320"/>
    <n v="59.25"/>
    <m/>
    <m/>
    <m/>
    <x v="37"/>
    <m/>
  </r>
  <r>
    <n v="50558"/>
    <x v="2"/>
    <s v="EMAIL"/>
    <n v="71990"/>
    <n v="3110"/>
    <m/>
    <m/>
    <m/>
    <x v="37"/>
    <m/>
  </r>
  <r>
    <n v="1164"/>
    <x v="58"/>
    <s v="TEL"/>
    <n v="71992"/>
    <n v="421"/>
    <m/>
    <m/>
    <m/>
    <x v="37"/>
    <m/>
  </r>
  <r>
    <n v="1164"/>
    <x v="58"/>
    <s v="TEL"/>
    <n v="98313"/>
    <n v="100.74"/>
    <m/>
    <m/>
    <m/>
    <x v="37"/>
    <m/>
  </r>
  <r>
    <n v="3475"/>
    <x v="59"/>
    <s v="WHATS"/>
    <n v="71995"/>
    <n v="458.9"/>
    <m/>
    <m/>
    <m/>
    <x v="37"/>
    <m/>
  </r>
  <r>
    <n v="832"/>
    <x v="55"/>
    <s v="WHATS"/>
    <n v="71504"/>
    <n v="581.25"/>
    <m/>
    <m/>
    <m/>
    <x v="38"/>
    <m/>
  </r>
  <r>
    <n v="1842"/>
    <x v="47"/>
    <s v="WHATS"/>
    <n v="71804"/>
    <n v="516.29"/>
    <m/>
    <m/>
    <m/>
    <x v="37"/>
    <m/>
  </r>
  <r>
    <n v="3190"/>
    <x v="60"/>
    <s v="WHATS"/>
    <n v="71580"/>
    <n v="1382.28"/>
    <m/>
    <m/>
    <m/>
    <x v="37"/>
    <m/>
  </r>
  <r>
    <n v="3327"/>
    <x v="0"/>
    <s v="WHATS"/>
    <n v="72008"/>
    <n v="48"/>
    <m/>
    <m/>
    <m/>
    <x v="38"/>
    <m/>
  </r>
  <r>
    <n v="475"/>
    <x v="23"/>
    <s v="WHATS"/>
    <n v="71937"/>
    <n v="6848.48"/>
    <m/>
    <m/>
    <m/>
    <x v="38"/>
    <m/>
  </r>
  <r>
    <n v="475"/>
    <x v="23"/>
    <s v="WHATS"/>
    <n v="98328"/>
    <n v="826.41"/>
    <m/>
    <m/>
    <m/>
    <x v="38"/>
    <m/>
  </r>
  <r>
    <n v="2022"/>
    <x v="28"/>
    <s v="WHATS"/>
    <n v="72015"/>
    <n v="51.78"/>
    <m/>
    <m/>
    <m/>
    <x v="38"/>
    <m/>
  </r>
  <r>
    <n v="1026"/>
    <x v="7"/>
    <s v="WHATS"/>
    <n v="71719"/>
    <n v="1480.4"/>
    <m/>
    <m/>
    <m/>
    <x v="38"/>
    <m/>
  </r>
  <r>
    <n v="50576"/>
    <x v="37"/>
    <s v="SKYPE"/>
    <n v="71841"/>
    <n v="415.24"/>
    <m/>
    <m/>
    <m/>
    <x v="38"/>
    <m/>
  </r>
  <r>
    <n v="50576"/>
    <x v="37"/>
    <s v="WHATS"/>
    <n v="98306"/>
    <n v="102"/>
    <m/>
    <m/>
    <m/>
    <x v="38"/>
    <m/>
  </r>
  <r>
    <n v="906"/>
    <x v="27"/>
    <s v="WHATS"/>
    <n v="71767"/>
    <n v="295.81"/>
    <m/>
    <m/>
    <m/>
    <x v="38"/>
    <m/>
  </r>
  <r>
    <n v="906"/>
    <x v="27"/>
    <s v="WHATS"/>
    <n v="98342"/>
    <n v="288.82"/>
    <m/>
    <m/>
    <m/>
    <x v="38"/>
    <m/>
  </r>
  <r>
    <n v="1652"/>
    <x v="61"/>
    <s v="TEL"/>
    <n v="71537"/>
    <n v="360.5"/>
    <m/>
    <m/>
    <m/>
    <x v="39"/>
    <m/>
  </r>
  <r>
    <n v="1652"/>
    <x v="61"/>
    <s v="TEL"/>
    <n v="71077"/>
    <n v="299"/>
    <m/>
    <m/>
    <m/>
    <x v="39"/>
    <m/>
  </r>
  <r>
    <n v="3017"/>
    <x v="62"/>
    <s v="WHATS"/>
    <n v="72053"/>
    <n v="717.38"/>
    <m/>
    <m/>
    <m/>
    <x v="39"/>
    <m/>
  </r>
  <r>
    <n v="690"/>
    <x v="19"/>
    <s v="TEL"/>
    <n v="72077"/>
    <n v="986.32"/>
    <m/>
    <m/>
    <m/>
    <x v="39"/>
    <m/>
  </r>
  <r>
    <n v="690"/>
    <x v="19"/>
    <s v="TEL"/>
    <n v="72075"/>
    <n v="284"/>
    <m/>
    <m/>
    <m/>
    <x v="39"/>
    <m/>
  </r>
  <r>
    <n v="874"/>
    <x v="53"/>
    <s v="WHATS"/>
    <n v="72067"/>
    <n v="116.97"/>
    <m/>
    <m/>
    <m/>
    <x v="39"/>
    <m/>
  </r>
  <r>
    <n v="2415"/>
    <x v="63"/>
    <s v="WHATS"/>
    <n v="72056"/>
    <n v="218"/>
    <m/>
    <m/>
    <m/>
    <x v="39"/>
    <m/>
  </r>
  <r>
    <n v="3194"/>
    <x v="18"/>
    <s v="TEL"/>
    <n v="71972"/>
    <n v="272.68"/>
    <m/>
    <m/>
    <m/>
    <x v="39"/>
    <m/>
  </r>
  <r>
    <n v="2415"/>
    <x v="63"/>
    <s v="WHATS"/>
    <n v="72056"/>
    <n v="436"/>
    <m/>
    <m/>
    <m/>
    <x v="39"/>
    <m/>
  </r>
  <r>
    <n v="3018"/>
    <x v="64"/>
    <s v="WHATS"/>
    <n v="72088"/>
    <n v="549.14"/>
    <m/>
    <m/>
    <m/>
    <x v="39"/>
    <m/>
  </r>
  <r>
    <n v="3018"/>
    <x v="64"/>
    <s v="WHATS"/>
    <n v="98351"/>
    <n v="236.55"/>
    <m/>
    <m/>
    <m/>
    <x v="39"/>
    <m/>
  </r>
  <r>
    <n v="50558"/>
    <x v="2"/>
    <s v="EMAIL"/>
    <n v="71990"/>
    <n v="598"/>
    <m/>
    <m/>
    <m/>
    <x v="39"/>
    <m/>
  </r>
  <r>
    <n v="725"/>
    <x v="65"/>
    <s v="EMAIL"/>
    <n v="72109"/>
    <n v="3139.71"/>
    <m/>
    <m/>
    <m/>
    <x v="39"/>
    <m/>
  </r>
  <r>
    <n v="725"/>
    <x v="65"/>
    <s v="EMAIL"/>
    <n v="98354"/>
    <n v="267.45"/>
    <m/>
    <m/>
    <m/>
    <x v="39"/>
    <m/>
  </r>
  <r>
    <n v="2022"/>
    <x v="28"/>
    <s v="WHATS"/>
    <n v="98343"/>
    <n v="215"/>
    <m/>
    <m/>
    <m/>
    <x v="39"/>
    <m/>
  </r>
  <r>
    <n v="2022"/>
    <x v="28"/>
    <s v="WHATS"/>
    <n v="72045"/>
    <n v="1935.84"/>
    <m/>
    <m/>
    <m/>
    <x v="40"/>
    <m/>
  </r>
  <r>
    <n v="731"/>
    <x v="4"/>
    <s v="WHATS"/>
    <n v="72149"/>
    <n v="1035"/>
    <m/>
    <m/>
    <m/>
    <x v="40"/>
    <m/>
  </r>
  <r>
    <n v="822"/>
    <x v="66"/>
    <s v="TEL"/>
    <n v="98363"/>
    <n v="1623.35"/>
    <m/>
    <m/>
    <m/>
    <x v="40"/>
    <m/>
  </r>
  <r>
    <n v="822"/>
    <x v="66"/>
    <s v="TEL"/>
    <n v="72170"/>
    <n v="1476"/>
    <m/>
    <m/>
    <m/>
    <x v="40"/>
    <m/>
  </r>
  <r>
    <n v="1989"/>
    <x v="67"/>
    <s v="WHATS"/>
    <n v="71272"/>
    <n v="606.12"/>
    <m/>
    <m/>
    <m/>
    <x v="40"/>
    <m/>
  </r>
  <r>
    <n v="2763"/>
    <x v="68"/>
    <s v="WHATS"/>
    <n v="71274"/>
    <n v="561"/>
    <m/>
    <m/>
    <m/>
    <x v="40"/>
    <m/>
  </r>
  <r>
    <n v="690"/>
    <x v="19"/>
    <s v="WHATS"/>
    <n v="71270"/>
    <n v="189"/>
    <m/>
    <m/>
    <m/>
    <x v="40"/>
    <m/>
  </r>
  <r>
    <n v="50554"/>
    <x v="20"/>
    <s v="WHATS"/>
    <n v="71271"/>
    <n v="189"/>
    <m/>
    <m/>
    <m/>
    <x v="40"/>
    <m/>
  </r>
  <r>
    <n v="1493"/>
    <x v="21"/>
    <s v="WHATS"/>
    <n v="72160"/>
    <n v="728.73"/>
    <m/>
    <m/>
    <m/>
    <x v="40"/>
    <m/>
  </r>
  <r>
    <n v="977"/>
    <x v="0"/>
    <s v="WHATS"/>
    <n v="72146"/>
    <n v="1524.9"/>
    <m/>
    <m/>
    <m/>
    <x v="40"/>
    <m/>
  </r>
  <r>
    <n v="3190"/>
    <x v="60"/>
    <s v="WHATS"/>
    <n v="71580"/>
    <n v="2256.7800000000002"/>
    <m/>
    <m/>
    <m/>
    <x v="40"/>
    <m/>
  </r>
  <r>
    <n v="1533"/>
    <x v="50"/>
    <s v="WHATS"/>
    <n v="72189"/>
    <n v="1490"/>
    <m/>
    <m/>
    <m/>
    <x v="41"/>
    <m/>
  </r>
  <r>
    <n v="932"/>
    <x v="0"/>
    <s v="WHATS"/>
    <n v="72198"/>
    <n v="811.81"/>
    <m/>
    <m/>
    <m/>
    <x v="41"/>
    <m/>
  </r>
  <r>
    <n v="1240"/>
    <x v="25"/>
    <s v="WHATS"/>
    <n v="71985"/>
    <n v="553.08000000000004"/>
    <m/>
    <m/>
    <m/>
    <x v="41"/>
    <m/>
  </r>
  <r>
    <n v="475"/>
    <x v="23"/>
    <s v="WHATS"/>
    <n v="72216"/>
    <n v="526"/>
    <m/>
    <m/>
    <m/>
    <x v="41"/>
    <m/>
  </r>
  <r>
    <n v="620"/>
    <x v="69"/>
    <s v="WHATS"/>
    <n v="98347"/>
    <n v="201.78"/>
    <m/>
    <m/>
    <m/>
    <x v="41"/>
    <m/>
  </r>
  <r>
    <n v="620"/>
    <x v="69"/>
    <s v="WHATS"/>
    <n v="72070"/>
    <n v="1993.6"/>
    <m/>
    <m/>
    <m/>
    <x v="41"/>
    <m/>
  </r>
  <r>
    <n v="2980"/>
    <x v="40"/>
    <s v="WHATS"/>
    <n v="72199"/>
    <n v="1008.73"/>
    <m/>
    <m/>
    <m/>
    <x v="41"/>
    <m/>
  </r>
  <r>
    <n v="2980"/>
    <x v="40"/>
    <s v="WHATS"/>
    <n v="98373"/>
    <n v="109.5"/>
    <m/>
    <m/>
    <m/>
    <x v="41"/>
    <m/>
  </r>
  <r>
    <n v="2192"/>
    <x v="0"/>
    <s v="WHATS"/>
    <n v="71067"/>
    <n v="1428"/>
    <m/>
    <m/>
    <m/>
    <x v="42"/>
    <m/>
  </r>
  <r>
    <n v="171"/>
    <x v="70"/>
    <s v="WHATS"/>
    <n v="72163"/>
    <n v="232.83"/>
    <m/>
    <m/>
    <m/>
    <x v="40"/>
    <m/>
  </r>
  <r>
    <n v="1726"/>
    <x v="34"/>
    <s v="EMAIL"/>
    <n v="72241"/>
    <n v="704.08"/>
    <m/>
    <m/>
    <m/>
    <x v="42"/>
    <m/>
  </r>
  <r>
    <n v="832"/>
    <x v="55"/>
    <s v="WHATS"/>
    <n v="71504"/>
    <n v="581.25"/>
    <m/>
    <m/>
    <m/>
    <x v="28"/>
    <m/>
  </r>
  <r>
    <n v="832"/>
    <x v="55"/>
    <s v="WHATS"/>
    <n v="98317"/>
    <n v="918"/>
    <m/>
    <m/>
    <m/>
    <x v="42"/>
    <m/>
  </r>
  <r>
    <n v="725"/>
    <x v="65"/>
    <s v="WHATS"/>
    <n v="72250"/>
    <n v="637.5"/>
    <m/>
    <m/>
    <m/>
    <x v="42"/>
    <m/>
  </r>
  <r>
    <n v="2397"/>
    <x v="6"/>
    <s v="TEL"/>
    <n v="72283"/>
    <n v="860.9"/>
    <m/>
    <m/>
    <m/>
    <x v="3"/>
    <m/>
  </r>
  <r>
    <n v="772"/>
    <x v="71"/>
    <s v="WHATS"/>
    <n v="72272"/>
    <n v="456.8"/>
    <m/>
    <m/>
    <m/>
    <x v="3"/>
    <m/>
  </r>
  <r>
    <n v="3077"/>
    <x v="10"/>
    <s v="WHATS"/>
    <n v="72299"/>
    <n v="589.55999999999995"/>
    <m/>
    <m/>
    <m/>
    <x v="3"/>
    <m/>
  </r>
  <r>
    <n v="2203"/>
    <x v="44"/>
    <s v="WHATS"/>
    <n v="72328"/>
    <n v="247.21"/>
    <m/>
    <m/>
    <m/>
    <x v="3"/>
    <m/>
  </r>
  <r>
    <n v="690"/>
    <x v="19"/>
    <s v="WHATS"/>
    <n v="72332"/>
    <n v="188.05"/>
    <m/>
    <m/>
    <m/>
    <x v="3"/>
    <m/>
  </r>
  <r>
    <n v="2763"/>
    <x v="68"/>
    <s v="WHATS"/>
    <n v="72335"/>
    <n v="561"/>
    <m/>
    <m/>
    <m/>
    <x v="3"/>
    <m/>
  </r>
  <r>
    <n v="1989"/>
    <x v="67"/>
    <s v="WHATS"/>
    <n v="72334"/>
    <n v="608.29999999999995"/>
    <m/>
    <m/>
    <m/>
    <x v="3"/>
    <m/>
  </r>
  <r>
    <n v="50554"/>
    <x v="20"/>
    <s v="WHATS"/>
    <n v="72333"/>
    <n v="189"/>
    <m/>
    <m/>
    <m/>
    <x v="3"/>
    <m/>
  </r>
  <r>
    <n v="50593"/>
    <x v="0"/>
    <s v="WHATS"/>
    <n v="72343"/>
    <n v="338.46"/>
    <m/>
    <m/>
    <m/>
    <x v="43"/>
    <m/>
  </r>
  <r>
    <n v="1164"/>
    <x v="58"/>
    <s v="TEL"/>
    <n v="72344"/>
    <n v="959.7"/>
    <m/>
    <m/>
    <m/>
    <x v="43"/>
    <m/>
  </r>
  <r>
    <n v="905"/>
    <x v="72"/>
    <s v="TEL"/>
    <n v="98391"/>
    <n v="178.37"/>
    <m/>
    <m/>
    <m/>
    <x v="43"/>
    <m/>
  </r>
  <r>
    <n v="905"/>
    <x v="72"/>
    <s v="TEL"/>
    <n v="71315"/>
    <n v="583.16999999999996"/>
    <m/>
    <m/>
    <m/>
    <x v="43"/>
    <m/>
  </r>
  <r>
    <n v="592"/>
    <x v="0"/>
    <s v="WHATS"/>
    <n v="72353"/>
    <n v="1093.8599999999999"/>
    <m/>
    <m/>
    <m/>
    <x v="43"/>
    <m/>
  </r>
  <r>
    <n v="784"/>
    <x v="13"/>
    <s v="WHATS"/>
    <n v="72133"/>
    <n v="3650.34"/>
    <m/>
    <m/>
    <m/>
    <x v="43"/>
    <m/>
  </r>
  <r>
    <n v="746"/>
    <x v="3"/>
    <s v="TEL"/>
    <n v="98395"/>
    <n v="201.7"/>
    <m/>
    <m/>
    <m/>
    <x v="43"/>
    <m/>
  </r>
  <r>
    <n v="746"/>
    <x v="3"/>
    <s v="TEL"/>
    <n v="72392"/>
    <n v="3439.02"/>
    <m/>
    <m/>
    <m/>
    <x v="44"/>
    <m/>
  </r>
  <r>
    <n v="823"/>
    <x v="17"/>
    <s v="TEL"/>
    <n v="71504"/>
    <n v="3860.18"/>
    <m/>
    <m/>
    <m/>
    <x v="44"/>
    <m/>
  </r>
  <r>
    <n v="823"/>
    <x v="17"/>
    <s v="TEL"/>
    <n v="98317"/>
    <n v="1077.6500000000001"/>
    <m/>
    <m/>
    <m/>
    <x v="44"/>
    <m/>
  </r>
  <r>
    <n v="50558"/>
    <x v="2"/>
    <s v="EMAIL"/>
    <n v="72387"/>
    <n v="1476"/>
    <m/>
    <m/>
    <m/>
    <x v="44"/>
    <m/>
  </r>
  <r>
    <n v="731"/>
    <x v="4"/>
    <s v="WHATS"/>
    <n v="72408"/>
    <n v="1515"/>
    <m/>
    <m/>
    <m/>
    <x v="44"/>
    <m/>
  </r>
  <r>
    <n v="2702"/>
    <x v="73"/>
    <s v="WHATS"/>
    <n v="72319"/>
    <n v="331.4"/>
    <m/>
    <m/>
    <m/>
    <x v="44"/>
    <m/>
  </r>
  <r>
    <n v="708"/>
    <x v="56"/>
    <s v="WHATS"/>
    <n v="72368"/>
    <n v="145.5"/>
    <m/>
    <m/>
    <m/>
    <x v="44"/>
    <m/>
  </r>
  <r>
    <n v="3475"/>
    <x v="59"/>
    <s v="WHATS"/>
    <n v="72002"/>
    <n v="458.9"/>
    <m/>
    <m/>
    <m/>
    <x v="44"/>
    <m/>
  </r>
  <r>
    <n v="761"/>
    <x v="24"/>
    <s v="WHATS"/>
    <n v="98404"/>
    <n v="299.05"/>
    <m/>
    <m/>
    <m/>
    <x v="44"/>
    <m/>
  </r>
  <r>
    <n v="761"/>
    <x v="24"/>
    <s v="WHATS"/>
    <n v="71459"/>
    <n v="195"/>
    <m/>
    <m/>
    <m/>
    <x v="44"/>
    <m/>
  </r>
  <r>
    <n v="761"/>
    <x v="24"/>
    <s v="WHATS"/>
    <n v="72432"/>
    <n v="810.87"/>
    <m/>
    <m/>
    <m/>
    <x v="44"/>
    <m/>
  </r>
  <r>
    <n v="731"/>
    <x v="4"/>
    <s v="WHATS"/>
    <n v="72468"/>
    <n v="243.9"/>
    <m/>
    <m/>
    <m/>
    <x v="44"/>
    <m/>
  </r>
  <r>
    <n v="731"/>
    <x v="4"/>
    <s v="WHATS"/>
    <n v="98412"/>
    <n v="118"/>
    <m/>
    <m/>
    <m/>
    <x v="45"/>
    <m/>
  </r>
  <r>
    <n v="581"/>
    <x v="74"/>
    <s v="WHATS"/>
    <n v="72494"/>
    <n v="110"/>
    <m/>
    <m/>
    <m/>
    <x v="45"/>
    <m/>
  </r>
  <r>
    <n v="581"/>
    <x v="74"/>
    <s v="WHATS"/>
    <n v="98418"/>
    <n v="2256.21"/>
    <m/>
    <m/>
    <m/>
    <x v="45"/>
    <m/>
  </r>
  <r>
    <n v="311"/>
    <x v="46"/>
    <s v="WHATS"/>
    <n v="72502"/>
    <n v="1223.8499999999999"/>
    <m/>
    <m/>
    <m/>
    <x v="45"/>
    <m/>
  </r>
  <r>
    <n v="311"/>
    <x v="46"/>
    <s v="WHATS"/>
    <n v="98417"/>
    <n v="367.6"/>
    <m/>
    <m/>
    <m/>
    <x v="45"/>
    <m/>
  </r>
  <r>
    <n v="960"/>
    <x v="30"/>
    <s v="WHATS"/>
    <n v="72471"/>
    <n v="505"/>
    <m/>
    <m/>
    <m/>
    <x v="45"/>
    <m/>
  </r>
  <r>
    <n v="432"/>
    <x v="43"/>
    <s v="WHATS"/>
    <n v="72435"/>
    <n v="3484.95"/>
    <m/>
    <m/>
    <m/>
    <x v="45"/>
    <m/>
  </r>
  <r>
    <n v="432"/>
    <x v="43"/>
    <s v="WHATS"/>
    <n v="98396"/>
    <n v="206.47"/>
    <m/>
    <m/>
    <m/>
    <x v="45"/>
    <m/>
  </r>
  <r>
    <n v="708"/>
    <x v="56"/>
    <s v="WHATS"/>
    <n v="72506"/>
    <n v="700"/>
    <m/>
    <m/>
    <m/>
    <x v="45"/>
    <m/>
  </r>
  <r>
    <n v="3240"/>
    <x v="75"/>
    <s v="WHATS"/>
    <n v="72517"/>
    <n v="924.81"/>
    <m/>
    <m/>
    <m/>
    <x v="46"/>
    <m/>
  </r>
  <r>
    <n v="3240"/>
    <x v="75"/>
    <s v="WHATS"/>
    <n v="98426"/>
    <n v="446.01"/>
    <m/>
    <m/>
    <m/>
    <x v="46"/>
    <m/>
  </r>
  <r>
    <n v="50418"/>
    <x v="35"/>
    <s v="WHATS"/>
    <n v="72522"/>
    <n v="1035.5899999999999"/>
    <m/>
    <m/>
    <m/>
    <x v="46"/>
    <m/>
  </r>
  <r>
    <n v="1502"/>
    <x v="76"/>
    <s v="EMAIL"/>
    <n v="72531"/>
    <n v="2602"/>
    <m/>
    <m/>
    <m/>
    <x v="46"/>
    <m/>
  </r>
  <r>
    <n v="50219"/>
    <x v="14"/>
    <s v="WHATS"/>
    <n v="73540"/>
    <n v="884.8"/>
    <m/>
    <m/>
    <m/>
    <x v="46"/>
    <m/>
  </r>
  <r>
    <n v="480"/>
    <x v="39"/>
    <s v="WHATS"/>
    <n v="72544"/>
    <n v="1768.73"/>
    <m/>
    <m/>
    <m/>
    <x v="46"/>
    <m/>
  </r>
  <r>
    <n v="690"/>
    <x v="19"/>
    <s v="TEL"/>
    <n v="98436"/>
    <n v="899.15"/>
    <m/>
    <m/>
    <m/>
    <x v="47"/>
    <m/>
  </r>
  <r>
    <n v="690"/>
    <x v="19"/>
    <s v="TEL"/>
    <n v="72566"/>
    <n v="6810.5"/>
    <m/>
    <m/>
    <m/>
    <x v="47"/>
    <m/>
  </r>
  <r>
    <n v="3153"/>
    <x v="12"/>
    <s v="WHATS"/>
    <n v="72562"/>
    <n v="2897.8"/>
    <m/>
    <m/>
    <m/>
    <x v="47"/>
    <m/>
  </r>
  <r>
    <n v="3194"/>
    <x v="18"/>
    <s v="TEL"/>
    <n v="94837"/>
    <n v="60.3"/>
    <m/>
    <m/>
    <m/>
    <x v="47"/>
    <m/>
  </r>
  <r>
    <n v="3194"/>
    <x v="18"/>
    <s v="TEL"/>
    <n v="72568"/>
    <n v="208.5"/>
    <m/>
    <m/>
    <m/>
    <x v="47"/>
    <m/>
  </r>
  <r>
    <n v="618"/>
    <x v="26"/>
    <s v="WHATS"/>
    <n v="72595"/>
    <n v="228.4"/>
    <m/>
    <m/>
    <m/>
    <x v="47"/>
    <m/>
  </r>
  <r>
    <n v="1262"/>
    <x v="0"/>
    <s v="WHATS"/>
    <n v="72577"/>
    <n v="698.4"/>
    <m/>
    <m/>
    <m/>
    <x v="47"/>
    <m/>
  </r>
  <r>
    <n v="2911"/>
    <x v="15"/>
    <s v="WHATS"/>
    <n v="98441"/>
    <n v="158.4"/>
    <m/>
    <m/>
    <m/>
    <x v="47"/>
    <m/>
  </r>
  <r>
    <n v="2911"/>
    <x v="15"/>
    <s v="WHATS"/>
    <n v="72572"/>
    <n v="1541.24"/>
    <m/>
    <m/>
    <m/>
    <x v="48"/>
    <m/>
  </r>
  <r>
    <n v="1206"/>
    <x v="33"/>
    <s v="TEL"/>
    <n v="72636"/>
    <n v="2277.9899999999998"/>
    <m/>
    <m/>
    <m/>
    <x v="48"/>
    <m/>
  </r>
  <r>
    <n v="1164"/>
    <x v="58"/>
    <s v="WHATS"/>
    <n v="72637"/>
    <n v="861.61"/>
    <m/>
    <m/>
    <m/>
    <x v="48"/>
    <m/>
  </r>
  <r>
    <n v="1164"/>
    <x v="58"/>
    <s v="WHATS"/>
    <n v="98452"/>
    <n v="60.76"/>
    <m/>
    <m/>
    <m/>
    <x v="48"/>
    <m/>
  </r>
  <r>
    <n v="475"/>
    <x v="23"/>
    <s v="WHATS"/>
    <n v="72479"/>
    <n v="19760.22"/>
    <m/>
    <m/>
    <m/>
    <x v="48"/>
    <m/>
  </r>
  <r>
    <n v="475"/>
    <x v="23"/>
    <s v="WHATS"/>
    <n v="98413"/>
    <n v="619.4"/>
    <m/>
    <m/>
    <m/>
    <x v="48"/>
    <m/>
  </r>
  <r>
    <n v="50554"/>
    <x v="20"/>
    <s v="TEL"/>
    <n v="72681"/>
    <n v="3247.1"/>
    <m/>
    <m/>
    <m/>
    <x v="48"/>
    <m/>
  </r>
  <r>
    <n v="50497"/>
    <x v="77"/>
    <s v="TEL"/>
    <n v="98464"/>
    <n v="788.2"/>
    <m/>
    <m/>
    <m/>
    <x v="48"/>
    <m/>
  </r>
  <r>
    <n v="432"/>
    <x v="43"/>
    <s v="WHATS"/>
    <n v="72684"/>
    <n v="388.55"/>
    <m/>
    <m/>
    <m/>
    <x v="49"/>
    <m/>
  </r>
  <r>
    <n v="731"/>
    <x v="4"/>
    <s v="WHATS"/>
    <n v="72703"/>
    <n v="1515"/>
    <m/>
    <m/>
    <m/>
    <x v="49"/>
    <m/>
  </r>
  <r>
    <n v="618"/>
    <x v="26"/>
    <s v="WHATS"/>
    <n v="98473"/>
    <n v="269.04000000000002"/>
    <m/>
    <m/>
    <m/>
    <x v="49"/>
    <m/>
  </r>
  <r>
    <n v="618"/>
    <x v="26"/>
    <s v="TEL"/>
    <n v="72728"/>
    <n v="521.70000000000005"/>
    <m/>
    <m/>
    <m/>
    <x v="49"/>
    <m/>
  </r>
  <r>
    <n v="874"/>
    <x v="53"/>
    <s v="WHATS"/>
    <n v="72732"/>
    <n v="1070.58"/>
    <m/>
    <m/>
    <m/>
    <x v="49"/>
    <m/>
  </r>
  <r>
    <n v="823"/>
    <x v="17"/>
    <s v="WHATS"/>
    <n v="72644"/>
    <n v="1864.86"/>
    <m/>
    <m/>
    <m/>
    <x v="49"/>
    <m/>
  </r>
  <r>
    <n v="756"/>
    <x v="8"/>
    <s v="WHATS"/>
    <n v="98476"/>
    <n v="206.47"/>
    <m/>
    <m/>
    <m/>
    <x v="49"/>
    <m/>
  </r>
  <r>
    <n v="756"/>
    <x v="8"/>
    <s v="WHATS"/>
    <n v="72737"/>
    <n v="5783.68"/>
    <m/>
    <m/>
    <m/>
    <x v="49"/>
    <m/>
  </r>
  <r>
    <n v="50576"/>
    <x v="37"/>
    <s v="WHATS"/>
    <n v="72744"/>
    <n v="2365.86"/>
    <m/>
    <m/>
    <m/>
    <x v="50"/>
    <m/>
  </r>
  <r>
    <n v="50576"/>
    <x v="37"/>
    <s v="WHATS"/>
    <n v="98478"/>
    <n v="260.7"/>
    <m/>
    <m/>
    <m/>
    <x v="50"/>
    <m/>
  </r>
  <r>
    <n v="731"/>
    <x v="4"/>
    <s v="WHATS"/>
    <n v="72741"/>
    <n v="358.5"/>
    <m/>
    <m/>
    <m/>
    <x v="50"/>
    <m/>
  </r>
  <r>
    <n v="516"/>
    <x v="11"/>
    <s v="WHATS"/>
    <n v="71923"/>
    <n v="5693.58"/>
    <m/>
    <m/>
    <m/>
    <x v="50"/>
    <m/>
  </r>
  <r>
    <n v="731"/>
    <x v="4"/>
    <s v="WHATS"/>
    <n v="72759"/>
    <n v="1010"/>
    <m/>
    <m/>
    <m/>
    <x v="50"/>
    <m/>
  </r>
  <r>
    <n v="708"/>
    <x v="56"/>
    <s v="WHATS"/>
    <n v="72768"/>
    <n v="1327.5"/>
    <m/>
    <m/>
    <m/>
    <x v="50"/>
    <m/>
  </r>
  <r>
    <n v="364"/>
    <x v="31"/>
    <s v="WHATS"/>
    <n v="72772"/>
    <n v="164.2"/>
    <m/>
    <m/>
    <m/>
    <x v="50"/>
    <m/>
  </r>
  <r>
    <n v="364"/>
    <x v="31"/>
    <s v="WHATS"/>
    <n v="98482"/>
    <n v="185.48"/>
    <m/>
    <m/>
    <m/>
    <x v="50"/>
    <m/>
  </r>
  <r>
    <n v="463"/>
    <x v="32"/>
    <s v="WHATS"/>
    <n v="72788"/>
    <n v="894.4"/>
    <m/>
    <m/>
    <m/>
    <x v="51"/>
    <m/>
  </r>
  <r>
    <n v="50558"/>
    <x v="2"/>
    <s v="EMAIL"/>
    <n v="72789"/>
    <n v="2385"/>
    <m/>
    <m/>
    <m/>
    <x v="51"/>
    <m/>
  </r>
  <r>
    <n v="1533"/>
    <x v="50"/>
    <s v="WHATS"/>
    <n v="72651"/>
    <n v="706.2"/>
    <m/>
    <m/>
    <m/>
    <x v="51"/>
    <m/>
  </r>
  <r>
    <n v="513"/>
    <x v="0"/>
    <s v="WHATS"/>
    <n v="72802"/>
    <n v="2955"/>
    <n v="1"/>
    <n v="2995"/>
    <m/>
    <x v="51"/>
    <m/>
  </r>
  <r>
    <n v="1041"/>
    <x v="78"/>
    <s v="WHATS"/>
    <n v="72800"/>
    <n v="594.5"/>
    <m/>
    <m/>
    <m/>
    <x v="51"/>
    <m/>
  </r>
  <r>
    <n v="762"/>
    <x v="41"/>
    <s v="EMAIL"/>
    <n v="72610"/>
    <n v="3974.3"/>
    <m/>
    <m/>
    <m/>
    <x v="51"/>
    <m/>
  </r>
  <r>
    <n v="762"/>
    <x v="41"/>
    <s v="EMAIL"/>
    <n v="72611"/>
    <n v="9420.3799999999992"/>
    <m/>
    <m/>
    <m/>
    <x v="51"/>
    <m/>
  </r>
  <r>
    <n v="51175"/>
    <x v="79"/>
    <s v="WHATS"/>
    <n v="72834"/>
    <n v="164.15"/>
    <m/>
    <m/>
    <m/>
    <x v="52"/>
    <m/>
  </r>
  <r>
    <n v="3017"/>
    <x v="62"/>
    <s v="WHATS"/>
    <n v="72898"/>
    <n v="657.88"/>
    <m/>
    <m/>
    <m/>
    <x v="52"/>
    <m/>
  </r>
  <r>
    <n v="980"/>
    <x v="80"/>
    <s v="WHATS"/>
    <n v="72901"/>
    <n v="142"/>
    <m/>
    <m/>
    <m/>
    <x v="52"/>
    <m/>
  </r>
  <r>
    <n v="620"/>
    <x v="69"/>
    <s v="WHATS"/>
    <n v="72909"/>
    <n v="554.67999999999995"/>
    <m/>
    <m/>
    <m/>
    <x v="52"/>
    <m/>
  </r>
  <r>
    <n v="1806"/>
    <x v="54"/>
    <s v="EMAIL"/>
    <n v="72888"/>
    <n v="822.6"/>
    <m/>
    <m/>
    <m/>
    <x v="52"/>
    <m/>
  </r>
  <r>
    <n v="335"/>
    <x v="9"/>
    <s v="WHATS"/>
    <n v="72874"/>
    <n v="379.47"/>
    <m/>
    <m/>
    <m/>
    <x v="52"/>
    <m/>
  </r>
  <r>
    <n v="335"/>
    <x v="9"/>
    <s v="WHATS"/>
    <n v="98497"/>
    <n v="432.3"/>
    <m/>
    <m/>
    <m/>
    <x v="52"/>
    <m/>
  </r>
  <r>
    <n v="620"/>
    <x v="69"/>
    <s v="WHATS"/>
    <n v="98509"/>
    <n v="220.2"/>
    <m/>
    <m/>
    <m/>
    <x v="52"/>
    <m/>
  </r>
  <r>
    <n v="480"/>
    <x v="39"/>
    <s v="WHATS"/>
    <n v="72932"/>
    <n v="2890"/>
    <m/>
    <m/>
    <m/>
    <x v="53"/>
    <m/>
  </r>
  <r>
    <n v="520"/>
    <x v="0"/>
    <s v="WHATS"/>
    <n v="98514"/>
    <n v="585.15"/>
    <m/>
    <m/>
    <m/>
    <x v="53"/>
    <m/>
  </r>
  <r>
    <n v="520"/>
    <x v="0"/>
    <s v="WHATS"/>
    <n v="72963"/>
    <n v="1047.8"/>
    <m/>
    <m/>
    <m/>
    <x v="53"/>
    <m/>
  </r>
  <r>
    <n v="3190"/>
    <x v="60"/>
    <s v="WHATS"/>
    <n v="73006"/>
    <n v="1289.9000000000001"/>
    <m/>
    <m/>
    <m/>
    <x v="54"/>
    <m/>
  </r>
  <r>
    <n v="3190"/>
    <x v="60"/>
    <s v="WHATS"/>
    <n v="72989"/>
    <n v="4280"/>
    <n v="1"/>
    <n v="4280"/>
    <m/>
    <x v="54"/>
    <m/>
  </r>
  <r>
    <n v="2163"/>
    <x v="36"/>
    <s v="TEL"/>
    <n v="73003"/>
    <n v="2211"/>
    <m/>
    <m/>
    <m/>
    <x v="54"/>
    <m/>
  </r>
  <r>
    <n v="1652"/>
    <x v="61"/>
    <s v="TEL"/>
    <n v="73014"/>
    <n v="271.01"/>
    <m/>
    <m/>
    <m/>
    <x v="54"/>
    <m/>
  </r>
  <r>
    <n v="1652"/>
    <x v="61"/>
    <s v="TEL"/>
    <n v="98332"/>
    <n v="154.05000000000001"/>
    <m/>
    <m/>
    <m/>
    <x v="54"/>
    <m/>
  </r>
  <r>
    <n v="9063"/>
    <x v="22"/>
    <s v="WHATS"/>
    <n v="73027"/>
    <n v="279.60000000000002"/>
    <m/>
    <m/>
    <m/>
    <x v="55"/>
    <m/>
  </r>
  <r>
    <n v="705"/>
    <x v="1"/>
    <s v="TEL"/>
    <n v="72422"/>
    <n v="1178"/>
    <m/>
    <m/>
    <m/>
    <x v="55"/>
    <m/>
  </r>
  <r>
    <n v="2163"/>
    <x v="36"/>
    <s v="TEL"/>
    <n v="73031"/>
    <n v="239.2"/>
    <m/>
    <m/>
    <m/>
    <x v="55"/>
    <m/>
  </r>
  <r>
    <n v="475"/>
    <x v="23"/>
    <s v="WHATS"/>
    <n v="72818"/>
    <n v="5315.57"/>
    <m/>
    <m/>
    <m/>
    <x v="55"/>
    <m/>
  </r>
  <r>
    <n v="475"/>
    <x v="23"/>
    <s v="WHATS"/>
    <n v="98527"/>
    <n v="95.8"/>
    <m/>
    <m/>
    <m/>
    <x v="55"/>
    <m/>
  </r>
  <r>
    <n v="432"/>
    <x v="43"/>
    <s v="WHATS"/>
    <n v="73035"/>
    <n v="854.31"/>
    <m/>
    <m/>
    <m/>
    <x v="55"/>
    <m/>
  </r>
  <r>
    <n v="3153"/>
    <x v="12"/>
    <s v="WHATS"/>
    <n v="72671"/>
    <n v="1410"/>
    <m/>
    <m/>
    <m/>
    <x v="55"/>
    <m/>
  </r>
  <r>
    <n v="516"/>
    <x v="11"/>
    <s v="WHATS"/>
    <n v="72934"/>
    <n v="5088.8999999999996"/>
    <m/>
    <m/>
    <m/>
    <x v="55"/>
    <m/>
  </r>
  <r>
    <n v="1742"/>
    <x v="81"/>
    <s v="WHATS"/>
    <n v="73085"/>
    <n v="1011.3"/>
    <m/>
    <m/>
    <m/>
    <x v="56"/>
    <m/>
  </r>
  <r>
    <n v="756"/>
    <x v="8"/>
    <s v="WHATS"/>
    <n v="72950"/>
    <n v="1479.9"/>
    <m/>
    <m/>
    <m/>
    <x v="56"/>
    <m/>
  </r>
  <r>
    <n v="575"/>
    <x v="45"/>
    <s v="TEL"/>
    <n v="73097"/>
    <n v="239.45"/>
    <m/>
    <m/>
    <m/>
    <x v="56"/>
    <m/>
  </r>
  <r>
    <n v="2955"/>
    <x v="82"/>
    <s v="WHATS"/>
    <n v="73093"/>
    <n v="165.39"/>
    <m/>
    <m/>
    <m/>
    <x v="56"/>
    <m/>
  </r>
  <r>
    <n v="2397"/>
    <x v="6"/>
    <s v="TEL"/>
    <n v="72615"/>
    <n v="1103"/>
    <m/>
    <m/>
    <m/>
    <x v="56"/>
    <m/>
  </r>
  <r>
    <n v="1026"/>
    <x v="7"/>
    <s v="TEL"/>
    <n v="73101"/>
    <n v="1016.7"/>
    <m/>
    <m/>
    <m/>
    <x v="56"/>
    <m/>
  </r>
  <r>
    <n v="1164"/>
    <x v="58"/>
    <s v="TEL"/>
    <n v="72637"/>
    <n v="1256.79"/>
    <m/>
    <m/>
    <m/>
    <x v="56"/>
    <m/>
  </r>
  <r>
    <n v="704"/>
    <x v="49"/>
    <s v="WHATS"/>
    <n v="72952"/>
    <n v="598"/>
    <m/>
    <m/>
    <m/>
    <x v="56"/>
    <m/>
  </r>
  <r>
    <n v="906"/>
    <x v="27"/>
    <s v="WHATS"/>
    <n v="73109"/>
    <n v="1196"/>
    <m/>
    <m/>
    <m/>
    <x v="57"/>
    <m/>
  </r>
  <r>
    <n v="708"/>
    <x v="56"/>
    <s v="WHATS"/>
    <n v="73114"/>
    <n v="1257.5"/>
    <m/>
    <m/>
    <m/>
    <x v="57"/>
    <m/>
  </r>
  <r>
    <n v="572"/>
    <x v="51"/>
    <s v="WHATS"/>
    <n v="73107"/>
    <n v="480"/>
    <m/>
    <m/>
    <m/>
    <x v="57"/>
    <m/>
  </r>
  <r>
    <n v="475"/>
    <x v="23"/>
    <s v="TEL"/>
    <n v="73119"/>
    <n v="1740.9"/>
    <m/>
    <m/>
    <m/>
    <x v="57"/>
    <m/>
  </r>
  <r>
    <n v="475"/>
    <x v="23"/>
    <s v="WHATS"/>
    <n v="73040"/>
    <n v="505"/>
    <m/>
    <m/>
    <m/>
    <x v="57"/>
    <m/>
  </r>
  <r>
    <n v="2955"/>
    <x v="82"/>
    <s v="WHATS"/>
    <n v="73124"/>
    <n v="302.10000000000002"/>
    <m/>
    <m/>
    <m/>
    <x v="57"/>
    <m/>
  </r>
  <r>
    <n v="364"/>
    <x v="31"/>
    <s v="WHATS"/>
    <n v="72772"/>
    <n v="246.7"/>
    <m/>
    <m/>
    <m/>
    <x v="57"/>
    <m/>
  </r>
  <r>
    <n v="364"/>
    <x v="31"/>
    <s v="WHATS"/>
    <n v="98482"/>
    <n v="185.48"/>
    <m/>
    <m/>
    <m/>
    <x v="57"/>
    <m/>
  </r>
  <r>
    <n v="3190"/>
    <x v="60"/>
    <s v="WHATS"/>
    <n v="73138"/>
    <n v="1850"/>
    <n v="1"/>
    <n v="1850"/>
    <m/>
    <x v="57"/>
    <m/>
  </r>
  <r>
    <n v="1206"/>
    <x v="33"/>
    <s v="WHATS"/>
    <n v="73145"/>
    <n v="675.84"/>
    <m/>
    <m/>
    <m/>
    <x v="57"/>
    <m/>
  </r>
  <r>
    <n v="2911"/>
    <x v="15"/>
    <s v="WHATS"/>
    <n v="73149"/>
    <n v="397.81"/>
    <m/>
    <m/>
    <m/>
    <x v="57"/>
    <m/>
  </r>
  <r>
    <n v="3018"/>
    <x v="64"/>
    <s v="WHATS"/>
    <n v="98549"/>
    <n v="342"/>
    <m/>
    <m/>
    <m/>
    <x v="57"/>
    <m/>
  </r>
  <r>
    <n v="3018"/>
    <x v="64"/>
    <s v="WHATS"/>
    <n v="73152"/>
    <n v="475"/>
    <m/>
    <m/>
    <m/>
    <x v="57"/>
    <m/>
  </r>
  <r>
    <n v="50497"/>
    <x v="77"/>
    <s v="WHATS"/>
    <n v="98552"/>
    <n v="96.6"/>
    <m/>
    <m/>
    <m/>
    <x v="57"/>
    <m/>
  </r>
  <r>
    <n v="50497"/>
    <x v="77"/>
    <s v="WHATS"/>
    <n v="73160"/>
    <n v="518.4"/>
    <m/>
    <m/>
    <m/>
    <x v="57"/>
    <m/>
  </r>
  <r>
    <n v="2022"/>
    <x v="28"/>
    <s v="EMAIL"/>
    <n v="73173"/>
    <n v="2368.5"/>
    <m/>
    <m/>
    <m/>
    <x v="58"/>
    <m/>
  </r>
  <r>
    <n v="761"/>
    <x v="24"/>
    <s v="WHATS"/>
    <n v="98548"/>
    <n v="204"/>
    <m/>
    <m/>
    <m/>
    <x v="58"/>
    <m/>
  </r>
  <r>
    <n v="761"/>
    <x v="24"/>
    <s v="WHATS"/>
    <n v="73187"/>
    <n v="347"/>
    <m/>
    <m/>
    <m/>
    <x v="58"/>
    <m/>
  </r>
  <r>
    <n v="1493"/>
    <x v="21"/>
    <s v="WHATS"/>
    <n v="73214"/>
    <n v="609.20000000000005"/>
    <m/>
    <m/>
    <m/>
    <x v="58"/>
    <m/>
  </r>
  <r>
    <n v="1652"/>
    <x v="61"/>
    <s v="WHATS"/>
    <n v="98332"/>
    <n v="264.05"/>
    <m/>
    <m/>
    <m/>
    <x v="58"/>
    <m/>
  </r>
  <r>
    <n v="1652"/>
    <x v="61"/>
    <s v="WHATS"/>
    <n v="73017"/>
    <n v="374.82"/>
    <m/>
    <m/>
    <m/>
    <x v="58"/>
    <m/>
  </r>
  <r>
    <n v="463"/>
    <x v="32"/>
    <s v="WHATS"/>
    <n v="73020"/>
    <n v="766.9"/>
    <m/>
    <m/>
    <m/>
    <x v="58"/>
    <m/>
  </r>
  <r>
    <n v="1240"/>
    <x v="25"/>
    <s v="WHATS"/>
    <n v="73116"/>
    <n v="606.52"/>
    <m/>
    <m/>
    <m/>
    <x v="58"/>
    <m/>
  </r>
  <r>
    <n v="2955"/>
    <x v="82"/>
    <s v="TEL"/>
    <n v="73216"/>
    <n v="2011.9"/>
    <m/>
    <m/>
    <m/>
    <x v="58"/>
    <m/>
  </r>
  <r>
    <n v="1616"/>
    <x v="83"/>
    <s v="WHATS"/>
    <n v="73224"/>
    <n v="710"/>
    <m/>
    <m/>
    <m/>
    <x v="59"/>
    <m/>
  </r>
  <r>
    <n v="618"/>
    <x v="26"/>
    <s v="TEL"/>
    <n v="98561"/>
    <n v="52.13"/>
    <m/>
    <m/>
    <m/>
    <x v="59"/>
    <m/>
  </r>
  <r>
    <n v="618"/>
    <x v="26"/>
    <s v="TEL"/>
    <n v="73241"/>
    <n v="2015"/>
    <m/>
    <m/>
    <m/>
    <x v="59"/>
    <m/>
  </r>
  <r>
    <n v="822"/>
    <x v="66"/>
    <s v="TEL"/>
    <n v="72946"/>
    <n v="1010"/>
    <m/>
    <m/>
    <m/>
    <x v="59"/>
    <m/>
  </r>
  <r>
    <n v="1026"/>
    <x v="7"/>
    <s v="WHATS"/>
    <n v="72679"/>
    <n v="1177.5"/>
    <m/>
    <m/>
    <m/>
    <x v="59"/>
    <m/>
  </r>
  <r>
    <n v="50728"/>
    <x v="84"/>
    <s v="WHATS"/>
    <n v="73264"/>
    <n v="1010"/>
    <m/>
    <m/>
    <m/>
    <x v="59"/>
    <m/>
  </r>
  <r>
    <n v="1989"/>
    <x v="67"/>
    <s v="WHATS"/>
    <n v="72334"/>
    <n v="606.13"/>
    <m/>
    <m/>
    <m/>
    <x v="59"/>
    <m/>
  </r>
  <r>
    <n v="50554"/>
    <x v="20"/>
    <s v="WHATS"/>
    <n v="72333"/>
    <n v="189"/>
    <m/>
    <m/>
    <m/>
    <x v="59"/>
    <m/>
  </r>
  <r>
    <n v="690"/>
    <x v="19"/>
    <s v="WHATS"/>
    <n v="72332"/>
    <n v="189"/>
    <m/>
    <m/>
    <m/>
    <x v="59"/>
    <m/>
  </r>
  <r>
    <n v="2763"/>
    <x v="68"/>
    <s v="WHATS"/>
    <n v="72335"/>
    <n v="561"/>
    <m/>
    <m/>
    <m/>
    <x v="59"/>
    <m/>
  </r>
  <r>
    <n v="741"/>
    <x v="85"/>
    <s v="WHATS"/>
    <n v="73283"/>
    <n v="1010"/>
    <m/>
    <m/>
    <m/>
    <x v="60"/>
    <m/>
  </r>
  <r>
    <n v="592"/>
    <x v="0"/>
    <s v="WHATS"/>
    <n v="72890"/>
    <n v="1515"/>
    <m/>
    <m/>
    <m/>
    <x v="60"/>
    <m/>
  </r>
  <r>
    <n v="50728"/>
    <x v="84"/>
    <s v="WHATS"/>
    <n v="73265"/>
    <n v="1010"/>
    <m/>
    <m/>
    <m/>
    <x v="60"/>
    <m/>
  </r>
  <r>
    <n v="50576"/>
    <x v="37"/>
    <s v="WHATS"/>
    <n v="73297"/>
    <n v="505"/>
    <m/>
    <m/>
    <m/>
    <x v="60"/>
    <m/>
  </r>
  <r>
    <n v="1813"/>
    <x v="48"/>
    <s v="WHATS"/>
    <n v="73300"/>
    <n v="468.7"/>
    <m/>
    <m/>
    <m/>
    <x v="60"/>
    <m/>
  </r>
  <r>
    <n v="3077"/>
    <x v="10"/>
    <s v="TEL"/>
    <n v="98569"/>
    <n v="123.48"/>
    <m/>
    <m/>
    <m/>
    <x v="61"/>
    <m/>
  </r>
  <r>
    <n v="3077"/>
    <x v="10"/>
    <s v="TEL"/>
    <n v="73317"/>
    <n v="1134.3"/>
    <m/>
    <m/>
    <m/>
    <x v="61"/>
    <m/>
  </r>
  <r>
    <n v="823"/>
    <x v="17"/>
    <s v="WHATS"/>
    <n v="73333"/>
    <n v="85.78"/>
    <m/>
    <m/>
    <m/>
    <x v="61"/>
    <m/>
  </r>
  <r>
    <n v="364"/>
    <x v="31"/>
    <s v="WHATS"/>
    <n v="73341"/>
    <n v="560"/>
    <m/>
    <m/>
    <m/>
    <x v="61"/>
    <m/>
  </r>
  <r>
    <n v="475"/>
    <x v="23"/>
    <s v="WHATS"/>
    <n v="98575"/>
    <n v="239.6"/>
    <m/>
    <m/>
    <m/>
    <x v="62"/>
    <m/>
  </r>
  <r>
    <n v="475"/>
    <x v="23"/>
    <s v="WHATS"/>
    <n v="73165"/>
    <n v="7769.28"/>
    <m/>
    <m/>
    <m/>
    <x v="62"/>
    <m/>
  </r>
  <r>
    <n v="1164"/>
    <x v="58"/>
    <s v="TEL"/>
    <n v="98576"/>
    <n v="71.45"/>
    <m/>
    <m/>
    <m/>
    <x v="62"/>
    <m/>
  </r>
  <r>
    <n v="1164"/>
    <x v="58"/>
    <s v="TEL"/>
    <n v="73371"/>
    <n v="1160.3599999999999"/>
    <m/>
    <m/>
    <m/>
    <x v="62"/>
    <m/>
  </r>
  <r>
    <n v="50312"/>
    <x v="86"/>
    <s v="TEL"/>
    <n v="73390"/>
    <n v="575.85"/>
    <m/>
    <m/>
    <m/>
    <x v="62"/>
    <m/>
  </r>
  <r>
    <n v="1122"/>
    <x v="87"/>
    <s v="EMAIL"/>
    <n v="73388"/>
    <n v="824"/>
    <m/>
    <m/>
    <m/>
    <x v="62"/>
    <m/>
  </r>
  <r>
    <n v="1122"/>
    <x v="87"/>
    <s v="EMAIL"/>
    <n v="73386"/>
    <n v="2305.5500000000002"/>
    <m/>
    <m/>
    <m/>
    <x v="62"/>
    <m/>
  </r>
  <r>
    <n v="822"/>
    <x v="66"/>
    <s v="TEL"/>
    <n v="73403"/>
    <n v="1515"/>
    <m/>
    <m/>
    <m/>
    <x v="62"/>
    <m/>
  </r>
  <r>
    <n v="1493"/>
    <x v="21"/>
    <s v="WHATS"/>
    <n v="73424"/>
    <n v="766.02"/>
    <m/>
    <m/>
    <m/>
    <x v="63"/>
    <m/>
  </r>
  <r>
    <n v="1616"/>
    <x v="83"/>
    <s v="WHATS"/>
    <n v="73396"/>
    <n v="1113"/>
    <m/>
    <m/>
    <m/>
    <x v="63"/>
    <m/>
  </r>
  <r>
    <n v="2192"/>
    <x v="0"/>
    <s v="WHATS"/>
    <n v="73396"/>
    <n v="2655.19"/>
    <m/>
    <m/>
    <m/>
    <x v="63"/>
    <m/>
  </r>
  <r>
    <n v="885"/>
    <x v="88"/>
    <s v="WHATS"/>
    <n v="73334"/>
    <n v="3324.04"/>
    <m/>
    <m/>
    <m/>
    <x v="63"/>
    <m/>
  </r>
  <r>
    <n v="50222"/>
    <x v="89"/>
    <s v="WHATS"/>
    <n v="73450"/>
    <n v="1403.82"/>
    <m/>
    <m/>
    <m/>
    <x v="63"/>
    <m/>
  </r>
  <r>
    <n v="311"/>
    <x v="46"/>
    <s v="WHATS"/>
    <n v="73473"/>
    <n v="184.1"/>
    <m/>
    <m/>
    <m/>
    <x v="63"/>
    <m/>
  </r>
  <r>
    <n v="311"/>
    <x v="46"/>
    <s v="WHATS"/>
    <n v="98599"/>
    <n v="806.91"/>
    <m/>
    <m/>
    <m/>
    <x v="63"/>
    <m/>
  </r>
  <r>
    <n v="784"/>
    <x v="13"/>
    <s v="WHATS"/>
    <n v="73464"/>
    <n v="4041.26"/>
    <m/>
    <m/>
    <m/>
    <x v="63"/>
    <m/>
  </r>
  <r>
    <n v="412"/>
    <x v="90"/>
    <s v="WHATS"/>
    <n v="73486"/>
    <n v="1228.8399999999999"/>
    <m/>
    <m/>
    <m/>
    <x v="63"/>
    <m/>
  </r>
  <r>
    <n v="1026"/>
    <x v="7"/>
    <s v="TEL"/>
    <n v="73496"/>
    <n v="2079.9"/>
    <m/>
    <m/>
    <m/>
    <x v="63"/>
    <m/>
  </r>
  <r>
    <n v="1842"/>
    <x v="47"/>
    <s v="WHATS"/>
    <n v="72288"/>
    <n v="692.6"/>
    <m/>
    <m/>
    <m/>
    <x v="63"/>
    <m/>
  </r>
  <r>
    <n v="1842"/>
    <x v="47"/>
    <s v="WHATS"/>
    <n v="98603"/>
    <n v="122.75"/>
    <m/>
    <m/>
    <m/>
    <x v="63"/>
    <m/>
  </r>
  <r>
    <n v="50418"/>
    <x v="35"/>
    <s v="WHATS"/>
    <n v="73500"/>
    <n v="1576.6"/>
    <m/>
    <m/>
    <m/>
    <x v="63"/>
    <m/>
  </r>
  <r>
    <n v="1262"/>
    <x v="0"/>
    <s v="WHATS"/>
    <n v="73208"/>
    <n v="583.36"/>
    <m/>
    <m/>
    <m/>
    <x v="64"/>
    <m/>
  </r>
  <r>
    <n v="1788"/>
    <x v="91"/>
    <s v="WHATS"/>
    <n v="73507"/>
    <n v="190"/>
    <m/>
    <m/>
    <m/>
    <x v="64"/>
    <m/>
  </r>
  <r>
    <n v="50219"/>
    <x v="14"/>
    <s v="WHATS"/>
    <n v="73528"/>
    <n v="1473.71"/>
    <m/>
    <m/>
    <m/>
    <x v="64"/>
    <m/>
  </r>
  <r>
    <n v="50222"/>
    <x v="89"/>
    <s v="WHATS"/>
    <n v="98610"/>
    <n v="171.06"/>
    <m/>
    <m/>
    <m/>
    <x v="64"/>
    <m/>
  </r>
  <r>
    <n v="3153"/>
    <x v="12"/>
    <s v="WHATS"/>
    <n v="73530"/>
    <n v="1455.7"/>
    <m/>
    <m/>
    <m/>
    <x v="64"/>
    <m/>
  </r>
  <r>
    <n v="475"/>
    <x v="23"/>
    <s v="WHATS"/>
    <n v="73522"/>
    <n v="904.09"/>
    <m/>
    <m/>
    <m/>
    <x v="64"/>
    <m/>
  </r>
  <r>
    <n v="2702"/>
    <x v="73"/>
    <s v="WHATS"/>
    <n v="73544"/>
    <n v="341.07"/>
    <m/>
    <m/>
    <m/>
    <x v="65"/>
    <m/>
  </r>
  <r>
    <n v="702"/>
    <x v="0"/>
    <s v="TEL"/>
    <n v="73554"/>
    <n v="879.56"/>
    <m/>
    <m/>
    <m/>
    <x v="65"/>
    <m/>
  </r>
  <r>
    <n v="1164"/>
    <x v="58"/>
    <s v="TEL"/>
    <n v="73555"/>
    <n v="533.79999999999995"/>
    <m/>
    <m/>
    <m/>
    <x v="65"/>
    <m/>
  </r>
  <r>
    <n v="50576"/>
    <x v="37"/>
    <s v="WHATS"/>
    <n v="73568"/>
    <n v="1878.18"/>
    <m/>
    <m/>
    <m/>
    <x v="65"/>
    <m/>
  </r>
  <r>
    <n v="911"/>
    <x v="0"/>
    <s v="WHATS"/>
    <n v="73572"/>
    <n v="1491.25"/>
    <m/>
    <m/>
    <m/>
    <x v="65"/>
    <m/>
  </r>
  <r>
    <n v="911"/>
    <x v="0"/>
    <s v="WHATS"/>
    <n v="98626"/>
    <n v="260.7"/>
    <m/>
    <m/>
    <m/>
    <x v="65"/>
    <m/>
  </r>
  <r>
    <n v="756"/>
    <x v="8"/>
    <s v="WHATS"/>
    <n v="73583"/>
    <n v="1091.6199999999999"/>
    <m/>
    <m/>
    <m/>
    <x v="65"/>
    <m/>
  </r>
  <r>
    <n v="2198"/>
    <x v="92"/>
    <s v="WHATS"/>
    <n v="73026"/>
    <n v="4180"/>
    <m/>
    <m/>
    <m/>
    <x v="65"/>
    <m/>
  </r>
  <r>
    <n v="432"/>
    <x v="43"/>
    <s v="WHATS"/>
    <n v="73506"/>
    <n v="1186.9000000000001"/>
    <m/>
    <m/>
    <m/>
    <x v="65"/>
    <m/>
  </r>
  <r>
    <n v="432"/>
    <x v="43"/>
    <s v="WHATS"/>
    <n v="98617"/>
    <n v="265.93"/>
    <m/>
    <m/>
    <m/>
    <x v="65"/>
    <m/>
  </r>
  <r>
    <n v="1971"/>
    <x v="29"/>
    <s v="WHATS"/>
    <n v="73591"/>
    <n v="683.5"/>
    <m/>
    <m/>
    <m/>
    <x v="65"/>
    <m/>
  </r>
  <r>
    <n v="1971"/>
    <x v="29"/>
    <s v="WHATS"/>
    <n v="98630"/>
    <n v="249.6"/>
    <m/>
    <m/>
    <m/>
    <x v="65"/>
    <m/>
  </r>
  <r>
    <n v="50554"/>
    <x v="20"/>
    <s v="WHATS"/>
    <n v="73531"/>
    <n v="3295.15"/>
    <m/>
    <m/>
    <m/>
    <x v="65"/>
    <m/>
  </r>
  <r>
    <n v="50497"/>
    <x v="77"/>
    <s v="WHATS"/>
    <n v="98611"/>
    <n v="580.6"/>
    <m/>
    <m/>
    <m/>
    <x v="66"/>
    <m/>
  </r>
  <r>
    <n v="3194"/>
    <x v="18"/>
    <s v="TEL"/>
    <n v="73605"/>
    <n v="802.5"/>
    <m/>
    <m/>
    <m/>
    <x v="66"/>
    <m/>
  </r>
  <r>
    <n v="746"/>
    <x v="3"/>
    <s v="TEL"/>
    <n v="73616"/>
    <n v="5148.66"/>
    <m/>
    <m/>
    <m/>
    <x v="66"/>
    <m/>
  </r>
  <r>
    <n v="746"/>
    <x v="3"/>
    <s v="TEL"/>
    <n v="98634"/>
    <n v="311"/>
    <m/>
    <m/>
    <m/>
    <x v="66"/>
    <m/>
  </r>
  <r>
    <n v="50936"/>
    <x v="93"/>
    <s v="WHATS"/>
    <n v="73625"/>
    <n v="492.6"/>
    <m/>
    <m/>
    <m/>
    <x v="66"/>
    <m/>
  </r>
  <r>
    <n v="761"/>
    <x v="24"/>
    <s v="WHATS"/>
    <n v="98601"/>
    <n v="314.2"/>
    <m/>
    <m/>
    <m/>
    <x v="66"/>
    <m/>
  </r>
  <r>
    <n v="761"/>
    <x v="24"/>
    <s v="WHATS"/>
    <n v="73557"/>
    <n v="74.7"/>
    <m/>
    <m/>
    <m/>
    <x v="66"/>
    <m/>
  </r>
  <r>
    <n v="1788"/>
    <x v="91"/>
    <s v="WHATS"/>
    <n v="73615"/>
    <n v="1585.08"/>
    <m/>
    <m/>
    <m/>
    <x v="66"/>
    <m/>
  </r>
  <r>
    <n v="500149"/>
    <x v="94"/>
    <s v="WHATS"/>
    <n v="73588"/>
    <n v="2142.12"/>
    <m/>
    <m/>
    <m/>
    <x v="66"/>
    <m/>
  </r>
  <r>
    <n v="364"/>
    <x v="31"/>
    <s v="WHATS"/>
    <n v="73659"/>
    <n v="2881.56"/>
    <m/>
    <m/>
    <m/>
    <x v="66"/>
    <m/>
  </r>
  <r>
    <n v="690"/>
    <x v="19"/>
    <s v="TEL"/>
    <n v="98640"/>
    <n v="885.1"/>
    <m/>
    <m/>
    <m/>
    <x v="66"/>
    <m/>
  </r>
  <r>
    <n v="690"/>
    <x v="19"/>
    <s v="TEL"/>
    <n v="73660"/>
    <n v="764.2"/>
    <m/>
    <m/>
    <m/>
    <x v="66"/>
    <m/>
  </r>
  <r>
    <n v="1206"/>
    <x v="33"/>
    <s v="TEL"/>
    <n v="73671"/>
    <n v="1684.16"/>
    <m/>
    <m/>
    <m/>
    <x v="67"/>
    <m/>
  </r>
  <r>
    <n v="3194"/>
    <x v="18"/>
    <s v="TEL"/>
    <n v="98632"/>
    <n v="251.4"/>
    <m/>
    <m/>
    <m/>
    <x v="67"/>
    <m/>
  </r>
  <r>
    <n v="822"/>
    <x v="66"/>
    <s v="TEL"/>
    <n v="98647"/>
    <n v="1141.68"/>
    <m/>
    <m/>
    <m/>
    <x v="67"/>
    <m/>
  </r>
  <r>
    <n v="822"/>
    <x v="66"/>
    <s v="TEL"/>
    <n v="73693"/>
    <n v="2183.8000000000002"/>
    <m/>
    <m/>
    <m/>
    <x v="67"/>
    <m/>
  </r>
  <r>
    <n v="412"/>
    <x v="90"/>
    <s v="WHATS"/>
    <n v="73697"/>
    <n v="565.78"/>
    <m/>
    <m/>
    <m/>
    <x v="67"/>
    <m/>
  </r>
  <r>
    <n v="475"/>
    <x v="23"/>
    <s v="WHATS"/>
    <n v="73740"/>
    <n v="3380.64"/>
    <m/>
    <m/>
    <m/>
    <x v="68"/>
    <m/>
  </r>
  <r>
    <n v="475"/>
    <x v="23"/>
    <s v="WHATS"/>
    <n v="98654"/>
    <n v="2618.5"/>
    <m/>
    <m/>
    <m/>
    <x v="68"/>
    <m/>
  </r>
  <r>
    <n v="1240"/>
    <x v="25"/>
    <s v="WHATS"/>
    <n v="73717"/>
    <n v="2412.5"/>
    <m/>
    <m/>
    <m/>
    <x v="68"/>
    <m/>
  </r>
  <r>
    <n v="50441"/>
    <x v="0"/>
    <s v="WHATS"/>
    <n v="73754"/>
    <n v="779.66"/>
    <m/>
    <m/>
    <m/>
    <x v="68"/>
    <m/>
  </r>
  <r>
    <n v="2980"/>
    <x v="40"/>
    <s v="WHATS"/>
    <n v="73636"/>
    <n v="992.67"/>
    <m/>
    <m/>
    <m/>
    <x v="68"/>
    <m/>
  </r>
  <r>
    <n v="2980"/>
    <x v="40"/>
    <s v="WHATS"/>
    <n v="98636"/>
    <n v="378.3"/>
    <m/>
    <m/>
    <m/>
    <x v="68"/>
    <m/>
  </r>
  <r>
    <n v="2415"/>
    <x v="63"/>
    <s v="TEL"/>
    <n v="73471"/>
    <n v="1951.2"/>
    <m/>
    <m/>
    <m/>
    <x v="68"/>
    <m/>
  </r>
  <r>
    <n v="3245"/>
    <x v="95"/>
    <s v="TEL"/>
    <n v="73769"/>
    <n v="827"/>
    <m/>
    <m/>
    <m/>
    <x v="68"/>
    <m/>
  </r>
  <r>
    <n v="50465"/>
    <x v="96"/>
    <s v="WHATS"/>
    <n v="73767"/>
    <n v="857.16"/>
    <m/>
    <m/>
    <m/>
    <x v="68"/>
    <m/>
  </r>
  <r>
    <n v="325"/>
    <x v="97"/>
    <s v="WHATS"/>
    <n v="98658"/>
    <n v="558.30999999999995"/>
    <m/>
    <m/>
    <m/>
    <x v="68"/>
    <m/>
  </r>
  <r>
    <n v="325"/>
    <x v="97"/>
    <s v="WHATS"/>
    <n v="73774"/>
    <n v="156"/>
    <m/>
    <m/>
    <m/>
    <x v="68"/>
    <m/>
  </r>
  <r>
    <n v="2911"/>
    <x v="15"/>
    <s v="WHATS"/>
    <n v="98624"/>
    <n v="152.5"/>
    <m/>
    <m/>
    <m/>
    <x v="68"/>
    <m/>
  </r>
  <r>
    <n v="2911"/>
    <x v="15"/>
    <s v="WHATS"/>
    <n v="73575"/>
    <n v="1181.25"/>
    <m/>
    <m/>
    <m/>
    <x v="68"/>
    <m/>
  </r>
  <r>
    <n v="50497"/>
    <x v="77"/>
    <s v="TEL"/>
    <n v="73667"/>
    <n v="482.05"/>
    <m/>
    <m/>
    <m/>
    <x v="68"/>
    <m/>
  </r>
  <r>
    <n v="906"/>
    <x v="27"/>
    <s v="WHATS"/>
    <n v="98660"/>
    <n v="1392.42"/>
    <m/>
    <m/>
    <m/>
    <x v="69"/>
    <m/>
  </r>
  <r>
    <n v="906"/>
    <x v="27"/>
    <s v="WHATS"/>
    <n v="73782"/>
    <n v="557"/>
    <m/>
    <m/>
    <m/>
    <x v="69"/>
    <m/>
  </r>
  <r>
    <n v="731"/>
    <x v="4"/>
    <s v="WHATS"/>
    <n v="73562"/>
    <n v="2450"/>
    <m/>
    <m/>
    <m/>
    <x v="69"/>
    <m/>
  </r>
  <r>
    <n v="725"/>
    <x v="65"/>
    <s v="WHATS"/>
    <n v="73823"/>
    <n v="1135.42"/>
    <m/>
    <m/>
    <m/>
    <x v="70"/>
    <m/>
  </r>
  <r>
    <n v="960"/>
    <x v="30"/>
    <s v="WHATS"/>
    <n v="98664"/>
    <n v="211.48"/>
    <m/>
    <m/>
    <m/>
    <x v="70"/>
    <m/>
  </r>
  <r>
    <n v="960"/>
    <x v="30"/>
    <s v="WHATS"/>
    <n v="73095"/>
    <n v="77.5"/>
    <m/>
    <m/>
    <m/>
    <x v="70"/>
    <m/>
  </r>
  <r>
    <n v="823"/>
    <x v="17"/>
    <s v="WHATS"/>
    <n v="73414"/>
    <n v="5065.6400000000003"/>
    <m/>
    <m/>
    <m/>
    <x v="70"/>
    <m/>
  </r>
  <r>
    <n v="823"/>
    <x v="17"/>
    <s v="WHATS"/>
    <n v="98666"/>
    <n v="110"/>
    <m/>
    <m/>
    <m/>
    <x v="70"/>
    <m/>
  </r>
  <r>
    <n v="1533"/>
    <x v="50"/>
    <s v="WHATS"/>
    <n v="73830"/>
    <n v="432"/>
    <m/>
    <m/>
    <m/>
    <x v="70"/>
    <m/>
  </r>
  <r>
    <n v="708"/>
    <x v="56"/>
    <s v="WHATS"/>
    <n v="73852"/>
    <n v="1257.5"/>
    <m/>
    <m/>
    <m/>
    <x v="70"/>
    <m/>
  </r>
  <r>
    <n v="480"/>
    <x v="39"/>
    <s v="WHATS"/>
    <n v="73878"/>
    <n v="942"/>
    <m/>
    <m/>
    <m/>
    <x v="70"/>
    <m/>
  </r>
  <r>
    <n v="906"/>
    <x v="27"/>
    <s v="TEL"/>
    <n v="73882"/>
    <n v="2701.36"/>
    <m/>
    <m/>
    <m/>
    <x v="70"/>
    <m/>
  </r>
  <r>
    <n v="746"/>
    <x v="3"/>
    <s v="TEL"/>
    <n v="73884"/>
    <n v="954"/>
    <m/>
    <m/>
    <m/>
    <x v="70"/>
    <m/>
  </r>
  <r>
    <n v="704"/>
    <x v="49"/>
    <s v="TEL"/>
    <n v="98677"/>
    <n v="944.26"/>
    <m/>
    <m/>
    <m/>
    <x v="70"/>
    <m/>
  </r>
  <r>
    <n v="704"/>
    <x v="49"/>
    <s v="TEL"/>
    <n v="73886"/>
    <n v="1242.27"/>
    <m/>
    <m/>
    <m/>
    <x v="70"/>
    <m/>
  </r>
  <r>
    <n v="772"/>
    <x v="71"/>
    <s v="WHATS"/>
    <n v="73864"/>
    <n v="833.95"/>
    <m/>
    <m/>
    <m/>
    <x v="70"/>
    <m/>
  </r>
  <r>
    <n v="772"/>
    <x v="71"/>
    <s v="WHATS"/>
    <n v="98662"/>
    <n v="259.64999999999998"/>
    <m/>
    <m/>
    <m/>
    <x v="70"/>
    <m/>
  </r>
  <r>
    <n v="325"/>
    <x v="97"/>
    <s v="WHATS"/>
    <n v="73912"/>
    <n v="389"/>
    <m/>
    <m/>
    <m/>
    <x v="71"/>
    <m/>
  </r>
  <r>
    <n v="746"/>
    <x v="3"/>
    <s v="TEL"/>
    <n v="73941"/>
    <n v="78"/>
    <m/>
    <m/>
    <m/>
    <x v="71"/>
    <m/>
  </r>
  <r>
    <n v="3017"/>
    <x v="62"/>
    <s v="WHATS"/>
    <n v="73934"/>
    <n v="695.48"/>
    <m/>
    <m/>
    <m/>
    <x v="71"/>
    <m/>
  </r>
  <r>
    <n v="2397"/>
    <x v="6"/>
    <s v="TEL"/>
    <n v="73956"/>
    <n v="834"/>
    <m/>
    <m/>
    <m/>
    <x v="71"/>
    <m/>
  </r>
  <r>
    <n v="50219"/>
    <x v="14"/>
    <s v="WHATS"/>
    <n v="73967"/>
    <n v="299"/>
    <m/>
    <m/>
    <m/>
    <x v="71"/>
    <m/>
  </r>
  <r>
    <n v="620"/>
    <x v="69"/>
    <s v="WHATS"/>
    <n v="73933"/>
    <n v="1865.63"/>
    <m/>
    <m/>
    <m/>
    <x v="71"/>
    <m/>
  </r>
  <r>
    <n v="2415"/>
    <x v="63"/>
    <s v="WHATS"/>
    <n v="73980"/>
    <n v="1671.8"/>
    <m/>
    <m/>
    <m/>
    <x v="71"/>
    <m/>
  </r>
  <r>
    <n v="50418"/>
    <x v="35"/>
    <s v="WHATS"/>
    <m/>
    <n v="410"/>
    <m/>
    <m/>
    <m/>
    <x v="72"/>
    <m/>
  </r>
  <r>
    <n v="475"/>
    <x v="23"/>
    <s v="TEL"/>
    <n v="74016"/>
    <n v="2500"/>
    <m/>
    <m/>
    <m/>
    <x v="72"/>
    <m/>
  </r>
  <r>
    <n v="1026"/>
    <x v="7"/>
    <s v="WHATS"/>
    <n v="73258"/>
    <n v="750"/>
    <m/>
    <m/>
    <m/>
    <x v="72"/>
    <m/>
  </r>
  <r>
    <n v="1806"/>
    <x v="54"/>
    <s v="EMAIL"/>
    <n v="73727"/>
    <n v="495.25"/>
    <m/>
    <m/>
    <m/>
    <x v="72"/>
    <m/>
  </r>
  <r>
    <n v="474"/>
    <x v="98"/>
    <s v="WHATS"/>
    <n v="74007"/>
    <n v="139.80000000000001"/>
    <m/>
    <m/>
    <m/>
    <x v="73"/>
    <m/>
  </r>
  <r>
    <n v="474"/>
    <x v="98"/>
    <s v="WHATS"/>
    <n v="98692"/>
    <n v="551.4"/>
    <m/>
    <m/>
    <m/>
    <x v="73"/>
    <m/>
  </r>
  <r>
    <n v="475"/>
    <x v="23"/>
    <s v="WHATS"/>
    <n v="73845"/>
    <n v="18649.439999999999"/>
    <m/>
    <m/>
    <m/>
    <x v="73"/>
    <m/>
  </r>
  <r>
    <n v="1989"/>
    <x v="67"/>
    <s v="WHATS"/>
    <n v="73812"/>
    <n v="561"/>
    <m/>
    <m/>
    <m/>
    <x v="73"/>
    <m/>
  </r>
  <r>
    <n v="2763"/>
    <x v="68"/>
    <s v="WHATS"/>
    <n v="73810"/>
    <n v="606.05999999999995"/>
    <m/>
    <m/>
    <m/>
    <x v="73"/>
    <m/>
  </r>
  <r>
    <n v="2397"/>
    <x v="6"/>
    <s v="WHATS"/>
    <n v="73957"/>
    <n v="834"/>
    <m/>
    <m/>
    <m/>
    <x v="73"/>
    <m/>
  </r>
  <r>
    <n v="874"/>
    <x v="53"/>
    <s v="WHATS"/>
    <n v="74057"/>
    <n v="678.69"/>
    <m/>
    <m/>
    <m/>
    <x v="73"/>
    <m/>
  </r>
  <r>
    <n v="687"/>
    <x v="16"/>
    <s v="WHATS"/>
    <n v="73474"/>
    <n v="1056.5"/>
    <m/>
    <m/>
    <m/>
    <x v="73"/>
    <m/>
  </r>
  <r>
    <n v="1726"/>
    <x v="34"/>
    <s v="EMAIL"/>
    <n v="73883"/>
    <n v="294.10000000000002"/>
    <m/>
    <m/>
    <m/>
    <x v="73"/>
    <m/>
  </r>
  <r>
    <n v="1726"/>
    <x v="34"/>
    <s v="EMAIL"/>
    <n v="72926"/>
    <n v="261.2"/>
    <m/>
    <m/>
    <m/>
    <x v="73"/>
    <m/>
  </r>
  <r>
    <n v="2980"/>
    <x v="40"/>
    <s v="TEL"/>
    <n v="74033"/>
    <n v="663.45"/>
    <m/>
    <m/>
    <m/>
    <x v="73"/>
    <m/>
  </r>
  <r>
    <n v="690"/>
    <x v="19"/>
    <s v="WHATS"/>
    <n v="98706"/>
    <n v="87"/>
    <m/>
    <m/>
    <m/>
    <x v="74"/>
    <m/>
  </r>
  <r>
    <n v="311"/>
    <x v="46"/>
    <s v="WHATS"/>
    <n v="98690"/>
    <n v="554.4"/>
    <m/>
    <m/>
    <m/>
    <x v="74"/>
    <m/>
  </r>
  <r>
    <n v="1806"/>
    <x v="54"/>
    <s v="WHATS"/>
    <n v="71661"/>
    <n v="495.25"/>
    <m/>
    <m/>
    <m/>
    <x v="74"/>
    <m/>
  </r>
  <r>
    <n v="708"/>
    <x v="56"/>
    <s v="WHATS"/>
    <n v="73852"/>
    <n v="1257.5"/>
    <m/>
    <m/>
    <m/>
    <x v="74"/>
    <m/>
  </r>
  <r>
    <n v="1026"/>
    <x v="7"/>
    <s v="WHATS"/>
    <n v="74106"/>
    <n v="1309"/>
    <m/>
    <m/>
    <m/>
    <x v="74"/>
    <m/>
  </r>
  <r>
    <n v="3240"/>
    <x v="75"/>
    <s v="WHATS"/>
    <n v="74102"/>
    <n v="785.09"/>
    <m/>
    <m/>
    <m/>
    <x v="74"/>
    <m/>
  </r>
  <r>
    <n v="3240"/>
    <x v="75"/>
    <s v="WHATS"/>
    <n v="98714"/>
    <n v="168.02"/>
    <m/>
    <m/>
    <m/>
    <x v="74"/>
    <m/>
  </r>
  <r>
    <n v="1742"/>
    <x v="81"/>
    <s v="WHATS"/>
    <n v="73920"/>
    <n v="511.79"/>
    <m/>
    <m/>
    <m/>
    <x v="75"/>
    <m/>
  </r>
  <r>
    <n v="516"/>
    <x v="11"/>
    <s v="EMAIL"/>
    <n v="73867"/>
    <n v="18187.099999999999"/>
    <m/>
    <m/>
    <m/>
    <x v="75"/>
    <m/>
  </r>
  <r>
    <n v="197"/>
    <x v="99"/>
    <s v="WHATS"/>
    <n v="74129"/>
    <n v="252"/>
    <m/>
    <m/>
    <m/>
    <x v="75"/>
    <m/>
  </r>
  <r>
    <n v="197"/>
    <x v="99"/>
    <s v="WHATS"/>
    <n v="98716"/>
    <n v="156.38"/>
    <m/>
    <m/>
    <m/>
    <x v="75"/>
    <m/>
  </r>
  <r>
    <n v="1041"/>
    <x v="78"/>
    <s v="WHATS"/>
    <n v="98717"/>
    <n v="220.05"/>
    <m/>
    <m/>
    <m/>
    <x v="75"/>
    <m/>
  </r>
  <r>
    <n v="725"/>
    <x v="65"/>
    <s v="WHATS"/>
    <n v="74134"/>
    <n v="570.1"/>
    <m/>
    <m/>
    <m/>
    <x v="75"/>
    <m/>
  </r>
  <r>
    <n v="311"/>
    <x v="46"/>
    <s v="WHATS"/>
    <n v="74124"/>
    <n v="221.9"/>
    <m/>
    <m/>
    <m/>
    <x v="75"/>
    <m/>
  </r>
  <r>
    <n v="50219"/>
    <x v="14"/>
    <s v="WHATS"/>
    <n v="74148"/>
    <n v="250"/>
    <m/>
    <m/>
    <m/>
    <x v="75"/>
    <m/>
  </r>
  <r>
    <n v="50576"/>
    <x v="37"/>
    <s v="WHATS"/>
    <n v="74158"/>
    <n v="2082.5"/>
    <m/>
    <m/>
    <m/>
    <x v="75"/>
    <m/>
  </r>
  <r>
    <n v="761"/>
    <x v="24"/>
    <s v="WHATS"/>
    <n v="73922"/>
    <n v="622.20000000000005"/>
    <m/>
    <m/>
    <m/>
    <x v="75"/>
    <m/>
  </r>
  <r>
    <n v="741"/>
    <x v="85"/>
    <s v="WHATS"/>
    <n v="74165"/>
    <n v="1462.56"/>
    <m/>
    <m/>
    <m/>
    <x v="75"/>
    <m/>
  </r>
  <r>
    <n v="1726"/>
    <x v="34"/>
    <s v="WHATS"/>
    <n v="72241"/>
    <n v="694.5"/>
    <m/>
    <m/>
    <m/>
    <x v="75"/>
    <m/>
  </r>
  <r>
    <n v="1726"/>
    <x v="34"/>
    <s v="WHATS"/>
    <n v="73318"/>
    <n v="79.8"/>
    <m/>
    <m/>
    <m/>
    <x v="75"/>
    <m/>
  </r>
  <r>
    <n v="1164"/>
    <x v="58"/>
    <s v="TEL"/>
    <n v="74209"/>
    <n v="1547.58"/>
    <m/>
    <m/>
    <m/>
    <x v="76"/>
    <m/>
  </r>
  <r>
    <n v="1164"/>
    <x v="58"/>
    <s v="TEL"/>
    <n v="98733"/>
    <n v="88.89"/>
    <m/>
    <m/>
    <m/>
    <x v="76"/>
    <m/>
  </r>
  <r>
    <n v="756"/>
    <x v="8"/>
    <s v="WHATS"/>
    <n v="98736"/>
    <n v="123.48"/>
    <m/>
    <m/>
    <m/>
    <x v="76"/>
    <m/>
  </r>
  <r>
    <n v="756"/>
    <x v="8"/>
    <s v="WHATS"/>
    <n v="74211"/>
    <n v="5978.1"/>
    <m/>
    <m/>
    <m/>
    <x v="76"/>
    <m/>
  </r>
  <r>
    <n v="572"/>
    <x v="51"/>
    <s v="WHATS"/>
    <n v="74202"/>
    <n v="884.44"/>
    <m/>
    <m/>
    <m/>
    <x v="76"/>
    <m/>
  </r>
  <r>
    <n v="1493"/>
    <x v="21"/>
    <s v="TEL"/>
    <n v="74224"/>
    <n v="1594.36"/>
    <m/>
    <m/>
    <m/>
    <x v="76"/>
    <m/>
  </r>
  <r>
    <n v="3077"/>
    <x v="10"/>
    <s v="TEL"/>
    <n v="74273"/>
    <n v="626.16"/>
    <m/>
    <m/>
    <m/>
    <x v="77"/>
    <m/>
  </r>
  <r>
    <n v="3077"/>
    <x v="10"/>
    <s v="TEL"/>
    <n v="98753"/>
    <n v="171.34"/>
    <m/>
    <m/>
    <m/>
    <x v="77"/>
    <m/>
  </r>
  <r>
    <n v="705"/>
    <x v="1"/>
    <s v="WHATS"/>
    <n v="98755"/>
    <n v="682.2"/>
    <m/>
    <m/>
    <m/>
    <x v="77"/>
    <m/>
  </r>
  <r>
    <n v="762"/>
    <x v="41"/>
    <s v="EMAIL"/>
    <n v="74290"/>
    <n v="1230"/>
    <m/>
    <m/>
    <m/>
    <x v="77"/>
    <m/>
  </r>
  <r>
    <n v="2022"/>
    <x v="28"/>
    <s v="WHATS"/>
    <n v="74110"/>
    <n v="417.78"/>
    <m/>
    <m/>
    <m/>
    <x v="77"/>
    <m/>
  </r>
  <r>
    <n v="475"/>
    <x v="23"/>
    <s v="WHATS"/>
    <n v="74138"/>
    <n v="3845"/>
    <m/>
    <m/>
    <m/>
    <x v="77"/>
    <m/>
  </r>
  <r>
    <n v="2022"/>
    <x v="28"/>
    <s v="WHATS"/>
    <n v="98761"/>
    <n v="215"/>
    <m/>
    <m/>
    <m/>
    <x v="77"/>
    <m/>
  </r>
  <r>
    <n v="2022"/>
    <x v="28"/>
    <s v="WHATS"/>
    <n v="74110"/>
    <n v="3402.55"/>
    <m/>
    <m/>
    <m/>
    <x v="77"/>
    <m/>
  </r>
  <r>
    <n v="432"/>
    <x v="43"/>
    <s v="WHATS"/>
    <n v="74270"/>
    <n v="1707.78"/>
    <m/>
    <m/>
    <m/>
    <x v="77"/>
    <m/>
  </r>
  <r>
    <n v="1813"/>
    <x v="48"/>
    <s v="WHATS"/>
    <n v="74275"/>
    <n v="1025.26"/>
    <m/>
    <m/>
    <m/>
    <x v="77"/>
    <m/>
  </r>
  <r>
    <n v="980"/>
    <x v="80"/>
    <s v="WHATS"/>
    <n v="74325"/>
    <n v="210"/>
    <m/>
    <m/>
    <m/>
    <x v="77"/>
    <m/>
  </r>
  <r>
    <n v="575"/>
    <x v="45"/>
    <s v="TEL"/>
    <n v="74235"/>
    <n v="857.35"/>
    <m/>
    <m/>
    <m/>
    <x v="78"/>
    <m/>
  </r>
  <r>
    <n v="2062"/>
    <x v="0"/>
    <s v="TEL"/>
    <n v="74341"/>
    <n v="1626.96"/>
    <m/>
    <m/>
    <m/>
    <x v="78"/>
    <m/>
  </r>
  <r>
    <n v="2415"/>
    <x v="63"/>
    <s v="WHATS"/>
    <n v="74362"/>
    <n v="2236"/>
    <m/>
    <m/>
    <m/>
    <x v="78"/>
    <m/>
  </r>
  <r>
    <n v="1206"/>
    <x v="33"/>
    <s v="TEL"/>
    <n v="74397"/>
    <n v="800.25"/>
    <m/>
    <m/>
    <m/>
    <x v="79"/>
    <m/>
  </r>
  <r>
    <n v="705"/>
    <x v="1"/>
    <s v="TEL"/>
    <n v="74234"/>
    <n v="216"/>
    <m/>
    <m/>
    <m/>
    <x v="79"/>
    <m/>
  </r>
  <r>
    <n v="1533"/>
    <x v="50"/>
    <s v="WHATS"/>
    <n v="74383"/>
    <n v="689"/>
    <m/>
    <m/>
    <m/>
    <x v="79"/>
    <m/>
  </r>
  <r>
    <n v="7080"/>
    <x v="0"/>
    <s v="WHATS"/>
    <n v="74415"/>
    <n v="242.5"/>
    <m/>
    <m/>
    <m/>
    <x v="79"/>
    <m/>
  </r>
  <r>
    <n v="311"/>
    <x v="46"/>
    <s v="WHATS"/>
    <n v="98777"/>
    <n v="182.89"/>
    <m/>
    <m/>
    <m/>
    <x v="79"/>
    <m/>
  </r>
  <r>
    <n v="311"/>
    <x v="46"/>
    <s v="WHATS"/>
    <n v="74418"/>
    <n v="227.1"/>
    <m/>
    <m/>
    <m/>
    <x v="79"/>
    <m/>
  </r>
  <r>
    <n v="3018"/>
    <x v="64"/>
    <s v="WHATS"/>
    <n v="74428"/>
    <n v="549.14"/>
    <m/>
    <m/>
    <m/>
    <x v="79"/>
    <m/>
  </r>
  <r>
    <n v="197"/>
    <x v="99"/>
    <s v="WHATS"/>
    <n v="74425"/>
    <n v="220"/>
    <m/>
    <m/>
    <m/>
    <x v="79"/>
    <m/>
  </r>
  <r>
    <n v="746"/>
    <x v="3"/>
    <s v="WHATS"/>
    <n v="74395"/>
    <n v="252.8"/>
    <m/>
    <m/>
    <m/>
    <x v="79"/>
    <m/>
  </r>
  <r>
    <n v="50816"/>
    <x v="100"/>
    <s v="WHATS"/>
    <n v="74431"/>
    <n v="272"/>
    <m/>
    <m/>
    <m/>
    <x v="79"/>
    <m/>
  </r>
  <r>
    <n v="1122"/>
    <x v="87"/>
    <s v="EMAIL"/>
    <n v="74436"/>
    <n v="2575.84"/>
    <m/>
    <m/>
    <m/>
    <x v="80"/>
    <m/>
  </r>
  <r>
    <n v="2702"/>
    <x v="73"/>
    <s v="WHATS"/>
    <n v="74441"/>
    <n v="1218"/>
    <m/>
    <m/>
    <m/>
    <x v="80"/>
    <m/>
  </r>
  <r>
    <n v="480"/>
    <x v="39"/>
    <s v="WHATS"/>
    <n v="98779"/>
    <n v="199"/>
    <m/>
    <m/>
    <m/>
    <x v="80"/>
    <m/>
  </r>
  <r>
    <n v="480"/>
    <x v="39"/>
    <s v="WHATS"/>
    <n v="74442"/>
    <n v="200.26"/>
    <m/>
    <m/>
    <m/>
    <x v="80"/>
    <m/>
  </r>
  <r>
    <n v="761"/>
    <x v="24"/>
    <s v="WHATS"/>
    <n v="74444"/>
    <n v="57.5"/>
    <m/>
    <m/>
    <m/>
    <x v="80"/>
    <m/>
  </r>
  <r>
    <n v="761"/>
    <x v="24"/>
    <s v="WHATS"/>
    <n v="98780"/>
    <n v="172"/>
    <m/>
    <m/>
    <m/>
    <x v="80"/>
    <m/>
  </r>
  <r>
    <n v="756"/>
    <x v="8"/>
    <s v="WHATS"/>
    <n v="74211"/>
    <n v="598"/>
    <m/>
    <m/>
    <m/>
    <x v="80"/>
    <m/>
  </r>
  <r>
    <n v="756"/>
    <x v="8"/>
    <s v="WHATS"/>
    <n v="74466"/>
    <n v="2054.6799999999998"/>
    <m/>
    <m/>
    <m/>
    <x v="80"/>
    <m/>
  </r>
  <r>
    <n v="756"/>
    <x v="8"/>
    <s v="WHATS"/>
    <n v="98737"/>
    <n v="123.48"/>
    <m/>
    <m/>
    <m/>
    <x v="80"/>
    <m/>
  </r>
  <r>
    <n v="335"/>
    <x v="9"/>
    <s v="WHATS"/>
    <n v="74476"/>
    <n v="420.28"/>
    <m/>
    <m/>
    <m/>
    <x v="80"/>
    <m/>
  </r>
  <r>
    <n v="335"/>
    <x v="9"/>
    <s v="WHATS"/>
    <n v="98783"/>
    <n v="119.15"/>
    <m/>
    <m/>
    <m/>
    <x v="80"/>
    <m/>
  </r>
  <r>
    <n v="874"/>
    <x v="53"/>
    <s v="WHATS"/>
    <n v="74055"/>
    <n v="299"/>
    <m/>
    <m/>
    <m/>
    <x v="81"/>
    <m/>
  </r>
  <r>
    <n v="432"/>
    <x v="43"/>
    <s v="WHATS"/>
    <n v="74480"/>
    <n v="53"/>
    <m/>
    <m/>
    <m/>
    <x v="81"/>
    <m/>
  </r>
  <r>
    <n v="2192"/>
    <x v="0"/>
    <s v="WHATS"/>
    <n v="74384"/>
    <n v="678.34"/>
    <m/>
    <m/>
    <m/>
    <x v="81"/>
    <m/>
  </r>
  <r>
    <n v="50219"/>
    <x v="14"/>
    <s v="WHATS"/>
    <n v="74196"/>
    <n v="1475.56"/>
    <m/>
    <m/>
    <m/>
    <x v="81"/>
    <m/>
  </r>
  <r>
    <n v="3475"/>
    <x v="59"/>
    <s v="WHATS"/>
    <n v="73715"/>
    <n v="264.8"/>
    <m/>
    <m/>
    <m/>
    <x v="81"/>
    <m/>
  </r>
  <r>
    <n v="1164"/>
    <x v="58"/>
    <s v="WHATS"/>
    <n v="74402"/>
    <n v="570"/>
    <m/>
    <m/>
    <m/>
    <x v="81"/>
    <m/>
  </r>
  <r>
    <n v="762"/>
    <x v="41"/>
    <s v="WHATS"/>
    <n v="74515"/>
    <n v="8097.08"/>
    <m/>
    <m/>
    <m/>
    <x v="82"/>
    <m/>
  </r>
  <r>
    <n v="1616"/>
    <x v="83"/>
    <s v="WHATS"/>
    <n v="98768"/>
    <n v="75.95"/>
    <m/>
    <m/>
    <m/>
    <x v="82"/>
    <m/>
  </r>
  <r>
    <n v="1616"/>
    <x v="83"/>
    <s v="WHATS"/>
    <n v="74240"/>
    <n v="2063.8000000000002"/>
    <m/>
    <m/>
    <m/>
    <x v="82"/>
    <m/>
  </r>
  <r>
    <n v="3153"/>
    <x v="12"/>
    <s v="WHATS"/>
    <n v="74284"/>
    <n v="1657.13"/>
    <m/>
    <m/>
    <m/>
    <x v="82"/>
    <m/>
  </r>
  <r>
    <n v="2163"/>
    <x v="36"/>
    <s v="WHATS"/>
    <n v="74582"/>
    <n v="1416"/>
    <m/>
    <m/>
    <m/>
    <x v="82"/>
    <m/>
  </r>
  <r>
    <n v="2163"/>
    <x v="36"/>
    <s v="WHATS"/>
    <n v="98799"/>
    <n v="101.69"/>
    <m/>
    <m/>
    <m/>
    <x v="82"/>
    <m/>
  </r>
  <r>
    <n v="311"/>
    <x v="46"/>
    <s v="WHATS"/>
    <n v="74488"/>
    <n v="5360.79"/>
    <m/>
    <m/>
    <m/>
    <x v="82"/>
    <m/>
  </r>
  <r>
    <n v="475"/>
    <x v="23"/>
    <s v="WHATS"/>
    <n v="74348"/>
    <n v="1650"/>
    <m/>
    <m/>
    <m/>
    <x v="82"/>
    <m/>
  </r>
  <r>
    <n v="905"/>
    <x v="72"/>
    <s v="TEL"/>
    <n v="74603"/>
    <n v="414.7"/>
    <m/>
    <m/>
    <m/>
    <x v="82"/>
    <m/>
  </r>
  <r>
    <n v="905"/>
    <x v="72"/>
    <s v="TEL"/>
    <n v="98808"/>
    <n v="121.84"/>
    <m/>
    <m/>
    <m/>
    <x v="82"/>
    <m/>
  </r>
  <r>
    <n v="50219"/>
    <x v="14"/>
    <s v="WHATS"/>
    <n v="74607"/>
    <n v="1177.74"/>
    <m/>
    <m/>
    <m/>
    <x v="82"/>
    <m/>
  </r>
  <r>
    <n v="50222"/>
    <x v="89"/>
    <s v="WHATS"/>
    <n v="98796"/>
    <n v="142.69999999999999"/>
    <m/>
    <m/>
    <m/>
    <x v="82"/>
    <m/>
  </r>
  <r>
    <n v="1016"/>
    <x v="101"/>
    <s v="WHATS"/>
    <n v="98812"/>
    <n v="1111.8499999999999"/>
    <m/>
    <m/>
    <m/>
    <x v="82"/>
    <m/>
  </r>
  <r>
    <n v="1016"/>
    <x v="101"/>
    <s v="WHATS"/>
    <n v="74610"/>
    <n v="609"/>
    <m/>
    <m/>
    <m/>
    <x v="82"/>
    <m/>
  </r>
  <r>
    <n v="50554"/>
    <x v="20"/>
    <s v="TEL"/>
    <n v="74625"/>
    <n v="2922.45"/>
    <m/>
    <m/>
    <m/>
    <x v="83"/>
    <m/>
  </r>
  <r>
    <n v="50554"/>
    <x v="20"/>
    <s v="TEL"/>
    <n v="98818"/>
    <n v="711.25"/>
    <m/>
    <m/>
    <m/>
    <x v="83"/>
    <m/>
  </r>
  <r>
    <n v="784"/>
    <x v="13"/>
    <s v="WHATS"/>
    <n v="74654"/>
    <n v="2909.47"/>
    <m/>
    <m/>
    <m/>
    <x v="83"/>
    <m/>
  </r>
  <r>
    <n v="1533"/>
    <x v="50"/>
    <s v="WHATS"/>
    <n v="98827"/>
    <n v="371.84"/>
    <m/>
    <m/>
    <m/>
    <x v="84"/>
    <m/>
  </r>
  <r>
    <n v="690"/>
    <x v="19"/>
    <s v="TEL"/>
    <n v="74674"/>
    <n v="711"/>
    <m/>
    <m/>
    <m/>
    <x v="84"/>
    <m/>
  </r>
  <r>
    <n v="690"/>
    <x v="19"/>
    <s v="TEL"/>
    <n v="98828"/>
    <n v="405.8"/>
    <m/>
    <m/>
    <m/>
    <x v="84"/>
    <m/>
  </r>
  <r>
    <n v="3194"/>
    <x v="18"/>
    <s v="TEL"/>
    <n v="98829"/>
    <n v="386.8"/>
    <m/>
    <m/>
    <m/>
    <x v="84"/>
    <m/>
  </r>
  <r>
    <n v="3194"/>
    <x v="18"/>
    <s v="TEL"/>
    <n v="74678"/>
    <n v="564.9"/>
    <m/>
    <m/>
    <m/>
    <x v="84"/>
    <m/>
  </r>
  <r>
    <n v="1493"/>
    <x v="21"/>
    <s v="WHATS"/>
    <n v="74660"/>
    <n v="1052.23"/>
    <m/>
    <m/>
    <m/>
    <x v="84"/>
    <m/>
  </r>
  <r>
    <n v="50418"/>
    <x v="35"/>
    <s v="WHATS"/>
    <n v="74698"/>
    <n v="2035.45"/>
    <m/>
    <m/>
    <m/>
    <x v="84"/>
    <m/>
  </r>
  <r>
    <n v="3194"/>
    <x v="18"/>
    <s v="WHATS"/>
    <n v="74702"/>
    <n v="199"/>
    <m/>
    <m/>
    <m/>
    <x v="84"/>
    <m/>
  </r>
  <r>
    <n v="1971"/>
    <x v="29"/>
    <s v="WHATS"/>
    <n v="74713"/>
    <n v="726.96"/>
    <m/>
    <m/>
    <m/>
    <x v="84"/>
    <m/>
  </r>
  <r>
    <n v="1971"/>
    <x v="29"/>
    <s v="WHATS"/>
    <n v="98835"/>
    <n v="62.4"/>
    <m/>
    <m/>
    <m/>
    <x v="84"/>
    <m/>
  </r>
  <r>
    <n v="762"/>
    <x v="41"/>
    <s v="EMAIL"/>
    <n v="74762"/>
    <n v="4364.7700000000004"/>
    <m/>
    <m/>
    <m/>
    <x v="85"/>
    <m/>
  </r>
  <r>
    <n v="2022"/>
    <x v="28"/>
    <s v="WHATS"/>
    <n v="74766"/>
    <n v="5086.74"/>
    <m/>
    <m/>
    <m/>
    <x v="85"/>
    <m/>
  </r>
  <r>
    <n v="581"/>
    <x v="74"/>
    <s v="WHATS"/>
    <n v="98839"/>
    <n v="1155.57"/>
    <m/>
    <m/>
    <m/>
    <x v="85"/>
    <m/>
  </r>
  <r>
    <n v="50558"/>
    <x v="2"/>
    <s v="EMAIL"/>
    <n v="72789"/>
    <n v="2385"/>
    <m/>
    <m/>
    <m/>
    <x v="86"/>
    <m/>
  </r>
  <r>
    <n v="1533"/>
    <x v="50"/>
    <s v="WHATS"/>
    <n v="74794"/>
    <n v="2066.56"/>
    <m/>
    <m/>
    <m/>
    <x v="86"/>
    <m/>
  </r>
  <r>
    <n v="708"/>
    <x v="56"/>
    <s v="WHATS"/>
    <n v="73852"/>
    <n v="1015"/>
    <m/>
    <m/>
    <m/>
    <x v="86"/>
    <m/>
  </r>
  <r>
    <n v="432"/>
    <x v="43"/>
    <s v="WHATS"/>
    <n v="74724"/>
    <n v="1960.55"/>
    <m/>
    <m/>
    <m/>
    <x v="86"/>
    <m/>
  </r>
  <r>
    <n v="3194"/>
    <x v="18"/>
    <s v="WHATS"/>
    <n v="98850"/>
    <n v="17.2"/>
    <m/>
    <m/>
    <m/>
    <x v="86"/>
    <m/>
  </r>
  <r>
    <n v="746"/>
    <x v="3"/>
    <s v="TEL"/>
    <n v="98852"/>
    <n v="569.29999999999995"/>
    <m/>
    <m/>
    <m/>
    <x v="87"/>
    <m/>
  </r>
  <r>
    <n v="746"/>
    <x v="3"/>
    <s v="TEL"/>
    <n v="74836"/>
    <n v="2671.09"/>
    <m/>
    <m/>
    <m/>
    <x v="87"/>
    <m/>
  </r>
  <r>
    <n v="1026"/>
    <x v="7"/>
    <s v="WHATS"/>
    <n v="74390"/>
    <n v="2418.2199999999998"/>
    <m/>
    <m/>
    <m/>
    <x v="87"/>
    <m/>
  </r>
  <r>
    <n v="2397"/>
    <x v="6"/>
    <s v="TEL"/>
    <n v="74848"/>
    <n v="1136.5"/>
    <m/>
    <m/>
    <m/>
    <x v="87"/>
    <m/>
  </r>
  <r>
    <n v="2911"/>
    <x v="15"/>
    <s v="WHATS"/>
    <n v="74847"/>
    <n v="2045.41"/>
    <m/>
    <m/>
    <m/>
    <x v="87"/>
    <m/>
  </r>
  <r>
    <n v="2911"/>
    <x v="15"/>
    <s v="WHATS"/>
    <n v="98861"/>
    <n v="249.3"/>
    <m/>
    <m/>
    <m/>
    <x v="87"/>
    <m/>
  </r>
  <r>
    <n v="2397"/>
    <x v="6"/>
    <s v="TEL"/>
    <n v="74850"/>
    <n v="1136.5"/>
    <m/>
    <m/>
    <m/>
    <x v="87"/>
    <m/>
  </r>
  <r>
    <n v="1206"/>
    <x v="33"/>
    <s v="WHATS"/>
    <n v="74841"/>
    <n v="1097.79"/>
    <m/>
    <m/>
    <m/>
    <x v="87"/>
    <m/>
  </r>
  <r>
    <n v="475"/>
    <x v="23"/>
    <s v="WHATS"/>
    <n v="74842"/>
    <n v="2695.74"/>
    <m/>
    <m/>
    <m/>
    <x v="87"/>
    <m/>
  </r>
  <r>
    <n v="475"/>
    <x v="23"/>
    <s v="WHATS"/>
    <n v="98855"/>
    <n v="1033.45"/>
    <m/>
    <m/>
    <m/>
    <x v="87"/>
    <m/>
  </r>
  <r>
    <n v="1262"/>
    <x v="0"/>
    <s v="WHATS"/>
    <n v="74869"/>
    <n v="936.5"/>
    <m/>
    <m/>
    <m/>
    <x v="87"/>
    <m/>
  </r>
  <r>
    <n v="592"/>
    <x v="0"/>
    <s v="WHATS"/>
    <n v="74874"/>
    <n v="498.6"/>
    <m/>
    <m/>
    <m/>
    <x v="87"/>
    <m/>
  </r>
  <r>
    <n v="761"/>
    <x v="24"/>
    <s v="WHATS"/>
    <n v="74884"/>
    <n v="707.63"/>
    <m/>
    <m/>
    <m/>
    <x v="87"/>
    <m/>
  </r>
  <r>
    <n v="761"/>
    <x v="24"/>
    <s v="WHATS"/>
    <n v="98869"/>
    <n v="445.05"/>
    <m/>
    <m/>
    <m/>
    <x v="87"/>
    <m/>
  </r>
  <r>
    <n v="50600"/>
    <x v="0"/>
    <s v="WHATS"/>
    <n v="74929"/>
    <n v="1131"/>
    <m/>
    <m/>
    <m/>
    <x v="88"/>
    <m/>
  </r>
  <r>
    <n v="3475"/>
    <x v="59"/>
    <s v="WHATS"/>
    <n v="73715"/>
    <n v="514.04999999999995"/>
    <m/>
    <m/>
    <m/>
    <x v="89"/>
    <m/>
  </r>
  <r>
    <n v="3077"/>
    <x v="10"/>
    <s v="TEL"/>
    <n v="74966"/>
    <n v="476.1"/>
    <m/>
    <m/>
    <m/>
    <x v="89"/>
    <m/>
  </r>
  <r>
    <n v="1164"/>
    <x v="58"/>
    <s v="TEL"/>
    <n v="74968"/>
    <n v="731.4"/>
    <m/>
    <m/>
    <m/>
    <x v="89"/>
    <m/>
  </r>
  <r>
    <n v="1164"/>
    <x v="58"/>
    <s v="TEL"/>
    <n v="98889"/>
    <n v="142.25"/>
    <m/>
    <m/>
    <m/>
    <x v="89"/>
    <m/>
  </r>
  <r>
    <n v="2022"/>
    <x v="28"/>
    <s v="WHATS"/>
    <n v="74995"/>
    <n v="1199.44"/>
    <m/>
    <m/>
    <m/>
    <x v="89"/>
    <m/>
  </r>
  <r>
    <n v="1726"/>
    <x v="34"/>
    <s v="EMAIL"/>
    <n v="75011"/>
    <n v="317.2"/>
    <m/>
    <m/>
    <m/>
    <x v="90"/>
    <m/>
  </r>
  <r>
    <n v="475"/>
    <x v="23"/>
    <s v="WHATS"/>
    <n v="75003"/>
    <n v="5424.39"/>
    <m/>
    <m/>
    <m/>
    <x v="90"/>
    <m/>
  </r>
  <r>
    <n v="50219"/>
    <x v="14"/>
    <s v="WHATS"/>
    <n v="74607"/>
    <n v="134"/>
    <m/>
    <m/>
    <m/>
    <x v="90"/>
    <m/>
  </r>
  <r>
    <n v="1493"/>
    <x v="21"/>
    <s v="TEL"/>
    <n v="74726"/>
    <n v="1010.49"/>
    <m/>
    <m/>
    <m/>
    <x v="90"/>
    <m/>
  </r>
  <r>
    <n v="475"/>
    <x v="23"/>
    <s v="WHATS"/>
    <n v="75011"/>
    <n v="317.2"/>
    <m/>
    <m/>
    <m/>
    <x v="90"/>
    <m/>
  </r>
  <r>
    <n v="311"/>
    <x v="46"/>
    <s v="WHATS"/>
    <n v="98882"/>
    <n v="376.7"/>
    <m/>
    <m/>
    <m/>
    <x v="91"/>
    <m/>
  </r>
  <r>
    <n v="311"/>
    <x v="46"/>
    <s v="WHATS"/>
    <n v="74921"/>
    <n v="2829.95"/>
    <m/>
    <m/>
    <m/>
    <x v="91"/>
    <m/>
  </r>
  <r>
    <n v="746"/>
    <x v="3"/>
    <s v="WHATS"/>
    <n v="98912"/>
    <n v="59.25"/>
    <m/>
    <m/>
    <m/>
    <x v="91"/>
    <m/>
  </r>
  <r>
    <n v="960"/>
    <x v="30"/>
    <s v="WHATS"/>
    <n v="75008"/>
    <n v="478.2"/>
    <m/>
    <m/>
    <m/>
    <x v="91"/>
    <m/>
  </r>
  <r>
    <n v="960"/>
    <x v="30"/>
    <s v="WHATS"/>
    <n v="98905"/>
    <n v="536.62"/>
    <m/>
    <m/>
    <m/>
    <x v="91"/>
    <m/>
  </r>
  <r>
    <n v="687"/>
    <x v="16"/>
    <s v="WHATS"/>
    <n v="75067"/>
    <n v="503.4"/>
    <m/>
    <m/>
    <m/>
    <x v="91"/>
    <m/>
  </r>
  <r>
    <n v="325"/>
    <x v="97"/>
    <s v="WHATS"/>
    <n v="75072"/>
    <n v="1752.4"/>
    <m/>
    <m/>
    <m/>
    <x v="91"/>
    <m/>
  </r>
  <r>
    <n v="325"/>
    <x v="97"/>
    <s v="WHATS"/>
    <n v="98911"/>
    <n v="365.9"/>
    <m/>
    <m/>
    <m/>
    <x v="91"/>
    <m/>
  </r>
  <r>
    <n v="1616"/>
    <x v="83"/>
    <s v="WHATS"/>
    <n v="74771"/>
    <n v="1095"/>
    <m/>
    <m/>
    <m/>
    <x v="92"/>
    <m/>
  </r>
  <r>
    <n v="1533"/>
    <x v="50"/>
    <s v="WHATS"/>
    <n v="75104"/>
    <n v="377.7"/>
    <m/>
    <m/>
    <m/>
    <x v="92"/>
    <m/>
  </r>
  <r>
    <n v="874"/>
    <x v="53"/>
    <s v="WHATS"/>
    <n v="75109"/>
    <n v="647.08000000000004"/>
    <m/>
    <m/>
    <m/>
    <x v="92"/>
    <m/>
  </r>
  <r>
    <n v="463"/>
    <x v="32"/>
    <s v="WHATS"/>
    <n v="75112"/>
    <n v="1583.65"/>
    <m/>
    <m/>
    <m/>
    <x v="92"/>
    <m/>
  </r>
  <r>
    <n v="1616"/>
    <x v="83"/>
    <s v="WHATS"/>
    <n v="98916"/>
    <n v="91.46"/>
    <m/>
    <m/>
    <m/>
    <x v="92"/>
    <m/>
  </r>
  <r>
    <n v="50465"/>
    <x v="96"/>
    <s v="WHATS"/>
    <n v="75018"/>
    <n v="576.4"/>
    <m/>
    <m/>
    <m/>
    <x v="92"/>
    <m/>
  </r>
  <r>
    <n v="756"/>
    <x v="8"/>
    <s v="WHATS"/>
    <n v="98921"/>
    <n v="123.48"/>
    <m/>
    <m/>
    <m/>
    <x v="92"/>
    <m/>
  </r>
  <r>
    <n v="756"/>
    <x v="8"/>
    <s v="WHATS"/>
    <n v="75127"/>
    <n v="6750.12"/>
    <m/>
    <m/>
    <m/>
    <x v="92"/>
    <m/>
  </r>
  <r>
    <n v="2980"/>
    <x v="40"/>
    <s v="WHATS"/>
    <n v="74907"/>
    <n v="1480.6"/>
    <m/>
    <m/>
    <m/>
    <x v="92"/>
    <m/>
  </r>
  <r>
    <n v="50576"/>
    <x v="37"/>
    <s v="WHATS"/>
    <n v="75131"/>
    <n v="2429.2800000000002"/>
    <m/>
    <m/>
    <m/>
    <x v="92"/>
    <m/>
  </r>
  <r>
    <n v="50526"/>
    <x v="38"/>
    <s v="WHATS"/>
    <n v="98924"/>
    <n v="522.4"/>
    <m/>
    <m/>
    <m/>
    <x v="92"/>
    <m/>
  </r>
  <r>
    <n v="475"/>
    <x v="23"/>
    <s v="WHATS"/>
    <n v="98925"/>
    <n v="412.93"/>
    <m/>
    <m/>
    <m/>
    <x v="92"/>
    <m/>
  </r>
  <r>
    <n v="761"/>
    <x v="24"/>
    <s v="WHATS"/>
    <n v="98927"/>
    <n v="172"/>
    <m/>
    <m/>
    <m/>
    <x v="93"/>
    <m/>
  </r>
  <r>
    <n v="761"/>
    <x v="24"/>
    <s v="WHATS"/>
    <n v="75156"/>
    <n v="160"/>
    <m/>
    <m/>
    <m/>
    <x v="93"/>
    <m/>
  </r>
  <r>
    <n v="500005"/>
    <x v="102"/>
    <s v="WHATS"/>
    <n v="75184"/>
    <n v="4960"/>
    <n v="3"/>
    <n v="4960"/>
    <m/>
    <x v="94"/>
    <m/>
  </r>
  <r>
    <n v="3077"/>
    <x v="10"/>
    <s v="WHATS"/>
    <n v="75188"/>
    <n v="7990"/>
    <n v="1"/>
    <n v="7990"/>
    <m/>
    <x v="94"/>
    <m/>
  </r>
  <r>
    <n v="516"/>
    <x v="11"/>
    <s v="WHATS"/>
    <n v="75186"/>
    <n v="8318.92"/>
    <m/>
    <m/>
    <m/>
    <x v="94"/>
    <m/>
  </r>
  <r>
    <n v="3032"/>
    <x v="0"/>
    <s v="WHATS"/>
    <n v="75196"/>
    <n v="220"/>
    <m/>
    <m/>
    <m/>
    <x v="94"/>
    <m/>
  </r>
  <r>
    <n v="690"/>
    <x v="19"/>
    <s v="WHATS"/>
    <n v="74370"/>
    <n v="189"/>
    <m/>
    <m/>
    <m/>
    <x v="94"/>
    <m/>
  </r>
  <r>
    <n v="50554"/>
    <x v="20"/>
    <s v="WHATS"/>
    <n v="74371"/>
    <n v="189"/>
    <m/>
    <m/>
    <m/>
    <x v="94"/>
    <m/>
  </r>
  <r>
    <n v="1989"/>
    <x v="67"/>
    <s v="WHATS"/>
    <n v="74373"/>
    <n v="606.12"/>
    <m/>
    <m/>
    <m/>
    <x v="94"/>
    <m/>
  </r>
  <r>
    <n v="544"/>
    <x v="0"/>
    <s v="WHATS"/>
    <n v="75179"/>
    <n v="706.6"/>
    <m/>
    <m/>
    <m/>
    <x v="94"/>
    <m/>
  </r>
  <r>
    <n v="3017"/>
    <x v="62"/>
    <s v="WHATS"/>
    <n v="75207"/>
    <n v="1425.1"/>
    <m/>
    <m/>
    <m/>
    <x v="94"/>
    <m/>
  </r>
  <r>
    <n v="575"/>
    <x v="45"/>
    <s v="TEL"/>
    <n v="75215"/>
    <n v="258.73"/>
    <m/>
    <m/>
    <m/>
    <x v="94"/>
    <m/>
  </r>
  <r>
    <n v="575"/>
    <x v="45"/>
    <s v="TEL"/>
    <n v="98934"/>
    <n v="108"/>
    <m/>
    <m/>
    <m/>
    <x v="94"/>
    <m/>
  </r>
  <r>
    <n v="1813"/>
    <x v="48"/>
    <s v="TEL"/>
    <n v="75229"/>
    <n v="1830.35"/>
    <m/>
    <m/>
    <m/>
    <x v="95"/>
    <m/>
  </r>
  <r>
    <n v="2192"/>
    <x v="0"/>
    <s v="WHATS"/>
    <n v="75218"/>
    <n v="2541.13"/>
    <m/>
    <m/>
    <m/>
    <x v="95"/>
    <m/>
  </r>
  <r>
    <n v="1164"/>
    <x v="58"/>
    <s v="WHATS"/>
    <n v="75255"/>
    <n v="1330.57"/>
    <m/>
    <m/>
    <m/>
    <x v="95"/>
    <m/>
  </r>
  <r>
    <n v="1164"/>
    <x v="58"/>
    <s v="WHATS"/>
    <n v="98944"/>
    <n v="88.89"/>
    <m/>
    <m/>
    <m/>
    <x v="95"/>
    <m/>
  </r>
  <r>
    <n v="756"/>
    <x v="8"/>
    <s v="WHATS"/>
    <n v="75275"/>
    <n v="170"/>
    <m/>
    <m/>
    <m/>
    <x v="95"/>
    <m/>
  </r>
  <r>
    <n v="1842"/>
    <x v="47"/>
    <s v="WHATS"/>
    <n v="98933"/>
    <n v="369.6"/>
    <m/>
    <m/>
    <m/>
    <x v="96"/>
    <m/>
  </r>
  <r>
    <n v="1842"/>
    <x v="47"/>
    <s v="WHATS"/>
    <n v="74888"/>
    <n v="368.99"/>
    <m/>
    <m/>
    <m/>
    <x v="96"/>
    <m/>
  </r>
  <r>
    <n v="50219"/>
    <x v="14"/>
    <s v="WHATS"/>
    <n v="75318"/>
    <n v="570"/>
    <m/>
    <m/>
    <m/>
    <x v="97"/>
    <m/>
  </r>
  <r>
    <n v="906"/>
    <x v="27"/>
    <s v="WHATS"/>
    <n v="75315"/>
    <n v="1906.2"/>
    <m/>
    <m/>
    <m/>
    <x v="97"/>
    <m/>
  </r>
  <r>
    <n v="906"/>
    <x v="27"/>
    <s v="WHATS"/>
    <n v="98952"/>
    <n v="177.78"/>
    <m/>
    <m/>
    <m/>
    <x v="97"/>
    <m/>
  </r>
  <r>
    <n v="2980"/>
    <x v="40"/>
    <s v="WHATS"/>
    <n v="98956"/>
    <n v="204.3"/>
    <m/>
    <m/>
    <m/>
    <x v="97"/>
    <m/>
  </r>
  <r>
    <n v="1788"/>
    <x v="91"/>
    <s v="WHATS"/>
    <n v="75201"/>
    <n v="506"/>
    <m/>
    <m/>
    <m/>
    <x v="97"/>
    <m/>
  </r>
  <r>
    <n v="171"/>
    <x v="70"/>
    <s v="WHATS"/>
    <n v="75337"/>
    <n v="2050"/>
    <m/>
    <m/>
    <m/>
    <x v="97"/>
    <m/>
  </r>
  <r>
    <n v="822"/>
    <x v="66"/>
    <s v="WHATS"/>
    <n v="98961"/>
    <n v="1254"/>
    <m/>
    <m/>
    <m/>
    <x v="97"/>
    <m/>
  </r>
  <r>
    <n v="822"/>
    <x v="66"/>
    <s v="WHATS"/>
    <n v="75356"/>
    <n v="615"/>
    <m/>
    <m/>
    <m/>
    <x v="97"/>
    <m/>
  </r>
  <r>
    <n v="761"/>
    <x v="24"/>
    <s v="WHATS"/>
    <n v="75360"/>
    <n v="522.30999999999995"/>
    <m/>
    <m/>
    <m/>
    <x v="97"/>
    <m/>
  </r>
  <r>
    <n v="708"/>
    <x v="56"/>
    <s v="WHATS"/>
    <n v="75362"/>
    <n v="2272.5"/>
    <m/>
    <m/>
    <m/>
    <x v="98"/>
    <m/>
  </r>
  <r>
    <n v="2415"/>
    <x v="63"/>
    <s v="WHATS"/>
    <n v="75363"/>
    <n v="1900"/>
    <m/>
    <m/>
    <m/>
    <x v="98"/>
    <m/>
  </r>
  <r>
    <n v="480"/>
    <x v="39"/>
    <s v="WHATS"/>
    <n v="75364"/>
    <n v="4296"/>
    <m/>
    <m/>
    <m/>
    <x v="98"/>
    <m/>
  </r>
  <r>
    <n v="1206"/>
    <x v="33"/>
    <s v="WHATS"/>
    <n v="75368"/>
    <n v="825.3"/>
    <m/>
    <m/>
    <m/>
    <x v="98"/>
    <m/>
  </r>
  <r>
    <n v="475"/>
    <x v="23"/>
    <s v="EMAIL"/>
    <n v="75372"/>
    <n v="13775.5"/>
    <m/>
    <m/>
    <m/>
    <x v="98"/>
    <m/>
  </r>
  <r>
    <n v="311"/>
    <x v="46"/>
    <s v="WHATS"/>
    <n v="98973"/>
    <n v="533.25"/>
    <m/>
    <m/>
    <m/>
    <x v="98"/>
    <m/>
  </r>
  <r>
    <n v="311"/>
    <x v="46"/>
    <s v="WHATS"/>
    <n v="75392"/>
    <n v="158.12"/>
    <m/>
    <m/>
    <m/>
    <x v="98"/>
    <m/>
  </r>
  <r>
    <n v="50554"/>
    <x v="20"/>
    <s v="TEL"/>
    <n v="75404"/>
    <n v="1999.4"/>
    <m/>
    <m/>
    <m/>
    <x v="98"/>
    <m/>
  </r>
  <r>
    <n v="50554"/>
    <x v="20"/>
    <s v="TEL"/>
    <n v="98975"/>
    <n v="139.19999999999999"/>
    <m/>
    <m/>
    <m/>
    <x v="98"/>
    <m/>
  </r>
  <r>
    <n v="3565"/>
    <x v="103"/>
    <s v="WHATS"/>
    <n v="75408"/>
    <n v="96.7"/>
    <m/>
    <m/>
    <m/>
    <x v="98"/>
    <m/>
  </r>
  <r>
    <n v="724"/>
    <x v="42"/>
    <s v="WHATS"/>
    <n v="75431"/>
    <n v="168.6"/>
    <m/>
    <m/>
    <m/>
    <x v="99"/>
    <m/>
  </r>
  <r>
    <n v="3126"/>
    <x v="0"/>
    <s v="WHATS"/>
    <n v="75433"/>
    <n v="1641.78"/>
    <m/>
    <m/>
    <m/>
    <x v="99"/>
    <m/>
  </r>
  <r>
    <n v="1652"/>
    <x v="61"/>
    <s v="TEL"/>
    <n v="75407"/>
    <n v="884.11"/>
    <m/>
    <m/>
    <m/>
    <x v="99"/>
    <m/>
  </r>
  <r>
    <n v="432"/>
    <x v="43"/>
    <s v="WHATS"/>
    <n v="75140"/>
    <n v="135.1"/>
    <m/>
    <m/>
    <m/>
    <x v="100"/>
    <m/>
  </r>
  <r>
    <n v="1971"/>
    <x v="29"/>
    <s v="WHATS"/>
    <n v="75478"/>
    <n v="667.25"/>
    <m/>
    <m/>
    <m/>
    <x v="100"/>
    <m/>
  </r>
  <r>
    <n v="3017"/>
    <x v="62"/>
    <s v="WHATS"/>
    <n v="40784"/>
    <n v="270.60000000000002"/>
    <m/>
    <m/>
    <m/>
    <x v="100"/>
    <m/>
  </r>
  <r>
    <n v="772"/>
    <x v="71"/>
    <s v="WHATS"/>
    <n v="75493"/>
    <n v="315.45"/>
    <m/>
    <m/>
    <m/>
    <x v="101"/>
    <m/>
  </r>
  <r>
    <n v="475"/>
    <x v="23"/>
    <s v="EMAIL"/>
    <n v="98996"/>
    <n v="1073.03"/>
    <m/>
    <m/>
    <m/>
    <x v="101"/>
    <m/>
  </r>
  <r>
    <n v="475"/>
    <x v="23"/>
    <s v="EMAIL"/>
    <n v="75515"/>
    <n v="2706.73"/>
    <m/>
    <m/>
    <m/>
    <x v="101"/>
    <m/>
  </r>
  <r>
    <n v="874"/>
    <x v="53"/>
    <s v="WHATS"/>
    <n v="75517"/>
    <n v="645"/>
    <m/>
    <m/>
    <m/>
    <x v="101"/>
    <m/>
  </r>
  <r>
    <n v="3240"/>
    <x v="75"/>
    <s v="WHATS"/>
    <n v="98998"/>
    <n v="345.66"/>
    <m/>
    <m/>
    <m/>
    <x v="101"/>
    <m/>
  </r>
  <r>
    <n v="3240"/>
    <x v="75"/>
    <s v="WHATS"/>
    <n v="75520"/>
    <n v="339.85"/>
    <m/>
    <m/>
    <m/>
    <x v="101"/>
    <m/>
  </r>
  <r>
    <n v="3190"/>
    <x v="60"/>
    <s v="WHATS"/>
    <n v="75490"/>
    <n v="405.86"/>
    <m/>
    <m/>
    <m/>
    <x v="6"/>
    <m/>
  </r>
  <r>
    <n v="762"/>
    <x v="41"/>
    <s v="EMAIL"/>
    <n v="75533"/>
    <n v="6758.93"/>
    <m/>
    <m/>
    <m/>
    <x v="6"/>
    <m/>
  </r>
  <r>
    <n v="1534"/>
    <x v="104"/>
    <s v="EMAIL"/>
    <n v="75253"/>
    <n v="137.25"/>
    <m/>
    <m/>
    <m/>
    <x v="6"/>
    <m/>
  </r>
  <r>
    <n v="1534"/>
    <x v="104"/>
    <s v="EMAIL"/>
    <n v="98970"/>
    <n v="2520"/>
    <m/>
    <m/>
    <m/>
    <x v="6"/>
    <m/>
  </r>
  <r>
    <n v="2911"/>
    <x v="15"/>
    <s v="WHATS"/>
    <n v="75543"/>
    <n v="1468.4"/>
    <m/>
    <m/>
    <m/>
    <x v="6"/>
    <m/>
  </r>
  <r>
    <n v="2911"/>
    <x v="15"/>
    <s v="WHATS"/>
    <n v="99003"/>
    <n v="88"/>
    <m/>
    <m/>
    <m/>
    <x v="6"/>
    <m/>
  </r>
  <r>
    <n v="3153"/>
    <x v="12"/>
    <s v="WHATS"/>
    <n v="75528"/>
    <n v="1210.5"/>
    <m/>
    <m/>
    <m/>
    <x v="6"/>
    <m/>
  </r>
  <r>
    <n v="1164"/>
    <x v="58"/>
    <s v="TEL"/>
    <n v="75551"/>
    <n v="1277.4000000000001"/>
    <m/>
    <m/>
    <m/>
    <x v="6"/>
    <m/>
  </r>
  <r>
    <n v="311"/>
    <x v="46"/>
    <s v="WHATS"/>
    <n v="99007"/>
    <n v="832.5"/>
    <m/>
    <m/>
    <m/>
    <x v="6"/>
    <m/>
  </r>
  <r>
    <n v="311"/>
    <x v="46"/>
    <s v="WHATS"/>
    <n v="75561"/>
    <n v="54.9"/>
    <m/>
    <m/>
    <m/>
    <x v="6"/>
    <m/>
  </r>
  <r>
    <n v="1026"/>
    <x v="7"/>
    <s v="WHATS"/>
    <n v="75563"/>
    <n v="1381.4"/>
    <m/>
    <m/>
    <m/>
    <x v="6"/>
    <m/>
  </r>
  <r>
    <n v="746"/>
    <x v="3"/>
    <s v="TEL"/>
    <n v="75314"/>
    <n v="3268.32"/>
    <m/>
    <m/>
    <m/>
    <x v="6"/>
    <m/>
  </r>
  <r>
    <n v="746"/>
    <x v="3"/>
    <s v="TEL"/>
    <n v="99012"/>
    <n v="228.74"/>
    <m/>
    <m/>
    <m/>
    <x v="6"/>
    <m/>
  </r>
  <r>
    <n v="50219"/>
    <x v="14"/>
    <s v="WHATS"/>
    <n v="75576"/>
    <n v="1116"/>
    <m/>
    <m/>
    <m/>
    <x v="102"/>
    <m/>
  </r>
  <r>
    <n v="50222"/>
    <x v="89"/>
    <s v="WHATS"/>
    <n v="99014"/>
    <n v="59.25"/>
    <m/>
    <m/>
    <m/>
    <x v="102"/>
    <m/>
  </r>
  <r>
    <n v="3018"/>
    <x v="64"/>
    <s v="WHATS"/>
    <n v="75589"/>
    <n v="549.14"/>
    <m/>
    <m/>
    <m/>
    <x v="102"/>
    <m/>
  </r>
  <r>
    <n v="3018"/>
    <x v="64"/>
    <s v="WHATS"/>
    <n v="99015"/>
    <n v="118.5"/>
    <m/>
    <m/>
    <m/>
    <x v="102"/>
    <m/>
  </r>
  <r>
    <n v="1533"/>
    <x v="50"/>
    <s v="WHATS"/>
    <n v="75620"/>
    <n v="1360"/>
    <m/>
    <m/>
    <m/>
    <x v="102"/>
    <m/>
  </r>
  <r>
    <n v="784"/>
    <x v="13"/>
    <s v="EMAIL"/>
    <n v="75609"/>
    <n v="4162.1499999999996"/>
    <m/>
    <m/>
    <m/>
    <x v="102"/>
    <m/>
  </r>
  <r>
    <n v="1122"/>
    <x v="87"/>
    <s v="WHATS"/>
    <n v="75628"/>
    <n v="682"/>
    <m/>
    <m/>
    <m/>
    <x v="102"/>
    <m/>
  </r>
  <r>
    <n v="50554"/>
    <x v="20"/>
    <s v="TEL"/>
    <n v="75639"/>
    <n v="2302"/>
    <m/>
    <m/>
    <m/>
    <x v="102"/>
    <m/>
  </r>
  <r>
    <n v="50497"/>
    <x v="77"/>
    <s v="TEL"/>
    <n v="99022"/>
    <n v="553.29999999999995"/>
    <m/>
    <m/>
    <m/>
    <x v="102"/>
    <m/>
  </r>
  <r>
    <n v="690"/>
    <x v="19"/>
    <s v="TEL"/>
    <n v="99023"/>
    <n v="929.8"/>
    <m/>
    <m/>
    <m/>
    <x v="102"/>
    <m/>
  </r>
  <r>
    <n v="690"/>
    <x v="19"/>
    <s v="TEL"/>
    <n v="75643"/>
    <n v="961.8"/>
    <m/>
    <m/>
    <m/>
    <x v="102"/>
    <m/>
  </r>
  <r>
    <n v="761"/>
    <x v="24"/>
    <s v="WHATS"/>
    <n v="75649"/>
    <n v="780"/>
    <m/>
    <m/>
    <m/>
    <x v="103"/>
    <m/>
  </r>
  <r>
    <n v="1616"/>
    <x v="83"/>
    <s v="WHATS"/>
    <n v="75648"/>
    <n v="1000"/>
    <m/>
    <m/>
    <m/>
    <x v="103"/>
    <m/>
  </r>
  <r>
    <n v="2702"/>
    <x v="73"/>
    <s v="WHATS"/>
    <n v="75653"/>
    <n v="1205.5999999999999"/>
    <m/>
    <m/>
    <m/>
    <x v="103"/>
    <m/>
  </r>
  <r>
    <n v="572"/>
    <x v="51"/>
    <s v="WHATS"/>
    <n v="75660"/>
    <n v="1211.5899999999999"/>
    <m/>
    <m/>
    <m/>
    <x v="103"/>
    <m/>
  </r>
  <r>
    <n v="50185"/>
    <x v="105"/>
    <s v="WHATS"/>
    <n v="75657"/>
    <n v="789.4"/>
    <m/>
    <m/>
    <m/>
    <x v="103"/>
    <m/>
  </r>
  <r>
    <n v="756"/>
    <x v="8"/>
    <s v="WHATS"/>
    <n v="75678"/>
    <n v="3412.64"/>
    <m/>
    <m/>
    <m/>
    <x v="103"/>
    <m/>
  </r>
  <r>
    <n v="50418"/>
    <x v="35"/>
    <s v="WHATS"/>
    <n v="75659"/>
    <n v="2457.42"/>
    <m/>
    <m/>
    <m/>
    <x v="104"/>
    <m/>
  </r>
  <r>
    <n v="50418"/>
    <x v="35"/>
    <s v="WHATS"/>
    <n v="123"/>
    <n v="410"/>
    <m/>
    <m/>
    <m/>
    <x v="104"/>
    <m/>
  </r>
  <r>
    <n v="50816"/>
    <x v="100"/>
    <s v="WHATS"/>
    <n v="75712"/>
    <n v="169"/>
    <m/>
    <m/>
    <m/>
    <x v="104"/>
    <m/>
  </r>
  <r>
    <n v="475"/>
    <x v="23"/>
    <s v="WHATS"/>
    <n v="75717"/>
    <n v="1584.75"/>
    <m/>
    <m/>
    <m/>
    <x v="104"/>
    <m/>
  </r>
  <r>
    <n v="746"/>
    <x v="3"/>
    <s v="WHATS"/>
    <n v="75745"/>
    <n v="1465.2"/>
    <m/>
    <m/>
    <m/>
    <x v="104"/>
    <m/>
  </r>
  <r>
    <n v="2415"/>
    <x v="63"/>
    <s v="WHATS"/>
    <n v="75771"/>
    <n v="531.64"/>
    <m/>
    <m/>
    <m/>
    <x v="104"/>
    <m/>
  </r>
  <r>
    <n v="3194"/>
    <x v="18"/>
    <s v="WHATS"/>
    <n v="75787"/>
    <n v="467.7"/>
    <m/>
    <m/>
    <m/>
    <x v="105"/>
    <m/>
  </r>
  <r>
    <n v="3194"/>
    <x v="18"/>
    <s v="WHATS"/>
    <n v="99047"/>
    <n v="149.1"/>
    <m/>
    <m/>
    <m/>
    <x v="105"/>
    <m/>
  </r>
  <r>
    <n v="50497"/>
    <x v="77"/>
    <s v="WHATS"/>
    <n v="99050"/>
    <n v="45.5"/>
    <m/>
    <m/>
    <m/>
    <x v="106"/>
    <m/>
  </r>
  <r>
    <n v="1533"/>
    <x v="50"/>
    <s v="WHATS"/>
    <n v="75803"/>
    <n v="1276.2"/>
    <m/>
    <m/>
    <m/>
    <x v="106"/>
    <m/>
  </r>
  <r>
    <n v="1623"/>
    <x v="57"/>
    <s v="WHATS"/>
    <n v="75814"/>
    <n v="592"/>
    <m/>
    <m/>
    <m/>
    <x v="106"/>
    <m/>
  </r>
  <r>
    <n v="412"/>
    <x v="90"/>
    <s v="WHATS"/>
    <n v="75816"/>
    <n v="1017.45"/>
    <m/>
    <m/>
    <m/>
    <x v="106"/>
    <m/>
  </r>
  <r>
    <n v="50497"/>
    <x v="77"/>
    <s v="WHATS"/>
    <n v="75824"/>
    <n v="76.400000000000006"/>
    <m/>
    <m/>
    <m/>
    <x v="106"/>
    <m/>
  </r>
  <r>
    <n v="874"/>
    <x v="53"/>
    <s v="WHATS"/>
    <n v="75833"/>
    <n v="1154.55"/>
    <m/>
    <m/>
    <m/>
    <x v="106"/>
    <m/>
  </r>
  <r>
    <n v="1813"/>
    <x v="48"/>
    <s v="WHATS"/>
    <n v="75829"/>
    <n v="972.6"/>
    <m/>
    <m/>
    <m/>
    <x v="106"/>
    <m/>
  </r>
  <r>
    <n v="2192"/>
    <x v="0"/>
    <s v="WHATS"/>
    <n v="75403"/>
    <n v="2171.37"/>
    <m/>
    <m/>
    <m/>
    <x v="106"/>
    <m/>
  </r>
  <r>
    <n v="2022"/>
    <x v="28"/>
    <s v="WHATS"/>
    <n v="75848"/>
    <n v="983"/>
    <m/>
    <m/>
    <m/>
    <x v="106"/>
    <m/>
  </r>
  <r>
    <n v="1122"/>
    <x v="87"/>
    <s v="WHATS"/>
    <n v="75860"/>
    <n v="1048.3"/>
    <m/>
    <m/>
    <m/>
    <x v="107"/>
    <m/>
  </r>
  <r>
    <n v="823"/>
    <x v="17"/>
    <s v="TEL"/>
    <n v="75226"/>
    <n v="9059.15"/>
    <m/>
    <m/>
    <m/>
    <x v="107"/>
    <m/>
  </r>
  <r>
    <n v="1041"/>
    <x v="78"/>
    <s v="WHATS"/>
    <n v="75868"/>
    <n v="264"/>
    <m/>
    <m/>
    <m/>
    <x v="107"/>
    <m/>
  </r>
  <r>
    <n v="708"/>
    <x v="56"/>
    <s v="WHATS"/>
    <n v="75873"/>
    <n v="2272.5"/>
    <m/>
    <m/>
    <m/>
    <x v="107"/>
    <m/>
  </r>
  <r>
    <n v="620"/>
    <x v="69"/>
    <s v="WHATS"/>
    <n v="75872"/>
    <n v="401"/>
    <m/>
    <m/>
    <m/>
    <x v="107"/>
    <m/>
  </r>
  <r>
    <n v="311"/>
    <x v="46"/>
    <s v="WHATS"/>
    <n v="75894"/>
    <n v="904.1"/>
    <m/>
    <m/>
    <m/>
    <x v="107"/>
    <m/>
  </r>
  <r>
    <n v="762"/>
    <x v="41"/>
    <s v="EMAIL"/>
    <n v="75903"/>
    <n v="3280"/>
    <m/>
    <m/>
    <m/>
    <x v="107"/>
    <m/>
  </r>
  <r>
    <n v="432"/>
    <x v="43"/>
    <s v="WHATS"/>
    <n v="74724"/>
    <n v="4454.57"/>
    <m/>
    <m/>
    <m/>
    <x v="108"/>
    <m/>
  </r>
  <r>
    <n v="432"/>
    <x v="43"/>
    <s v="WHATS"/>
    <n v="99061"/>
    <n v="408.38"/>
    <m/>
    <m/>
    <m/>
    <x v="108"/>
    <m/>
  </r>
  <r>
    <n v="2022"/>
    <x v="28"/>
    <s v="WHATS"/>
    <n v="75917"/>
    <n v="1922.34"/>
    <m/>
    <m/>
    <m/>
    <x v="108"/>
    <m/>
  </r>
  <r>
    <n v="2022"/>
    <x v="28"/>
    <s v="WHATS"/>
    <n v="99007"/>
    <n v="215"/>
    <m/>
    <m/>
    <m/>
    <x v="108"/>
    <m/>
  </r>
  <r>
    <n v="687"/>
    <x v="16"/>
    <s v="WHATS"/>
    <n v="75933"/>
    <n v="856"/>
    <m/>
    <m/>
    <m/>
    <x v="109"/>
    <m/>
  </r>
  <r>
    <n v="705"/>
    <x v="1"/>
    <s v="WHATS"/>
    <n v="99016"/>
    <n v="400"/>
    <m/>
    <m/>
    <m/>
    <x v="109"/>
    <m/>
  </r>
  <r>
    <n v="705"/>
    <x v="1"/>
    <s v="WHATS"/>
    <n v="75612"/>
    <n v="228.7"/>
    <m/>
    <m/>
    <m/>
    <x v="109"/>
    <m/>
  </r>
  <r>
    <n v="480"/>
    <x v="39"/>
    <s v="WHATS"/>
    <n v="98992"/>
    <n v="96.1"/>
    <m/>
    <m/>
    <m/>
    <x v="109"/>
    <m/>
  </r>
  <r>
    <n v="480"/>
    <x v="39"/>
    <s v="WHATS"/>
    <n v="75774"/>
    <n v="256"/>
    <m/>
    <m/>
    <m/>
    <x v="109"/>
    <m/>
  </r>
  <r>
    <n v="3475"/>
    <x v="59"/>
    <s v="WHATS"/>
    <n v="75617"/>
    <n v="665.5"/>
    <m/>
    <m/>
    <m/>
    <x v="109"/>
    <m/>
  </r>
  <r>
    <n v="1726"/>
    <x v="34"/>
    <s v="EMAIL"/>
    <n v="75953"/>
    <n v="389.8"/>
    <m/>
    <m/>
    <m/>
    <x v="109"/>
    <m/>
  </r>
  <r>
    <n v="784"/>
    <x v="13"/>
    <s v="WHATS"/>
    <n v="75624"/>
    <n v="722"/>
    <m/>
    <m/>
    <m/>
    <x v="109"/>
    <m/>
  </r>
  <r>
    <n v="704"/>
    <x v="49"/>
    <s v="TEL"/>
    <n v="75973"/>
    <n v="767.5"/>
    <m/>
    <m/>
    <m/>
    <x v="109"/>
    <m/>
  </r>
  <r>
    <n v="704"/>
    <x v="49"/>
    <s v="TEL"/>
    <n v="99080"/>
    <n v="91.12"/>
    <m/>
    <m/>
    <m/>
    <x v="109"/>
    <m/>
  </r>
  <r>
    <n v="581"/>
    <x v="74"/>
    <s v="WHATS"/>
    <n v="99084"/>
    <n v="1155.57"/>
    <m/>
    <m/>
    <m/>
    <x v="109"/>
    <m/>
  </r>
  <r>
    <n v="581"/>
    <x v="74"/>
    <s v="WHATS"/>
    <n v="75983"/>
    <n v="92"/>
    <m/>
    <m/>
    <m/>
    <x v="109"/>
    <m/>
  </r>
  <r>
    <n v="50544"/>
    <x v="0"/>
    <s v="WHATS"/>
    <n v="75988"/>
    <n v="567.29999999999995"/>
    <m/>
    <m/>
    <m/>
    <x v="110"/>
    <m/>
  </r>
  <r>
    <n v="761"/>
    <x v="24"/>
    <s v="WHATS"/>
    <n v="75908"/>
    <n v="212.7"/>
    <m/>
    <m/>
    <m/>
    <x v="110"/>
    <m/>
  </r>
  <r>
    <n v="761"/>
    <x v="24"/>
    <s v="WHATS"/>
    <n v="99074"/>
    <n v="172"/>
    <m/>
    <m/>
    <m/>
    <x v="110"/>
    <m/>
  </r>
  <r>
    <n v="618"/>
    <x v="26"/>
    <s v="WHATS"/>
    <n v="76001"/>
    <n v="2358.6999999999998"/>
    <m/>
    <m/>
    <m/>
    <x v="110"/>
    <m/>
  </r>
  <r>
    <n v="618"/>
    <x v="26"/>
    <s v="WHATS"/>
    <n v="99085"/>
    <n v="446"/>
    <m/>
    <m/>
    <m/>
    <x v="110"/>
    <m/>
  </r>
  <r>
    <n v="3240"/>
    <x v="75"/>
    <s v="WHATS"/>
    <n v="76005"/>
    <n v="1047.9000000000001"/>
    <m/>
    <m/>
    <m/>
    <x v="110"/>
    <m/>
  </r>
  <r>
    <n v="50576"/>
    <x v="37"/>
    <s v="WHATS"/>
    <n v="75907"/>
    <n v="2846.1"/>
    <m/>
    <m/>
    <m/>
    <x v="110"/>
    <m/>
  </r>
  <r>
    <n v="50526"/>
    <x v="38"/>
    <s v="WHATS"/>
    <n v="99093"/>
    <n v="94.8"/>
    <m/>
    <m/>
    <m/>
    <x v="110"/>
    <m/>
  </r>
  <r>
    <n v="475"/>
    <x v="23"/>
    <s v="EMAIL"/>
    <n v="76012"/>
    <n v="4776.17"/>
    <m/>
    <m/>
    <m/>
    <x v="110"/>
    <m/>
  </r>
  <r>
    <n v="823"/>
    <x v="17"/>
    <s v="WHATS"/>
    <n v="99060"/>
    <n v="110"/>
    <m/>
    <m/>
    <m/>
    <x v="110"/>
    <m/>
  </r>
  <r>
    <n v="51042"/>
    <x v="106"/>
    <s v="WHATS"/>
    <n v="75789"/>
    <n v="249.51"/>
    <m/>
    <m/>
    <m/>
    <x v="110"/>
    <m/>
  </r>
  <r>
    <n v="51042"/>
    <x v="106"/>
    <s v="WHATS"/>
    <n v="99049"/>
    <n v="177.75"/>
    <m/>
    <m/>
    <m/>
    <x v="110"/>
    <m/>
  </r>
  <r>
    <n v="2198"/>
    <x v="92"/>
    <s v="WHATS"/>
    <n v="75924"/>
    <n v="3620.05"/>
    <m/>
    <m/>
    <m/>
    <x v="111"/>
    <m/>
  </r>
  <r>
    <n v="1206"/>
    <x v="33"/>
    <s v="WHATS"/>
    <n v="76055"/>
    <n v="1013.4"/>
    <m/>
    <m/>
    <m/>
    <x v="111"/>
    <m/>
  </r>
  <r>
    <n v="3077"/>
    <x v="10"/>
    <s v="WHATS"/>
    <n v="76052"/>
    <n v="628.15"/>
    <m/>
    <m/>
    <m/>
    <x v="111"/>
    <m/>
  </r>
  <r>
    <n v="3077"/>
    <x v="10"/>
    <s v="WHATS"/>
    <n v="99103"/>
    <n v="84.5"/>
    <m/>
    <m/>
    <m/>
    <x v="111"/>
    <m/>
  </r>
  <r>
    <n v="50554"/>
    <x v="20"/>
    <s v="WHATS"/>
    <n v="75792"/>
    <n v="189"/>
    <m/>
    <m/>
    <m/>
    <x v="111"/>
    <m/>
  </r>
  <r>
    <n v="690"/>
    <x v="19"/>
    <s v="WHATS"/>
    <n v="75790"/>
    <n v="189"/>
    <m/>
    <m/>
    <m/>
    <x v="111"/>
    <m/>
  </r>
  <r>
    <n v="1989"/>
    <x v="67"/>
    <s v="WHATS"/>
    <n v="75793"/>
    <n v="606.12"/>
    <m/>
    <m/>
    <m/>
    <x v="111"/>
    <m/>
  </r>
  <r>
    <n v="311"/>
    <x v="46"/>
    <s v="WHATS"/>
    <n v="99064"/>
    <n v="814.29"/>
    <m/>
    <m/>
    <m/>
    <x v="111"/>
    <m/>
  </r>
  <r>
    <n v="311"/>
    <x v="46"/>
    <s v="WHATS"/>
    <n v="76022"/>
    <n v="113"/>
    <m/>
    <m/>
    <m/>
    <x v="111"/>
    <m/>
  </r>
  <r>
    <n v="2022"/>
    <x v="28"/>
    <s v="WHATS"/>
    <n v="76064"/>
    <n v="664.47"/>
    <m/>
    <m/>
    <m/>
    <x v="111"/>
    <m/>
  </r>
  <r>
    <n v="1493"/>
    <x v="21"/>
    <s v="WHATS"/>
    <n v="74726"/>
    <n v="1172.3900000000001"/>
    <m/>
    <m/>
    <m/>
    <x v="111"/>
    <m/>
  </r>
  <r>
    <n v="1164"/>
    <x v="58"/>
    <s v="WHATS"/>
    <n v="76099"/>
    <n v="390.4"/>
    <m/>
    <m/>
    <m/>
    <x v="112"/>
    <m/>
  </r>
  <r>
    <n v="1905"/>
    <x v="107"/>
    <s v="WHATS"/>
    <n v="76030"/>
    <n v="389.4"/>
    <m/>
    <m/>
    <m/>
    <x v="112"/>
    <m/>
  </r>
  <r>
    <n v="822"/>
    <x v="66"/>
    <s v="WHATS"/>
    <n v="75906"/>
    <n v="343"/>
    <m/>
    <m/>
    <m/>
    <x v="112"/>
    <m/>
  </r>
  <r>
    <n v="756"/>
    <x v="8"/>
    <s v="WHATS"/>
    <n v="75898"/>
    <n v="1765.1"/>
    <m/>
    <m/>
    <m/>
    <x v="112"/>
    <m/>
  </r>
  <r>
    <n v="325"/>
    <x v="97"/>
    <s v="WHATS"/>
    <n v="99110"/>
    <n v="345.8"/>
    <m/>
    <m/>
    <m/>
    <x v="112"/>
    <m/>
  </r>
  <r>
    <n v="325"/>
    <x v="97"/>
    <s v="WHATS"/>
    <n v="76135"/>
    <n v="955.7"/>
    <m/>
    <m/>
    <m/>
    <x v="112"/>
    <m/>
  </r>
  <r>
    <n v="50497"/>
    <x v="77"/>
    <s v="WHATS"/>
    <n v="99111"/>
    <n v="69.900000000000006"/>
    <m/>
    <m/>
    <m/>
    <x v="113"/>
    <m/>
  </r>
  <r>
    <n v="432"/>
    <x v="43"/>
    <s v="WHATS"/>
    <n v="75905"/>
    <n v="92.5"/>
    <m/>
    <m/>
    <m/>
    <x v="113"/>
    <m/>
  </r>
  <r>
    <n v="432"/>
    <x v="43"/>
    <s v="WHATS"/>
    <n v="99112"/>
    <n v="206.47"/>
    <m/>
    <m/>
    <m/>
    <x v="113"/>
    <m/>
  </r>
  <r>
    <n v="516"/>
    <x v="11"/>
    <s v="EMAIL"/>
    <n v="76157"/>
    <n v="14125.05"/>
    <m/>
    <m/>
    <m/>
    <x v="113"/>
    <m/>
  </r>
  <r>
    <n v="2022"/>
    <x v="28"/>
    <s v="WHATS"/>
    <n v="76179"/>
    <n v="3692.6"/>
    <m/>
    <m/>
    <m/>
    <x v="114"/>
    <m/>
  </r>
  <r>
    <n v="746"/>
    <x v="3"/>
    <s v="WHATS"/>
    <n v="76187"/>
    <n v="505.8"/>
    <m/>
    <m/>
    <m/>
    <x v="114"/>
    <m/>
  </r>
  <r>
    <n v="475"/>
    <x v="23"/>
    <s v="EMAIL"/>
    <n v="76086"/>
    <n v="5679.6"/>
    <m/>
    <m/>
    <m/>
    <x v="114"/>
    <m/>
  </r>
  <r>
    <n v="475"/>
    <x v="23"/>
    <s v="EMAIL"/>
    <n v="99122"/>
    <n v="206.47"/>
    <m/>
    <m/>
    <m/>
    <x v="114"/>
    <m/>
  </r>
  <r>
    <n v="335"/>
    <x v="9"/>
    <s v="WHATS"/>
    <n v="76212"/>
    <n v="141.55000000000001"/>
    <m/>
    <m/>
    <m/>
    <x v="114"/>
    <m/>
  </r>
  <r>
    <n v="335"/>
    <x v="9"/>
    <s v="WHATS"/>
    <n v="99124"/>
    <n v="539.35"/>
    <m/>
    <m/>
    <m/>
    <x v="114"/>
    <m/>
  </r>
  <r>
    <n v="3077"/>
    <x v="10"/>
    <s v="WHATS"/>
    <n v="76052"/>
    <n v="628.15"/>
    <m/>
    <m/>
    <m/>
    <x v="114"/>
    <m/>
  </r>
  <r>
    <n v="3077"/>
    <x v="10"/>
    <s v="WHATS"/>
    <n v="99103"/>
    <n v="84.5"/>
    <m/>
    <m/>
    <m/>
    <x v="114"/>
    <m/>
  </r>
  <r>
    <n v="9063"/>
    <x v="22"/>
    <s v="WHATS"/>
    <n v="76217"/>
    <n v="664.3"/>
    <m/>
    <m/>
    <m/>
    <x v="114"/>
    <m/>
  </r>
  <r>
    <n v="761"/>
    <x v="24"/>
    <s v="WHATS"/>
    <n v="76233"/>
    <n v="2566"/>
    <m/>
    <m/>
    <m/>
    <x v="115"/>
    <m/>
  </r>
  <r>
    <n v="761"/>
    <x v="24"/>
    <s v="WHATS"/>
    <n v="99127"/>
    <n v="337.9"/>
    <m/>
    <m/>
    <m/>
    <x v="115"/>
    <m/>
  </r>
  <r>
    <n v="705"/>
    <x v="1"/>
    <s v="TEL"/>
    <n v="75926"/>
    <n v="426"/>
    <m/>
    <m/>
    <m/>
    <x v="115"/>
    <m/>
  </r>
  <r>
    <n v="1016"/>
    <x v="101"/>
    <s v="TEL"/>
    <n v="76244"/>
    <n v="509.56"/>
    <m/>
    <m/>
    <m/>
    <x v="115"/>
    <m/>
  </r>
  <r>
    <n v="3017"/>
    <x v="62"/>
    <s v="WHATS"/>
    <n v="76249"/>
    <n v="1320.16"/>
    <m/>
    <m/>
    <m/>
    <x v="115"/>
    <m/>
  </r>
  <r>
    <n v="822"/>
    <x v="66"/>
    <s v="WHATS"/>
    <n v="75906"/>
    <n v="343"/>
    <m/>
    <m/>
    <m/>
    <x v="115"/>
    <m/>
  </r>
  <r>
    <n v="3240"/>
    <x v="75"/>
    <s v="WHATS"/>
    <n v="99132"/>
    <n v="66.569999999999993"/>
    <m/>
    <m/>
    <m/>
    <x v="115"/>
    <m/>
  </r>
  <r>
    <n v="3240"/>
    <x v="75"/>
    <s v="WHATS"/>
    <n v="76252"/>
    <n v="908.6"/>
    <m/>
    <m/>
    <m/>
    <x v="115"/>
    <m/>
  </r>
  <r>
    <n v="756"/>
    <x v="8"/>
    <s v="WHATS"/>
    <n v="76270"/>
    <n v="2781.72"/>
    <m/>
    <m/>
    <m/>
    <x v="116"/>
    <m/>
  </r>
  <r>
    <n v="756"/>
    <x v="8"/>
    <s v="WHATS"/>
    <n v="99031"/>
    <n v="246.96"/>
    <m/>
    <m/>
    <m/>
    <x v="116"/>
    <m/>
  </r>
  <r>
    <n v="2163"/>
    <x v="36"/>
    <s v="TEL"/>
    <n v="76276"/>
    <n v="1944.39"/>
    <m/>
    <m/>
    <m/>
    <x v="116"/>
    <m/>
  </r>
  <r>
    <n v="500242"/>
    <x v="0"/>
    <s v="WHATS"/>
    <n v="74981"/>
    <n v="456.06"/>
    <m/>
    <m/>
    <m/>
    <x v="116"/>
    <m/>
  </r>
  <r>
    <n v="1122"/>
    <x v="87"/>
    <s v="EMAIL"/>
    <n v="76291"/>
    <n v="1340"/>
    <m/>
    <m/>
    <m/>
    <x v="116"/>
    <m/>
  </r>
  <r>
    <n v="50310"/>
    <x v="108"/>
    <s v="WHATS"/>
    <n v="99141"/>
    <n v="311.2"/>
    <m/>
    <m/>
    <m/>
    <x v="117"/>
    <m/>
  </r>
  <r>
    <n v="906"/>
    <x v="27"/>
    <s v="WHATS"/>
    <n v="76263"/>
    <n v="751"/>
    <m/>
    <m/>
    <m/>
    <x v="117"/>
    <m/>
  </r>
  <r>
    <n v="906"/>
    <x v="27"/>
    <s v="WHATS"/>
    <n v="12345"/>
    <n v="410"/>
    <m/>
    <m/>
    <m/>
    <x v="117"/>
    <m/>
  </r>
  <r>
    <n v="2702"/>
    <x v="73"/>
    <s v="WHATS"/>
    <n v="76298"/>
    <n v="883"/>
    <m/>
    <m/>
    <m/>
    <x v="117"/>
    <m/>
  </r>
  <r>
    <n v="708"/>
    <x v="56"/>
    <s v="WHATS"/>
    <n v="76308"/>
    <n v="2275.5"/>
    <m/>
    <m/>
    <m/>
    <x v="117"/>
    <m/>
  </r>
  <r>
    <n v="50576"/>
    <x v="37"/>
    <s v="WHATS"/>
    <n v="76343"/>
    <n v="54"/>
    <m/>
    <m/>
    <m/>
    <x v="118"/>
    <m/>
  </r>
  <r>
    <n v="705"/>
    <x v="1"/>
    <s v="WHATS"/>
    <n v="76357"/>
    <n v="88"/>
    <m/>
    <m/>
    <m/>
    <x v="118"/>
    <m/>
  </r>
  <r>
    <n v="50219"/>
    <x v="14"/>
    <s v="WHATS"/>
    <n v="76355"/>
    <n v="638.20000000000005"/>
    <m/>
    <m/>
    <m/>
    <x v="118"/>
    <m/>
  </r>
  <r>
    <n v="2022"/>
    <x v="28"/>
    <s v="WHATS"/>
    <n v="72415"/>
    <n v="810"/>
    <m/>
    <m/>
    <m/>
    <x v="118"/>
    <m/>
  </r>
  <r>
    <n v="50961"/>
    <x v="109"/>
    <s v="WHATS"/>
    <n v="76365"/>
    <n v="1048.8699999999999"/>
    <m/>
    <m/>
    <m/>
    <x v="118"/>
    <m/>
  </r>
  <r>
    <n v="3190"/>
    <x v="60"/>
    <s v="WHATS"/>
    <n v="76371"/>
    <n v="1656.5"/>
    <m/>
    <m/>
    <m/>
    <x v="119"/>
    <m/>
  </r>
  <r>
    <n v="500243"/>
    <x v="110"/>
    <s v="WHATS"/>
    <n v="76380"/>
    <n v="505"/>
    <m/>
    <m/>
    <m/>
    <x v="119"/>
    <m/>
  </r>
  <r>
    <n v="9063"/>
    <x v="22"/>
    <s v="WHATS"/>
    <n v="76217"/>
    <n v="754"/>
    <m/>
    <m/>
    <m/>
    <x v="119"/>
    <m/>
  </r>
  <r>
    <n v="725"/>
    <x v="65"/>
    <s v="WHATS"/>
    <n v="75734"/>
    <n v="454.45"/>
    <m/>
    <m/>
    <m/>
    <x v="120"/>
    <m/>
  </r>
  <r>
    <n v="2022"/>
    <x v="28"/>
    <s v="WHATS"/>
    <n v="76399"/>
    <n v="2282.29"/>
    <m/>
    <m/>
    <m/>
    <x v="120"/>
    <m/>
  </r>
  <r>
    <n v="772"/>
    <x v="71"/>
    <s v="WHATS"/>
    <n v="76404"/>
    <n v="860.59"/>
    <m/>
    <m/>
    <m/>
    <x v="120"/>
    <m/>
  </r>
  <r>
    <n v="1240"/>
    <x v="25"/>
    <s v="WHATS"/>
    <n v="76396"/>
    <n v="1107.92"/>
    <m/>
    <m/>
    <m/>
    <x v="120"/>
    <m/>
  </r>
  <r>
    <n v="572"/>
    <x v="51"/>
    <s v="WHATS"/>
    <n v="76426"/>
    <n v="383.05"/>
    <m/>
    <m/>
    <m/>
    <x v="120"/>
    <m/>
  </r>
  <r>
    <n v="474"/>
    <x v="98"/>
    <s v="WHATS"/>
    <n v="99160"/>
    <n v="864"/>
    <m/>
    <m/>
    <m/>
    <x v="121"/>
    <m/>
  </r>
  <r>
    <n v="1813"/>
    <x v="48"/>
    <s v="WHATS"/>
    <n v="76432"/>
    <n v="1065"/>
    <m/>
    <m/>
    <m/>
    <x v="121"/>
    <m/>
  </r>
  <r>
    <n v="475"/>
    <x v="23"/>
    <s v="WHATS"/>
    <n v="76444"/>
    <n v="2132.1799999999998"/>
    <m/>
    <m/>
    <m/>
    <x v="121"/>
    <m/>
  </r>
  <r>
    <n v="2911"/>
    <x v="15"/>
    <s v="WHATS"/>
    <n v="99164"/>
    <n v="211.05"/>
    <m/>
    <m/>
    <m/>
    <x v="121"/>
    <m/>
  </r>
  <r>
    <n v="2911"/>
    <x v="15"/>
    <s v="WHATS"/>
    <n v="76387"/>
    <n v="956.35"/>
    <m/>
    <m/>
    <m/>
    <x v="121"/>
    <m/>
  </r>
  <r>
    <n v="311"/>
    <x v="46"/>
    <s v="WHATS"/>
    <n v="99166"/>
    <n v="319.95"/>
    <m/>
    <m/>
    <m/>
    <x v="121"/>
    <m/>
  </r>
  <r>
    <n v="311"/>
    <x v="46"/>
    <s v="WHATS"/>
    <n v="76466"/>
    <n v="327.5"/>
    <m/>
    <m/>
    <m/>
    <x v="121"/>
    <m/>
  </r>
  <r>
    <n v="705"/>
    <x v="1"/>
    <s v="WHATS"/>
    <n v="99151"/>
    <n v="549.9"/>
    <m/>
    <m/>
    <m/>
    <x v="121"/>
    <m/>
  </r>
  <r>
    <n v="51175"/>
    <x v="79"/>
    <s v="WHATS"/>
    <n v="76492"/>
    <n v="176"/>
    <m/>
    <m/>
    <m/>
    <x v="121"/>
    <m/>
  </r>
  <r>
    <n v="575"/>
    <x v="45"/>
    <s v="TEL"/>
    <n v="76496"/>
    <n v="860.79"/>
    <m/>
    <m/>
    <m/>
    <x v="122"/>
    <m/>
  </r>
  <r>
    <n v="1971"/>
    <x v="29"/>
    <s v="WHATS"/>
    <n v="76502"/>
    <n v="575.77"/>
    <m/>
    <m/>
    <m/>
    <x v="122"/>
    <m/>
  </r>
  <r>
    <n v="311"/>
    <x v="46"/>
    <s v="WHATS"/>
    <n v="76498"/>
    <n v="525.20000000000005"/>
    <m/>
    <m/>
    <m/>
    <x v="122"/>
    <m/>
  </r>
  <r>
    <n v="2655"/>
    <x v="52"/>
    <s v="WHATS"/>
    <n v="76508"/>
    <n v="483.00299999999999"/>
    <m/>
    <m/>
    <m/>
    <x v="122"/>
    <m/>
  </r>
  <r>
    <n v="480"/>
    <x v="39"/>
    <s v="WHATS"/>
    <n v="76538"/>
    <n v="485.63"/>
    <m/>
    <m/>
    <m/>
    <x v="7"/>
    <m/>
  </r>
  <r>
    <n v="741"/>
    <x v="85"/>
    <s v="WHATS"/>
    <n v="7652"/>
    <n v="480"/>
    <m/>
    <m/>
    <m/>
    <x v="7"/>
    <m/>
  </r>
  <r>
    <n v="784"/>
    <x v="13"/>
    <s v="WHATS"/>
    <n v="76532"/>
    <n v="3636.9"/>
    <m/>
    <m/>
    <m/>
    <x v="7"/>
    <m/>
  </r>
  <r>
    <n v="3153"/>
    <x v="12"/>
    <s v="WHATS"/>
    <n v="76567"/>
    <n v="2542.6999999999998"/>
    <m/>
    <m/>
    <m/>
    <x v="123"/>
    <m/>
  </r>
  <r>
    <n v="1206"/>
    <x v="33"/>
    <s v="WHATS"/>
    <n v="76593"/>
    <n v="1013.4"/>
    <m/>
    <m/>
    <m/>
    <x v="124"/>
    <m/>
  </r>
  <r>
    <n v="746"/>
    <x v="3"/>
    <s v="TEL"/>
    <n v="99196"/>
    <n v="237.25"/>
    <m/>
    <m/>
    <m/>
    <x v="124"/>
    <m/>
  </r>
  <r>
    <n v="746"/>
    <x v="3"/>
    <s v="TEL"/>
    <n v="76594"/>
    <n v="4404.54"/>
    <m/>
    <m/>
    <m/>
    <x v="124"/>
    <m/>
  </r>
  <r>
    <n v="50418"/>
    <x v="35"/>
    <s v="WHATS"/>
    <n v="76592"/>
    <n v="1142.95"/>
    <m/>
    <m/>
    <m/>
    <x v="124"/>
    <m/>
  </r>
  <r>
    <n v="761"/>
    <x v="24"/>
    <s v="WHATS"/>
    <n v="76599"/>
    <n v="282"/>
    <m/>
    <m/>
    <m/>
    <x v="124"/>
    <m/>
  </r>
  <r>
    <n v="761"/>
    <x v="24"/>
    <s v="WHATS"/>
    <n v="99201"/>
    <n v="172"/>
    <m/>
    <m/>
    <m/>
    <x v="124"/>
    <m/>
  </r>
  <r>
    <n v="2022"/>
    <x v="28"/>
    <s v="WHATS"/>
    <n v="76573"/>
    <n v="953.44"/>
    <m/>
    <m/>
    <m/>
    <x v="124"/>
    <m/>
  </r>
  <r>
    <n v="50418"/>
    <x v="35"/>
    <s v="WHATS"/>
    <n v="76592"/>
    <n v="872.95"/>
    <m/>
    <m/>
    <m/>
    <x v="124"/>
    <m/>
  </r>
  <r>
    <n v="762"/>
    <x v="41"/>
    <s v="EMAIL"/>
    <n v="76613"/>
    <n v="6325.93"/>
    <m/>
    <m/>
    <m/>
    <x v="124"/>
    <m/>
  </r>
  <r>
    <n v="50005"/>
    <x v="0"/>
    <s v="WHATS"/>
    <n v="76635"/>
    <n v="1514.45"/>
    <m/>
    <m/>
    <m/>
    <x v="125"/>
    <m/>
  </r>
  <r>
    <n v="690"/>
    <x v="19"/>
    <s v="TEL"/>
    <n v="76185"/>
    <n v="606.21"/>
    <m/>
    <m/>
    <m/>
    <x v="125"/>
    <m/>
  </r>
  <r>
    <n v="690"/>
    <x v="19"/>
    <s v="TEL"/>
    <n v="99214"/>
    <n v="289.89999999999998"/>
    <m/>
    <m/>
    <m/>
    <x v="125"/>
    <m/>
  </r>
  <r>
    <n v="3194"/>
    <x v="18"/>
    <s v="TEL"/>
    <n v="76646"/>
    <n v="209"/>
    <m/>
    <m/>
    <m/>
    <x v="125"/>
    <m/>
  </r>
  <r>
    <n v="50554"/>
    <x v="20"/>
    <s v="TEL"/>
    <n v="76644"/>
    <n v="3225.7"/>
    <m/>
    <m/>
    <m/>
    <x v="125"/>
    <m/>
  </r>
  <r>
    <n v="50497"/>
    <x v="77"/>
    <s v="TEL"/>
    <n v="99216"/>
    <n v="527.20000000000005"/>
    <m/>
    <m/>
    <m/>
    <x v="125"/>
    <m/>
  </r>
  <r>
    <n v="50219"/>
    <x v="14"/>
    <s v="WHATS"/>
    <n v="76577"/>
    <n v="1193.47"/>
    <m/>
    <m/>
    <m/>
    <x v="125"/>
    <m/>
  </r>
  <r>
    <n v="50222"/>
    <x v="89"/>
    <s v="WHATS"/>
    <n v="99220"/>
    <n v="82.95"/>
    <m/>
    <m/>
    <m/>
    <x v="125"/>
    <m/>
  </r>
  <r>
    <n v="2980"/>
    <x v="40"/>
    <s v="WHATS"/>
    <n v="76664"/>
    <n v="1661.4"/>
    <m/>
    <m/>
    <m/>
    <x v="125"/>
    <m/>
  </r>
  <r>
    <n v="756"/>
    <x v="8"/>
    <s v="WHATS"/>
    <n v="76673"/>
    <n v="615"/>
    <m/>
    <m/>
    <m/>
    <x v="125"/>
    <m/>
  </r>
  <r>
    <n v="1164"/>
    <x v="58"/>
    <s v="TEL"/>
    <n v="76698"/>
    <n v="1839.92"/>
    <m/>
    <m/>
    <m/>
    <x v="126"/>
    <m/>
  </r>
  <r>
    <n v="762"/>
    <x v="41"/>
    <s v="EMAIL"/>
    <n v="76722"/>
    <n v="6602.85"/>
    <m/>
    <m/>
    <m/>
    <x v="126"/>
    <m/>
  </r>
  <r>
    <n v="1905"/>
    <x v="107"/>
    <s v="WHATS"/>
    <n v="76221"/>
    <n v="4331.6000000000004"/>
    <m/>
    <m/>
    <m/>
    <x v="126"/>
    <m/>
  </r>
  <r>
    <n v="50544"/>
    <x v="0"/>
    <s v="WHATS"/>
    <n v="76623"/>
    <n v="586.44000000000005"/>
    <m/>
    <m/>
    <m/>
    <x v="126"/>
    <m/>
  </r>
  <r>
    <n v="3018"/>
    <x v="64"/>
    <s v="WHATS"/>
    <n v="99237"/>
    <n v="71.099999999999994"/>
    <m/>
    <m/>
    <m/>
    <x v="126"/>
    <m/>
  </r>
  <r>
    <n v="3018"/>
    <x v="64"/>
    <s v="WHATS"/>
    <n v="93309"/>
    <n v="591.32000000000005"/>
    <m/>
    <m/>
    <m/>
    <x v="126"/>
    <m/>
  </r>
  <r>
    <n v="690"/>
    <x v="19"/>
    <s v="TEL"/>
    <n v="99240"/>
    <n v="68.59"/>
    <m/>
    <m/>
    <m/>
    <x v="127"/>
    <m/>
  </r>
  <r>
    <n v="500149"/>
    <x v="94"/>
    <s v="TEL"/>
    <n v="76757"/>
    <n v="744"/>
    <m/>
    <m/>
    <m/>
    <x v="127"/>
    <m/>
  </r>
  <r>
    <n v="50497"/>
    <x v="77"/>
    <s v="TEL"/>
    <n v="99241"/>
    <n v="26.1"/>
    <m/>
    <m/>
    <m/>
    <x v="127"/>
    <m/>
  </r>
  <r>
    <n v="1726"/>
    <x v="34"/>
    <s v="EMAIL"/>
    <n v="76765"/>
    <n v="506.5"/>
    <m/>
    <m/>
    <m/>
    <x v="127"/>
    <m/>
  </r>
  <r>
    <n v="1122"/>
    <x v="87"/>
    <s v="EMAIL"/>
    <n v="76766"/>
    <n v="2649.5"/>
    <m/>
    <m/>
    <m/>
    <x v="127"/>
    <m/>
  </r>
  <r>
    <n v="1989"/>
    <x v="67"/>
    <s v="WHATS"/>
    <n v="76771"/>
    <n v="652.14"/>
    <m/>
    <m/>
    <m/>
    <x v="127"/>
    <m/>
  </r>
  <r>
    <n v="1623"/>
    <x v="57"/>
    <s v="TEL"/>
    <n v="76777"/>
    <n v="546.65"/>
    <m/>
    <m/>
    <m/>
    <x v="127"/>
    <m/>
  </r>
  <r>
    <n v="50576"/>
    <x v="37"/>
    <s v="WHATS"/>
    <n v="76788"/>
    <n v="1546.1"/>
    <m/>
    <m/>
    <m/>
    <x v="128"/>
    <m/>
  </r>
  <r>
    <n v="572"/>
    <x v="51"/>
    <s v="WHATS"/>
    <n v="76792"/>
    <n v="165.4"/>
    <m/>
    <m/>
    <m/>
    <x v="128"/>
    <m/>
  </r>
  <r>
    <n v="50936"/>
    <x v="93"/>
    <s v="WHATS"/>
    <n v="76793"/>
    <n v="327.3"/>
    <m/>
    <m/>
    <m/>
    <x v="128"/>
    <m/>
  </r>
  <r>
    <n v="2980"/>
    <x v="40"/>
    <s v="WHATS"/>
    <n v="99248"/>
    <n v="228"/>
    <m/>
    <m/>
    <m/>
    <x v="128"/>
    <m/>
  </r>
  <r>
    <n v="708"/>
    <x v="56"/>
    <s v="WHATS"/>
    <n v="76804"/>
    <n v="132.5"/>
    <m/>
    <m/>
    <m/>
    <x v="128"/>
    <m/>
  </r>
  <r>
    <n v="1533"/>
    <x v="50"/>
    <s v="WHATS"/>
    <n v="76669"/>
    <n v="1225.9000000000001"/>
    <m/>
    <m/>
    <m/>
    <x v="128"/>
    <m/>
  </r>
  <r>
    <n v="2192"/>
    <x v="0"/>
    <s v="WHATS"/>
    <n v="75967"/>
    <n v="2295.58"/>
    <m/>
    <m/>
    <m/>
    <x v="128"/>
    <m/>
  </r>
  <r>
    <n v="50558"/>
    <x v="2"/>
    <s v="WHATS"/>
    <n v="76810"/>
    <n v="3087.53"/>
    <m/>
    <m/>
    <m/>
    <x v="128"/>
    <m/>
  </r>
  <r>
    <n v="2022"/>
    <x v="28"/>
    <s v="WHATS"/>
    <n v="76751"/>
    <n v="258"/>
    <m/>
    <m/>
    <m/>
    <x v="128"/>
    <m/>
  </r>
  <r>
    <n v="690"/>
    <x v="19"/>
    <s v="WHATS"/>
    <n v="76814"/>
    <n v="100.8"/>
    <m/>
    <m/>
    <m/>
    <x v="128"/>
    <m/>
  </r>
  <r>
    <n v="50219"/>
    <x v="14"/>
    <s v="WHATS"/>
    <n v="76821"/>
    <n v="36.200000000000003"/>
    <m/>
    <m/>
    <m/>
    <x v="129"/>
    <m/>
  </r>
  <r>
    <n v="704"/>
    <x v="49"/>
    <s v="TEL"/>
    <n v="76428"/>
    <n v="593.6"/>
    <m/>
    <m/>
    <m/>
    <x v="129"/>
    <m/>
  </r>
  <r>
    <n v="704"/>
    <x v="49"/>
    <s v="TEL"/>
    <n v="99254"/>
    <n v="245.35"/>
    <m/>
    <m/>
    <m/>
    <x v="129"/>
    <m/>
  </r>
  <r>
    <n v="516"/>
    <x v="11"/>
    <s v="WHATS"/>
    <n v="76509"/>
    <n v="463"/>
    <m/>
    <m/>
    <m/>
    <x v="129"/>
    <m/>
  </r>
  <r>
    <n v="432"/>
    <x v="43"/>
    <s v="WHATS"/>
    <n v="76841"/>
    <n v="2891.27"/>
    <m/>
    <m/>
    <m/>
    <x v="129"/>
    <m/>
  </r>
  <r>
    <n v="3240"/>
    <x v="75"/>
    <s v="WHATS"/>
    <n v="76857"/>
    <n v="1214.0999999999999"/>
    <m/>
    <m/>
    <m/>
    <x v="129"/>
    <m/>
  </r>
  <r>
    <n v="1240"/>
    <x v="25"/>
    <s v="WHATS"/>
    <n v="76865"/>
    <n v="830.95"/>
    <m/>
    <m/>
    <m/>
    <x v="130"/>
    <m/>
  </r>
  <r>
    <n v="50576"/>
    <x v="37"/>
    <s v="WHATS"/>
    <n v="99209"/>
    <n v="391.8"/>
    <m/>
    <m/>
    <m/>
    <x v="130"/>
    <m/>
  </r>
  <r>
    <n v="581"/>
    <x v="74"/>
    <s v="WHATS"/>
    <n v="99261"/>
    <n v="800.01"/>
    <m/>
    <m/>
    <m/>
    <x v="130"/>
    <m/>
  </r>
  <r>
    <n v="3245"/>
    <x v="95"/>
    <s v="WHATS"/>
    <n v="76874"/>
    <n v="2068.4"/>
    <m/>
    <m/>
    <m/>
    <x v="130"/>
    <m/>
  </r>
  <r>
    <n v="2415"/>
    <x v="63"/>
    <s v="WHATS"/>
    <n v="76880"/>
    <n v="5156"/>
    <m/>
    <m/>
    <m/>
    <x v="130"/>
    <m/>
  </r>
  <r>
    <n v="335"/>
    <x v="9"/>
    <s v="TEL"/>
    <n v="76884"/>
    <n v="559.26"/>
    <m/>
    <m/>
    <m/>
    <x v="130"/>
    <m/>
  </r>
  <r>
    <n v="335"/>
    <x v="9"/>
    <s v="TEL"/>
    <n v="99265"/>
    <n v="184.9"/>
    <m/>
    <m/>
    <m/>
    <x v="130"/>
    <m/>
  </r>
  <r>
    <n v="1164"/>
    <x v="58"/>
    <s v="WHATS"/>
    <n v="76888"/>
    <n v="367"/>
    <m/>
    <m/>
    <m/>
    <x v="130"/>
    <m/>
  </r>
  <r>
    <n v="1164"/>
    <x v="58"/>
    <s v="WHATS"/>
    <n v="99267"/>
    <n v="71.099999999999994"/>
    <m/>
    <m/>
    <m/>
    <x v="130"/>
    <m/>
  </r>
  <r>
    <n v="1842"/>
    <x v="47"/>
    <s v="WHATS"/>
    <n v="76876"/>
    <n v="634.92999999999995"/>
    <m/>
    <m/>
    <m/>
    <x v="130"/>
    <m/>
  </r>
  <r>
    <n v="1989"/>
    <x v="67"/>
    <s v="WHATS"/>
    <n v="76227"/>
    <n v="606.13"/>
    <m/>
    <m/>
    <m/>
    <x v="130"/>
    <m/>
  </r>
  <r>
    <n v="690"/>
    <x v="19"/>
    <s v="WHATS"/>
    <n v="76226"/>
    <n v="189"/>
    <m/>
    <m/>
    <m/>
    <x v="130"/>
    <m/>
  </r>
  <r>
    <n v="50554"/>
    <x v="20"/>
    <s v="WHATS"/>
    <n v="76225"/>
    <n v="189"/>
    <m/>
    <m/>
    <m/>
    <x v="130"/>
    <m/>
  </r>
  <r>
    <n v="1842"/>
    <x v="47"/>
    <s v="WHATS"/>
    <n v="99268"/>
    <n v="231.15"/>
    <m/>
    <m/>
    <m/>
    <x v="130"/>
    <m/>
  </r>
  <r>
    <n v="1533"/>
    <x v="50"/>
    <s v="WHATS"/>
    <n v="76913"/>
    <n v="1258.2"/>
    <m/>
    <m/>
    <m/>
    <x v="131"/>
    <m/>
  </r>
  <r>
    <n v="762"/>
    <x v="41"/>
    <s v="WHATS"/>
    <n v="76925"/>
    <n v="80"/>
    <m/>
    <m/>
    <m/>
    <x v="131"/>
    <m/>
  </r>
  <r>
    <n v="463"/>
    <x v="32"/>
    <s v="WHATS"/>
    <n v="76952"/>
    <n v="1071.6500000000001"/>
    <m/>
    <m/>
    <m/>
    <x v="132"/>
    <m/>
  </r>
  <r>
    <n v="725"/>
    <x v="65"/>
    <s v="WHATS"/>
    <n v="76933"/>
    <n v="714.34"/>
    <m/>
    <m/>
    <m/>
    <x v="132"/>
    <m/>
  </r>
  <r>
    <n v="1493"/>
    <x v="21"/>
    <s v="WHATS"/>
    <n v="76977"/>
    <n v="856.7"/>
    <m/>
    <m/>
    <m/>
    <x v="132"/>
    <m/>
  </r>
  <r>
    <n v="741"/>
    <x v="85"/>
    <s v="WHATS"/>
    <n v="76978"/>
    <n v="7400"/>
    <n v="1"/>
    <n v="7400"/>
    <m/>
    <x v="132"/>
    <m/>
  </r>
  <r>
    <n v="741"/>
    <x v="85"/>
    <s v="WHATS"/>
    <n v="76981"/>
    <n v="1897.2"/>
    <m/>
    <m/>
    <m/>
    <x v="132"/>
    <m/>
  </r>
  <r>
    <n v="687"/>
    <x v="16"/>
    <s v="WHATS"/>
    <n v="76958"/>
    <n v="453.5"/>
    <m/>
    <m/>
    <m/>
    <x v="132"/>
    <m/>
  </r>
  <r>
    <n v="687"/>
    <x v="16"/>
    <s v="WHATS"/>
    <n v="99278"/>
    <n v="235.27"/>
    <m/>
    <m/>
    <m/>
    <x v="132"/>
    <m/>
  </r>
  <r>
    <n v="1026"/>
    <x v="7"/>
    <s v="WHATS"/>
    <n v="76997"/>
    <n v="1771.44"/>
    <m/>
    <m/>
    <m/>
    <x v="133"/>
    <m/>
  </r>
  <r>
    <n v="475"/>
    <x v="23"/>
    <s v="EMAIL"/>
    <n v="99287"/>
    <n v="1104.06"/>
    <m/>
    <m/>
    <m/>
    <x v="133"/>
    <m/>
  </r>
  <r>
    <n v="475"/>
    <x v="23"/>
    <s v="EMAIL"/>
    <n v="76904"/>
    <n v="11898.59"/>
    <m/>
    <m/>
    <m/>
    <x v="133"/>
    <m/>
  </r>
  <r>
    <n v="690"/>
    <x v="19"/>
    <s v="WHATS"/>
    <n v="77017"/>
    <n v="31"/>
    <m/>
    <m/>
    <m/>
    <x v="133"/>
    <m/>
  </r>
  <r>
    <n v="325"/>
    <x v="97"/>
    <s v="WHATS"/>
    <n v="77025"/>
    <n v="317.39999999999998"/>
    <m/>
    <m/>
    <m/>
    <x v="133"/>
    <m/>
  </r>
  <r>
    <n v="325"/>
    <x v="97"/>
    <s v="WHATS"/>
    <n v="99291"/>
    <n v="325.7"/>
    <m/>
    <m/>
    <m/>
    <x v="133"/>
    <m/>
  </r>
  <r>
    <n v="3190"/>
    <x v="60"/>
    <s v="WHATS"/>
    <n v="77027"/>
    <n v="1955.22"/>
    <m/>
    <m/>
    <m/>
    <x v="134"/>
    <m/>
  </r>
  <r>
    <n v="432"/>
    <x v="43"/>
    <s v="WHATS"/>
    <n v="77034"/>
    <n v="901.61"/>
    <m/>
    <m/>
    <m/>
    <x v="134"/>
    <m/>
  </r>
  <r>
    <n v="432"/>
    <x v="43"/>
    <s v="WHATS"/>
    <n v="99292"/>
    <n v="107.15"/>
    <m/>
    <m/>
    <m/>
    <x v="134"/>
    <m/>
  </r>
  <r>
    <n v="1533"/>
    <x v="50"/>
    <s v="WHATS"/>
    <n v="99295"/>
    <n v="222"/>
    <m/>
    <m/>
    <m/>
    <x v="134"/>
    <m/>
  </r>
  <r>
    <n v="1533"/>
    <x v="50"/>
    <s v="WHATS"/>
    <n v="77039"/>
    <n v="294"/>
    <m/>
    <m/>
    <m/>
    <x v="134"/>
    <m/>
  </r>
  <r>
    <n v="480"/>
    <x v="39"/>
    <s v="WHATS"/>
    <n v="77040"/>
    <n v="899.6"/>
    <m/>
    <m/>
    <m/>
    <x v="134"/>
    <m/>
  </r>
  <r>
    <n v="50961"/>
    <x v="109"/>
    <s v="WHATS"/>
    <n v="76554"/>
    <n v="988.83"/>
    <m/>
    <m/>
    <m/>
    <x v="134"/>
    <m/>
  </r>
  <r>
    <n v="761"/>
    <x v="24"/>
    <s v="WHATS"/>
    <n v="77073"/>
    <n v="360.55"/>
    <m/>
    <m/>
    <m/>
    <x v="135"/>
    <m/>
  </r>
  <r>
    <n v="1240"/>
    <x v="25"/>
    <s v="WHATS"/>
    <n v="77069"/>
    <n v="461.57"/>
    <m/>
    <m/>
    <m/>
    <x v="135"/>
    <m/>
  </r>
  <r>
    <n v="1726"/>
    <x v="34"/>
    <s v="EMAIL"/>
    <n v="77077"/>
    <n v="2411.4"/>
    <n v="1"/>
    <n v="2362.1"/>
    <m/>
    <x v="135"/>
    <m/>
  </r>
  <r>
    <n v="50418"/>
    <x v="35"/>
    <s v="WHATS"/>
    <n v="76887"/>
    <n v="126"/>
    <m/>
    <m/>
    <m/>
    <x v="135"/>
    <m/>
  </r>
  <r>
    <n v="50418"/>
    <x v="35"/>
    <s v="WHATS"/>
    <n v="1234"/>
    <n v="410"/>
    <m/>
    <m/>
    <m/>
    <x v="135"/>
    <m/>
  </r>
  <r>
    <n v="741"/>
    <x v="85"/>
    <s v="WHATS"/>
    <n v="77026"/>
    <n v="89"/>
    <m/>
    <m/>
    <m/>
    <x v="135"/>
    <m/>
  </r>
  <r>
    <n v="618"/>
    <x v="26"/>
    <s v="WHATS"/>
    <n v="77099"/>
    <n v="2969.5"/>
    <m/>
    <m/>
    <m/>
    <x v="135"/>
    <m/>
  </r>
  <r>
    <n v="1813"/>
    <x v="48"/>
    <s v="WHATS"/>
    <n v="77116"/>
    <n v="1283.1500000000001"/>
    <m/>
    <m/>
    <m/>
    <x v="136"/>
    <m/>
  </r>
  <r>
    <n v="1164"/>
    <x v="58"/>
    <s v="WHATS"/>
    <n v="77118"/>
    <n v="383.35"/>
    <m/>
    <m/>
    <m/>
    <x v="136"/>
    <m/>
  </r>
  <r>
    <n v="1164"/>
    <x v="58"/>
    <s v="WHATS"/>
    <n v="99306"/>
    <n v="88.89"/>
    <m/>
    <m/>
    <m/>
    <x v="136"/>
    <m/>
  </r>
  <r>
    <n v="874"/>
    <x v="53"/>
    <s v="WHATS"/>
    <n v="77135"/>
    <n v="377.6"/>
    <m/>
    <m/>
    <m/>
    <x v="136"/>
    <m/>
  </r>
  <r>
    <n v="475"/>
    <x v="23"/>
    <s v="WHATS"/>
    <n v="77138"/>
    <n v="5506.75"/>
    <m/>
    <m/>
    <m/>
    <x v="136"/>
    <m/>
  </r>
  <r>
    <n v="475"/>
    <x v="23"/>
    <s v="WHATS"/>
    <n v="99316"/>
    <n v="94.8"/>
    <m/>
    <m/>
    <m/>
    <x v="137"/>
    <m/>
  </r>
  <r>
    <n v="2397"/>
    <x v="6"/>
    <s v="WHATS"/>
    <n v="77016"/>
    <n v="1042.3"/>
    <m/>
    <m/>
    <m/>
    <x v="137"/>
    <m/>
  </r>
  <r>
    <n v="50576"/>
    <x v="37"/>
    <s v="SKYPE"/>
    <n v="77155"/>
    <n v="2343.1"/>
    <m/>
    <m/>
    <m/>
    <x v="137"/>
    <m/>
  </r>
  <r>
    <n v="784"/>
    <x v="13"/>
    <s v="WHATS"/>
    <n v="77158"/>
    <n v="96"/>
    <m/>
    <m/>
    <m/>
    <x v="137"/>
    <m/>
  </r>
  <r>
    <n v="1493"/>
    <x v="21"/>
    <s v="TEL"/>
    <n v="77086"/>
    <n v="807.7"/>
    <m/>
    <m/>
    <m/>
    <x v="137"/>
    <m/>
  </r>
  <r>
    <n v="960"/>
    <x v="30"/>
    <s v="WHATS"/>
    <n v="99279"/>
    <n v="299.48"/>
    <m/>
    <m/>
    <m/>
    <x v="137"/>
    <m/>
  </r>
  <r>
    <n v="960"/>
    <x v="30"/>
    <s v="WHATS"/>
    <n v="76972"/>
    <n v="181"/>
    <m/>
    <m/>
    <m/>
    <x v="137"/>
    <m/>
  </r>
  <r>
    <n v="516"/>
    <x v="11"/>
    <s v="WHATS"/>
    <n v="77182"/>
    <n v="3546.55"/>
    <m/>
    <m/>
    <m/>
    <x v="137"/>
    <m/>
  </r>
  <r>
    <n v="906"/>
    <x v="27"/>
    <s v="WHATS"/>
    <n v="99321"/>
    <n v="853.23"/>
    <m/>
    <m/>
    <m/>
    <x v="138"/>
    <m/>
  </r>
  <r>
    <n v="50728"/>
    <x v="84"/>
    <s v="WHATS"/>
    <n v="42316"/>
    <n v="720"/>
    <m/>
    <m/>
    <m/>
    <x v="138"/>
    <m/>
  </r>
  <r>
    <n v="761"/>
    <x v="24"/>
    <s v="WHATS"/>
    <n v="77241"/>
    <n v="57.4"/>
    <m/>
    <m/>
    <m/>
    <x v="139"/>
    <m/>
  </r>
  <r>
    <n v="761"/>
    <x v="24"/>
    <s v="WHATS"/>
    <n v="99300"/>
    <n v="413.4"/>
    <m/>
    <m/>
    <m/>
    <x v="139"/>
    <m/>
  </r>
  <r>
    <n v="905"/>
    <x v="72"/>
    <s v="TEL"/>
    <n v="76586"/>
    <n v="796.8"/>
    <m/>
    <m/>
    <m/>
    <x v="139"/>
    <m/>
  </r>
  <r>
    <n v="905"/>
    <x v="72"/>
    <s v="TEL"/>
    <n v="99334"/>
    <n v="206.37"/>
    <m/>
    <m/>
    <m/>
    <x v="139"/>
    <m/>
  </r>
  <r>
    <n v="572"/>
    <x v="51"/>
    <s v="WHATS"/>
    <n v="77287"/>
    <n v="1126.28"/>
    <m/>
    <m/>
    <m/>
    <x v="139"/>
    <m/>
  </r>
  <r>
    <n v="823"/>
    <x v="17"/>
    <s v="WHATS"/>
    <n v="77286"/>
    <n v="3267.5"/>
    <m/>
    <m/>
    <m/>
    <x v="139"/>
    <m/>
  </r>
  <r>
    <n v="823"/>
    <x v="17"/>
    <s v="WHATS"/>
    <n v="99158"/>
    <n v="774.6"/>
    <m/>
    <m/>
    <m/>
    <x v="139"/>
    <m/>
  </r>
  <r>
    <n v="1262"/>
    <x v="0"/>
    <s v="WHATS"/>
    <n v="77290"/>
    <n v="1260.2"/>
    <m/>
    <m/>
    <m/>
    <x v="139"/>
    <m/>
  </r>
  <r>
    <n v="1652"/>
    <x v="61"/>
    <s v="TEL"/>
    <n v="99339"/>
    <n v="359.6"/>
    <m/>
    <m/>
    <m/>
    <x v="139"/>
    <m/>
  </r>
  <r>
    <n v="1652"/>
    <x v="61"/>
    <s v="TEL"/>
    <n v="77295"/>
    <n v="907.9"/>
    <m/>
    <m/>
    <m/>
    <x v="139"/>
    <m/>
  </r>
  <r>
    <n v="2702"/>
    <x v="73"/>
    <s v="WHATS"/>
    <n v="77299"/>
    <n v="1499.25"/>
    <m/>
    <m/>
    <m/>
    <x v="139"/>
    <m/>
  </r>
  <r>
    <n v="2022"/>
    <x v="28"/>
    <s v="WHATS"/>
    <n v="77144"/>
    <n v="1399.69"/>
    <m/>
    <m/>
    <m/>
    <x v="139"/>
    <m/>
  </r>
  <r>
    <n v="2022"/>
    <x v="28"/>
    <s v="WHATS"/>
    <n v="99343"/>
    <n v="215"/>
    <m/>
    <m/>
    <m/>
    <x v="139"/>
    <m/>
  </r>
  <r>
    <n v="2911"/>
    <x v="15"/>
    <s v="WHATS"/>
    <n v="77310"/>
    <n v="1621.83"/>
    <m/>
    <m/>
    <m/>
    <x v="139"/>
    <m/>
  </r>
  <r>
    <n v="3405"/>
    <x v="111"/>
    <s v="EMAIL"/>
    <n v="77316"/>
    <n v="555.30999999999995"/>
    <m/>
    <m/>
    <m/>
    <x v="139"/>
    <m/>
  </r>
  <r>
    <n v="822"/>
    <x v="66"/>
    <s v="WHATS"/>
    <n v="77321"/>
    <n v="651.66"/>
    <m/>
    <m/>
    <m/>
    <x v="139"/>
    <m/>
  </r>
  <r>
    <n v="822"/>
    <x v="66"/>
    <s v="WHATS"/>
    <n v="99349"/>
    <n v="1508.36"/>
    <m/>
    <m/>
    <m/>
    <x v="139"/>
    <m/>
  </r>
  <r>
    <n v="1533"/>
    <x v="50"/>
    <s v="WHATS"/>
    <n v="77335"/>
    <n v="1892.45"/>
    <m/>
    <m/>
    <m/>
    <x v="140"/>
    <m/>
  </r>
  <r>
    <n v="2415"/>
    <x v="63"/>
    <s v="WHATS"/>
    <n v="77338"/>
    <n v="2074.5"/>
    <m/>
    <m/>
    <m/>
    <x v="140"/>
    <m/>
  </r>
  <r>
    <n v="1616"/>
    <x v="83"/>
    <s v="WHATS"/>
    <n v="77337"/>
    <n v="854.2"/>
    <m/>
    <m/>
    <m/>
    <x v="140"/>
    <m/>
  </r>
  <r>
    <n v="741"/>
    <x v="85"/>
    <s v="WHATS"/>
    <n v="99347"/>
    <n v="86"/>
    <m/>
    <m/>
    <m/>
    <x v="141"/>
    <m/>
  </r>
  <r>
    <n v="741"/>
    <x v="85"/>
    <s v="WHATS"/>
    <n v="77327"/>
    <n v="1701.1"/>
    <m/>
    <m/>
    <m/>
    <x v="141"/>
    <m/>
  </r>
  <r>
    <n v="50816"/>
    <x v="100"/>
    <s v="WHATS"/>
    <n v="77369"/>
    <n v="1029.8"/>
    <m/>
    <m/>
    <m/>
    <x v="142"/>
    <m/>
  </r>
  <r>
    <n v="885"/>
    <x v="88"/>
    <s v="WHATS"/>
    <n v="77380"/>
    <n v="1934.42"/>
    <m/>
    <m/>
    <m/>
    <x v="142"/>
    <m/>
  </r>
  <r>
    <n v="1971"/>
    <x v="29"/>
    <s v="WHATS"/>
    <n v="77382"/>
    <n v="629"/>
    <m/>
    <m/>
    <m/>
    <x v="142"/>
    <m/>
  </r>
  <r>
    <n v="3077"/>
    <x v="10"/>
    <s v="TEL"/>
    <n v="77413"/>
    <n v="779.94"/>
    <m/>
    <m/>
    <m/>
    <x v="143"/>
    <m/>
  </r>
  <r>
    <n v="3077"/>
    <x v="10"/>
    <s v="TEL"/>
    <n v="99371"/>
    <n v="88.89"/>
    <m/>
    <m/>
    <m/>
    <x v="143"/>
    <m/>
  </r>
  <r>
    <n v="2702"/>
    <x v="73"/>
    <s v="WHATS"/>
    <n v="77414"/>
    <n v="514.20000000000005"/>
    <m/>
    <m/>
    <m/>
    <x v="143"/>
    <m/>
  </r>
  <r>
    <n v="756"/>
    <x v="8"/>
    <s v="WHATS"/>
    <n v="77411"/>
    <n v="1615.16"/>
    <m/>
    <m/>
    <m/>
    <x v="143"/>
    <m/>
  </r>
  <r>
    <n v="756"/>
    <x v="8"/>
    <s v="WHATS"/>
    <n v="99369"/>
    <n v="206.47"/>
    <m/>
    <m/>
    <m/>
    <x v="143"/>
    <m/>
  </r>
  <r>
    <n v="1905"/>
    <x v="107"/>
    <s v="WHATS"/>
    <n v="77393"/>
    <n v="12400"/>
    <m/>
    <m/>
    <m/>
    <x v="144"/>
    <m/>
  </r>
  <r>
    <n v="1905"/>
    <x v="107"/>
    <s v="WHATS"/>
    <n v="77428"/>
    <n v="1188"/>
    <m/>
    <m/>
    <m/>
    <x v="144"/>
    <m/>
  </r>
  <r>
    <n v="761"/>
    <x v="24"/>
    <s v="WHATS"/>
    <n v="77443"/>
    <n v="164.5"/>
    <m/>
    <m/>
    <m/>
    <x v="144"/>
    <m/>
  </r>
  <r>
    <n v="761"/>
    <x v="24"/>
    <s v="WHATS"/>
    <n v="99377"/>
    <n v="211.2"/>
    <m/>
    <m/>
    <m/>
    <x v="144"/>
    <m/>
  </r>
  <r>
    <n v="690"/>
    <x v="19"/>
    <s v="TEL"/>
    <n v="77484"/>
    <n v="1607.25"/>
    <m/>
    <m/>
    <m/>
    <x v="144"/>
    <m/>
  </r>
  <r>
    <n v="690"/>
    <x v="19"/>
    <s v="TEL"/>
    <n v="99382"/>
    <n v="790.2"/>
    <m/>
    <m/>
    <m/>
    <x v="144"/>
    <m/>
  </r>
  <r>
    <n v="708"/>
    <x v="56"/>
    <s v="WHATS"/>
    <n v="77502"/>
    <n v="2030"/>
    <m/>
    <m/>
    <m/>
    <x v="145"/>
    <m/>
  </r>
  <r>
    <n v="1206"/>
    <x v="33"/>
    <s v="WHATS"/>
    <n v="77509"/>
    <n v="2684.04"/>
    <m/>
    <m/>
    <m/>
    <x v="145"/>
    <m/>
  </r>
  <r>
    <n v="1788"/>
    <x v="91"/>
    <s v="WHATS"/>
    <n v="77513"/>
    <n v="555.5"/>
    <m/>
    <m/>
    <m/>
    <x v="145"/>
    <m/>
  </r>
  <r>
    <n v="50554"/>
    <x v="20"/>
    <s v="TEL"/>
    <n v="77522"/>
    <n v="5063.5200000000004"/>
    <m/>
    <m/>
    <m/>
    <x v="145"/>
    <m/>
  </r>
  <r>
    <n v="20554"/>
    <x v="0"/>
    <s v="TEL"/>
    <n v="99385"/>
    <n v="1025.9000000000001"/>
    <m/>
    <m/>
    <m/>
    <x v="145"/>
    <m/>
  </r>
  <r>
    <n v="784"/>
    <x v="13"/>
    <s v="EMAIL"/>
    <n v="77533"/>
    <n v="2604.4499999999998"/>
    <m/>
    <m/>
    <m/>
    <x v="145"/>
    <m/>
  </r>
  <r>
    <n v="50219"/>
    <x v="14"/>
    <s v="WHATS"/>
    <n v="77539"/>
    <n v="1016.89"/>
    <m/>
    <m/>
    <m/>
    <x v="145"/>
    <m/>
  </r>
  <r>
    <n v="50222"/>
    <x v="89"/>
    <s v="WHATS"/>
    <n v="99388"/>
    <n v="71.099999999999994"/>
    <m/>
    <m/>
    <m/>
    <x v="145"/>
    <m/>
  </r>
  <r>
    <n v="432"/>
    <x v="43"/>
    <s v="WHATS"/>
    <n v="99389"/>
    <n v="195"/>
    <m/>
    <m/>
    <m/>
    <x v="145"/>
    <m/>
  </r>
  <r>
    <n v="432"/>
    <x v="43"/>
    <s v="WHATS"/>
    <n v="77550"/>
    <n v="2084.63"/>
    <m/>
    <m/>
    <m/>
    <x v="145"/>
    <m/>
  </r>
  <r>
    <n v="572"/>
    <x v="51"/>
    <s v="WHATS"/>
    <n v="77547"/>
    <n v="71.55"/>
    <m/>
    <m/>
    <m/>
    <x v="145"/>
    <m/>
  </r>
  <r>
    <n v="412"/>
    <x v="90"/>
    <s v="WHATS"/>
    <n v="77563"/>
    <n v="253.7"/>
    <m/>
    <m/>
    <m/>
    <x v="145"/>
    <m/>
  </r>
  <r>
    <n v="463"/>
    <x v="32"/>
    <s v="WHATS"/>
    <n v="77555"/>
    <n v="888.4"/>
    <m/>
    <m/>
    <m/>
    <x v="145"/>
    <m/>
  </r>
  <r>
    <n v="746"/>
    <x v="3"/>
    <s v="TEL"/>
    <n v="77565"/>
    <n v="5555.83"/>
    <m/>
    <m/>
    <m/>
    <x v="146"/>
    <m/>
  </r>
  <r>
    <n v="746"/>
    <x v="3"/>
    <s v="TEL"/>
    <n v="99391"/>
    <n v="71.099999999999994"/>
    <m/>
    <m/>
    <m/>
    <x v="146"/>
    <m/>
  </r>
  <r>
    <n v="1122"/>
    <x v="87"/>
    <s v="EMAIL"/>
    <n v="77519"/>
    <n v="1949.39"/>
    <m/>
    <m/>
    <m/>
    <x v="146"/>
    <m/>
  </r>
  <r>
    <n v="3194"/>
    <x v="18"/>
    <s v="EMAIL"/>
    <n v="77611"/>
    <n v="853.1"/>
    <m/>
    <m/>
    <m/>
    <x v="146"/>
    <m/>
  </r>
  <r>
    <n v="3194"/>
    <x v="18"/>
    <s v="TEL"/>
    <n v="99398"/>
    <n v="324.7"/>
    <m/>
    <m/>
    <m/>
    <x v="146"/>
    <m/>
  </r>
  <r>
    <n v="20"/>
    <x v="112"/>
    <s v="EMAIL"/>
    <n v="77616"/>
    <n v="146.19999999999999"/>
    <m/>
    <m/>
    <m/>
    <x v="147"/>
    <m/>
  </r>
  <r>
    <n v="3018"/>
    <x v="64"/>
    <s v="WHATS"/>
    <n v="77630"/>
    <n v="549"/>
    <m/>
    <m/>
    <m/>
    <x v="147"/>
    <m/>
  </r>
  <r>
    <n v="1726"/>
    <x v="34"/>
    <s v="EMAIL"/>
    <n v="77631"/>
    <n v="432"/>
    <m/>
    <m/>
    <m/>
    <x v="147"/>
    <m/>
  </r>
  <r>
    <n v="50185"/>
    <x v="105"/>
    <s v="WHATS"/>
    <n v="77637"/>
    <n v="546"/>
    <m/>
    <m/>
    <m/>
    <x v="147"/>
    <m/>
  </r>
  <r>
    <n v="2795"/>
    <x v="113"/>
    <s v="WHATS"/>
    <n v="77654"/>
    <n v="5321.04"/>
    <m/>
    <m/>
    <m/>
    <x v="147"/>
    <m/>
  </r>
  <r>
    <n v="335"/>
    <x v="9"/>
    <s v="WHATS"/>
    <n v="99409"/>
    <n v="615.20000000000005"/>
    <m/>
    <m/>
    <m/>
    <x v="147"/>
    <m/>
  </r>
  <r>
    <n v="335"/>
    <x v="9"/>
    <s v="WHATS"/>
    <n v="77663"/>
    <n v="741.07"/>
    <m/>
    <m/>
    <m/>
    <x v="147"/>
    <m/>
  </r>
  <r>
    <n v="311"/>
    <x v="46"/>
    <s v="WHATS"/>
    <n v="77724"/>
    <n v="1556.5"/>
    <m/>
    <m/>
    <m/>
    <x v="148"/>
    <m/>
  </r>
  <r>
    <n v="1164"/>
    <x v="58"/>
    <s v="WHATS"/>
    <n v="77728"/>
    <n v="1850.1"/>
    <m/>
    <m/>
    <m/>
    <x v="148"/>
    <m/>
  </r>
  <r>
    <n v="1164"/>
    <x v="58"/>
    <s v="WHATS"/>
    <n v="99418"/>
    <n v="59.5"/>
    <m/>
    <m/>
    <m/>
    <x v="148"/>
    <m/>
  </r>
  <r>
    <n v="311"/>
    <x v="46"/>
    <s v="WHATS"/>
    <n v="77724"/>
    <n v="1035.72"/>
    <m/>
    <m/>
    <m/>
    <x v="148"/>
    <m/>
  </r>
  <r>
    <n v="311"/>
    <x v="46"/>
    <s v="WHATS"/>
    <n v="99420"/>
    <n v="316"/>
    <m/>
    <m/>
    <m/>
    <x v="148"/>
    <m/>
  </r>
  <r>
    <n v="762"/>
    <x v="41"/>
    <s v="EMAIL"/>
    <n v="77752"/>
    <n v="7431.18"/>
    <m/>
    <m/>
    <m/>
    <x v="149"/>
    <m/>
  </r>
  <r>
    <n v="762"/>
    <x v="41"/>
    <s v="EMAIL"/>
    <n v="77751"/>
    <n v="4426.5"/>
    <m/>
    <m/>
    <m/>
    <x v="149"/>
    <m/>
  </r>
  <r>
    <n v="784"/>
    <x v="13"/>
    <s v="WHATS"/>
    <n v="77762"/>
    <n v="72.62"/>
    <m/>
    <m/>
    <m/>
    <x v="149"/>
    <m/>
  </r>
  <r>
    <n v="3017"/>
    <x v="62"/>
    <s v="WHATS"/>
    <n v="77779"/>
    <n v="1137.96"/>
    <m/>
    <m/>
    <m/>
    <x v="149"/>
    <m/>
  </r>
  <r>
    <n v="480"/>
    <x v="39"/>
    <s v="WHATS"/>
    <n v="77783"/>
    <n v="2273.8000000000002"/>
    <m/>
    <m/>
    <m/>
    <x v="149"/>
    <m/>
  </r>
  <r>
    <n v="480"/>
    <x v="39"/>
    <s v="WHATS"/>
    <n v="99434"/>
    <n v="83.2"/>
    <m/>
    <m/>
    <m/>
    <x v="149"/>
    <m/>
  </r>
  <r>
    <n v="50728"/>
    <x v="84"/>
    <s v="WHATS"/>
    <n v="77785"/>
    <n v="720"/>
    <m/>
    <m/>
    <m/>
    <x v="149"/>
    <m/>
  </r>
  <r>
    <n v="475"/>
    <x v="23"/>
    <s v="WHATS"/>
    <n v="99424"/>
    <n v="1124.83"/>
    <m/>
    <m/>
    <m/>
    <x v="149"/>
    <m/>
  </r>
  <r>
    <n v="475"/>
    <x v="23"/>
    <s v="WHATS"/>
    <n v="77705"/>
    <n v="11616.97"/>
    <m/>
    <m/>
    <m/>
    <x v="149"/>
    <m/>
  </r>
  <r>
    <n v="50554"/>
    <x v="20"/>
    <s v="TEL"/>
    <n v="77793"/>
    <n v="820.1"/>
    <m/>
    <m/>
    <m/>
    <x v="149"/>
    <m/>
  </r>
  <r>
    <n v="1742"/>
    <x v="81"/>
    <s v="WHATS"/>
    <n v="77748"/>
    <n v="857.35"/>
    <m/>
    <m/>
    <m/>
    <x v="150"/>
    <m/>
  </r>
  <r>
    <n v="2163"/>
    <x v="36"/>
    <s v="TEL"/>
    <n v="77825"/>
    <n v="3245"/>
    <m/>
    <m/>
    <m/>
    <x v="150"/>
    <m/>
  </r>
  <r>
    <n v="690"/>
    <x v="19"/>
    <s v="WHATS"/>
    <n v="77028"/>
    <n v="189"/>
    <m/>
    <m/>
    <m/>
    <x v="150"/>
    <m/>
  </r>
  <r>
    <n v="50554"/>
    <x v="20"/>
    <s v="WHATS"/>
    <n v="77029"/>
    <n v="189"/>
    <m/>
    <m/>
    <m/>
    <x v="150"/>
    <m/>
  </r>
  <r>
    <n v="1989"/>
    <x v="67"/>
    <s v="WHATS"/>
    <n v="77030"/>
    <n v="606.13"/>
    <m/>
    <m/>
    <m/>
    <x v="150"/>
    <m/>
  </r>
  <r>
    <n v="823"/>
    <x v="17"/>
    <s v="WHATS"/>
    <n v="77829"/>
    <n v="4170"/>
    <m/>
    <m/>
    <m/>
    <x v="150"/>
    <m/>
  </r>
  <r>
    <n v="2980"/>
    <x v="40"/>
    <s v="WHATS"/>
    <n v="99445"/>
    <n v="169"/>
    <m/>
    <m/>
    <m/>
    <x v="151"/>
    <m/>
  </r>
  <r>
    <n v="2980"/>
    <x v="40"/>
    <s v="WHATS"/>
    <n v="77846"/>
    <n v="1079.4000000000001"/>
    <m/>
    <m/>
    <m/>
    <x v="151"/>
    <m/>
  </r>
  <r>
    <n v="51042"/>
    <x v="106"/>
    <s v="WHATS"/>
    <n v="77853"/>
    <n v="321.16000000000003"/>
    <m/>
    <m/>
    <m/>
    <x v="151"/>
    <m/>
  </r>
  <r>
    <n v="1616"/>
    <x v="83"/>
    <s v="WHATS"/>
    <n v="77791"/>
    <n v="873.9"/>
    <m/>
    <m/>
    <m/>
    <x v="151"/>
    <m/>
  </r>
  <r>
    <n v="960"/>
    <x v="30"/>
    <s v="WHATS"/>
    <n v="99455"/>
    <n v="88"/>
    <m/>
    <m/>
    <m/>
    <x v="152"/>
    <m/>
  </r>
  <r>
    <n v="725"/>
    <x v="65"/>
    <s v="WHATS"/>
    <s v="75734/76933/77809"/>
    <n v="4500.54"/>
    <m/>
    <m/>
    <m/>
    <x v="152"/>
    <m/>
  </r>
  <r>
    <n v="1493"/>
    <x v="21"/>
    <s v="WHATS"/>
    <n v="77822"/>
    <n v="1215.48"/>
    <m/>
    <m/>
    <m/>
    <x v="152"/>
    <m/>
  </r>
  <r>
    <n v="364"/>
    <x v="31"/>
    <s v="WHATS"/>
    <n v="77915"/>
    <n v="825.2"/>
    <m/>
    <m/>
    <m/>
    <x v="152"/>
    <m/>
  </r>
  <r>
    <n v="364"/>
    <x v="31"/>
    <s v="WHATS"/>
    <n v="99456"/>
    <n v="544.58000000000004"/>
    <m/>
    <m/>
    <m/>
    <x v="152"/>
    <m/>
  </r>
  <r>
    <n v="575"/>
    <x v="45"/>
    <s v="EMAIL"/>
    <n v="77928"/>
    <n v="639.77"/>
    <m/>
    <m/>
    <m/>
    <x v="153"/>
    <m/>
  </r>
  <r>
    <n v="874"/>
    <x v="53"/>
    <s v="WHATS"/>
    <n v="77932"/>
    <n v="1848.77"/>
    <m/>
    <m/>
    <m/>
    <x v="153"/>
    <m/>
  </r>
  <r>
    <n v="1813"/>
    <x v="48"/>
    <s v="WHATS"/>
    <n v="77930"/>
    <n v="998"/>
    <m/>
    <m/>
    <m/>
    <x v="153"/>
    <m/>
  </r>
  <r>
    <n v="171"/>
    <x v="70"/>
    <s v="WHATS"/>
    <n v="77945"/>
    <n v="97.5"/>
    <m/>
    <m/>
    <m/>
    <x v="153"/>
    <m/>
  </r>
  <r>
    <n v="480"/>
    <x v="39"/>
    <s v="WHATS"/>
    <n v="99464"/>
    <n v="199"/>
    <m/>
    <m/>
    <m/>
    <x v="153"/>
    <m/>
  </r>
  <r>
    <n v="480"/>
    <x v="39"/>
    <s v="WHATS"/>
    <n v="77947"/>
    <n v="2730"/>
    <m/>
    <m/>
    <m/>
    <x v="153"/>
    <m/>
  </r>
  <r>
    <n v="3077"/>
    <x v="10"/>
    <s v="TEL"/>
    <n v="77954"/>
    <n v="1016.2"/>
    <m/>
    <m/>
    <m/>
    <x v="153"/>
    <m/>
  </r>
  <r>
    <n v="2702"/>
    <x v="73"/>
    <s v="WHATS"/>
    <n v="77970"/>
    <n v="1637.3"/>
    <m/>
    <m/>
    <m/>
    <x v="153"/>
    <m/>
  </r>
  <r>
    <n v="761"/>
    <x v="24"/>
    <s v="WHATS"/>
    <n v="77984"/>
    <n v="665.2"/>
    <m/>
    <m/>
    <m/>
    <x v="154"/>
    <m/>
  </r>
  <r>
    <n v="2415"/>
    <x v="63"/>
    <s v="WHATS"/>
    <n v="77996"/>
    <n v="760"/>
    <m/>
    <m/>
    <m/>
    <x v="154"/>
    <m/>
  </r>
  <r>
    <n v="500243"/>
    <x v="110"/>
    <s v="WHATS"/>
    <n v="78003"/>
    <n v="808.3"/>
    <m/>
    <m/>
    <m/>
    <x v="154"/>
    <m/>
  </r>
  <r>
    <n v="325"/>
    <x v="97"/>
    <s v="WHATS"/>
    <n v="99475"/>
    <n v="325.7"/>
    <m/>
    <m/>
    <m/>
    <x v="154"/>
    <m/>
  </r>
  <r>
    <n v="325"/>
    <x v="97"/>
    <s v="WHATS"/>
    <n v="78012"/>
    <n v="1554.3"/>
    <m/>
    <m/>
    <m/>
    <x v="154"/>
    <m/>
  </r>
  <r>
    <n v="704"/>
    <x v="49"/>
    <s v="WHATS"/>
    <n v="99476"/>
    <n v="328.22"/>
    <m/>
    <m/>
    <m/>
    <x v="154"/>
    <m/>
  </r>
  <r>
    <n v="704"/>
    <x v="49"/>
    <s v="WHATS"/>
    <n v="78022"/>
    <n v="1545.45"/>
    <m/>
    <m/>
    <m/>
    <x v="154"/>
    <m/>
  </r>
  <r>
    <n v="516"/>
    <x v="11"/>
    <s v="WHATS"/>
    <n v="78015"/>
    <n v="8145.2"/>
    <m/>
    <m/>
    <m/>
    <x v="154"/>
    <m/>
  </r>
  <r>
    <n v="1533"/>
    <x v="50"/>
    <s v="WHATS"/>
    <n v="78035"/>
    <n v="1538.8"/>
    <m/>
    <m/>
    <m/>
    <x v="155"/>
    <m/>
  </r>
  <r>
    <n v="741"/>
    <x v="85"/>
    <s v="WHATS"/>
    <n v="77765"/>
    <n v="1361.77"/>
    <m/>
    <m/>
    <m/>
    <x v="155"/>
    <m/>
  </r>
  <r>
    <n v="756"/>
    <x v="8"/>
    <s v="WHATS"/>
    <n v="77888"/>
    <n v="2230.6"/>
    <m/>
    <m/>
    <m/>
    <x v="155"/>
    <m/>
  </r>
  <r>
    <n v="1122"/>
    <x v="87"/>
    <s v="WHATS"/>
    <s v="77519/77615"/>
    <n v="3305.9"/>
    <m/>
    <m/>
    <m/>
    <x v="155"/>
    <m/>
  </r>
  <r>
    <n v="475"/>
    <x v="23"/>
    <s v="EMAIL"/>
    <s v="77705/77138/78056"/>
    <n v="2897.61"/>
    <m/>
    <m/>
    <m/>
    <x v="155"/>
    <m/>
  </r>
  <r>
    <n v="2198"/>
    <x v="92"/>
    <s v="WHATS"/>
    <n v="78053"/>
    <n v="8421.8700000000008"/>
    <m/>
    <m/>
    <m/>
    <x v="155"/>
    <m/>
  </r>
  <r>
    <n v="772"/>
    <x v="71"/>
    <s v="WHATS"/>
    <n v="78066"/>
    <n v="862.35"/>
    <m/>
    <m/>
    <m/>
    <x v="155"/>
    <m/>
  </r>
  <r>
    <n v="1164"/>
    <x v="58"/>
    <s v="WHATS"/>
    <n v="78081"/>
    <n v="844.6"/>
    <m/>
    <m/>
    <m/>
    <x v="156"/>
    <m/>
  </r>
  <r>
    <n v="572"/>
    <x v="51"/>
    <s v="WHATS"/>
    <n v="78082"/>
    <n v="756.43"/>
    <m/>
    <m/>
    <m/>
    <x v="156"/>
    <m/>
  </r>
  <r>
    <n v="2022"/>
    <x v="28"/>
    <s v="WHATS"/>
    <n v="78083"/>
    <n v="152.58000000000001"/>
    <m/>
    <m/>
    <m/>
    <x v="156"/>
    <m/>
  </r>
  <r>
    <n v="690"/>
    <x v="19"/>
    <s v="WHATS"/>
    <n v="99421"/>
    <n v="36.4"/>
    <m/>
    <m/>
    <m/>
    <x v="156"/>
    <m/>
  </r>
  <r>
    <n v="690"/>
    <x v="19"/>
    <s v="WHATS"/>
    <n v="77711"/>
    <n v="151.19999999999999"/>
    <m/>
    <m/>
    <m/>
    <x v="156"/>
    <m/>
  </r>
  <r>
    <n v="822"/>
    <x v="66"/>
    <s v="WHATS"/>
    <n v="78020"/>
    <n v="55"/>
    <m/>
    <m/>
    <m/>
    <x v="156"/>
    <m/>
  </r>
  <r>
    <n v="1240"/>
    <x v="25"/>
    <s v="WHATS"/>
    <n v="74116"/>
    <n v="1835"/>
    <m/>
    <m/>
    <m/>
    <x v="157"/>
    <m/>
  </r>
  <r>
    <n v="1652"/>
    <x v="61"/>
    <s v="WHATS"/>
    <s v="99339/78126"/>
    <n v="763.4"/>
    <m/>
    <m/>
    <m/>
    <x v="157"/>
    <m/>
  </r>
  <r>
    <n v="311"/>
    <x v="46"/>
    <s v="TEL"/>
    <s v="77724/78157"/>
    <n v="266.52"/>
    <m/>
    <m/>
    <m/>
    <x v="158"/>
    <m/>
  </r>
  <r>
    <n v="50576"/>
    <x v="37"/>
    <s v="WHATS"/>
    <n v="78163"/>
    <n v="2593"/>
    <m/>
    <m/>
    <m/>
    <x v="158"/>
    <m/>
  </r>
  <r>
    <n v="50526"/>
    <x v="38"/>
    <s v="WHATS"/>
    <n v="99501"/>
    <n v="261.2"/>
    <m/>
    <m/>
    <m/>
    <x v="158"/>
    <m/>
  </r>
  <r>
    <n v="906"/>
    <x v="27"/>
    <s v="WHATS"/>
    <n v="78184"/>
    <n v="982.8"/>
    <m/>
    <m/>
    <m/>
    <x v="158"/>
    <m/>
  </r>
  <r>
    <n v="1533"/>
    <x v="50"/>
    <s v="WHATS"/>
    <n v="7819"/>
    <n v="1202"/>
    <m/>
    <m/>
    <m/>
    <x v="158"/>
    <m/>
  </r>
  <r>
    <n v="1502"/>
    <x v="76"/>
    <s v="WHATS"/>
    <n v="78188"/>
    <n v="1218"/>
    <m/>
    <m/>
    <m/>
    <x v="158"/>
    <m/>
  </r>
  <r>
    <n v="708"/>
    <x v="56"/>
    <s v="WHATS"/>
    <n v="78200"/>
    <n v="2030"/>
    <m/>
    <m/>
    <m/>
    <x v="159"/>
    <m/>
  </r>
  <r>
    <n v="50576"/>
    <x v="37"/>
    <s v="WHATS"/>
    <n v="78212"/>
    <n v="655"/>
    <m/>
    <m/>
    <m/>
    <x v="159"/>
    <m/>
  </r>
  <r>
    <n v="335"/>
    <x v="9"/>
    <s v="WHATS"/>
    <n v="99511"/>
    <n v="387.6"/>
    <m/>
    <m/>
    <m/>
    <x v="159"/>
    <m/>
  </r>
  <r>
    <n v="335"/>
    <x v="9"/>
    <s v="WHATS"/>
    <n v="78218"/>
    <n v="33.9"/>
    <m/>
    <m/>
    <m/>
    <x v="159"/>
    <m/>
  </r>
  <r>
    <n v="197"/>
    <x v="99"/>
    <s v="WHATS"/>
    <n v="77981"/>
    <n v="1345.2"/>
    <m/>
    <m/>
    <m/>
    <x v="159"/>
    <m/>
  </r>
  <r>
    <n v="197"/>
    <x v="99"/>
    <s v="WHATS"/>
    <n v="99512"/>
    <n v="123.48"/>
    <m/>
    <m/>
    <m/>
    <x v="159"/>
    <m/>
  </r>
  <r>
    <n v="432"/>
    <x v="43"/>
    <s v="WHATS"/>
    <n v="78236"/>
    <n v="708.8"/>
    <m/>
    <m/>
    <m/>
    <x v="160"/>
    <m/>
  </r>
  <r>
    <n v="50554"/>
    <x v="20"/>
    <s v="WHATS"/>
    <n v="78251"/>
    <n v="415.8"/>
    <m/>
    <m/>
    <m/>
    <x v="160"/>
    <m/>
  </r>
  <r>
    <n v="50497"/>
    <x v="77"/>
    <s v="WHATS"/>
    <n v="99499"/>
    <n v="72"/>
    <m/>
    <m/>
    <m/>
    <x v="160"/>
    <m/>
  </r>
  <r>
    <n v="2022"/>
    <x v="28"/>
    <s v="WHATS"/>
    <n v="78264"/>
    <n v="1315.98"/>
    <m/>
    <m/>
    <m/>
    <x v="160"/>
    <m/>
  </r>
  <r>
    <n v="412"/>
    <x v="90"/>
    <s v="WHATS"/>
    <n v="78229"/>
    <n v="720"/>
    <m/>
    <m/>
    <m/>
    <x v="161"/>
    <m/>
  </r>
  <r>
    <n v="412"/>
    <x v="90"/>
    <s v="WHATS"/>
    <n v="99521"/>
    <n v="95.3"/>
    <m/>
    <m/>
    <m/>
    <x v="161"/>
    <m/>
  </r>
  <r>
    <n v="1905"/>
    <x v="107"/>
    <s v="WHATS"/>
    <n v="77428"/>
    <n v="175"/>
    <m/>
    <m/>
    <m/>
    <x v="162"/>
    <m/>
  </r>
  <r>
    <n v="50465"/>
    <x v="96"/>
    <s v="WHATS"/>
    <n v="78312"/>
    <n v="941.8"/>
    <m/>
    <m/>
    <m/>
    <x v="162"/>
    <m/>
  </r>
  <r>
    <n v="1905"/>
    <x v="107"/>
    <s v="WHATS"/>
    <n v="77535"/>
    <n v="443.2"/>
    <m/>
    <m/>
    <m/>
    <x v="163"/>
    <m/>
  </r>
  <r>
    <n v="3240"/>
    <x v="75"/>
    <s v="WHATS"/>
    <n v="78346"/>
    <n v="1104.9000000000001"/>
    <m/>
    <m/>
    <m/>
    <x v="163"/>
    <m/>
  </r>
  <r>
    <n v="3240"/>
    <x v="75"/>
    <s v="WHATS"/>
    <n v="99536"/>
    <n v="142.19999999999999"/>
    <m/>
    <m/>
    <m/>
    <x v="163"/>
    <m/>
  </r>
  <r>
    <n v="50310"/>
    <x v="108"/>
    <s v="WHATS"/>
    <n v="99537"/>
    <n v="328"/>
    <m/>
    <m/>
    <m/>
    <x v="163"/>
    <m/>
  </r>
  <r>
    <n v="50312"/>
    <x v="86"/>
    <s v="WHATS"/>
    <n v="78348"/>
    <n v="77.2"/>
    <m/>
    <m/>
    <m/>
    <x v="163"/>
    <m/>
  </r>
  <r>
    <n v="311"/>
    <x v="46"/>
    <s v="TEL"/>
    <n v="75354"/>
    <n v="4703.41"/>
    <m/>
    <m/>
    <m/>
    <x v="163"/>
    <m/>
  </r>
  <r>
    <n v="311"/>
    <x v="46"/>
    <s v="TEL"/>
    <n v="99539"/>
    <n v="62.91"/>
    <m/>
    <m/>
    <m/>
    <x v="163"/>
    <m/>
  </r>
  <r>
    <n v="761"/>
    <x v="24"/>
    <s v="WHATS"/>
    <n v="78393"/>
    <n v="359.9"/>
    <m/>
    <m/>
    <m/>
    <x v="9"/>
    <m/>
  </r>
  <r>
    <n v="761"/>
    <x v="24"/>
    <s v="WHATS"/>
    <n v="99544"/>
    <n v="348.95"/>
    <m/>
    <m/>
    <m/>
    <x v="9"/>
    <m/>
  </r>
  <r>
    <n v="480"/>
    <x v="39"/>
    <s v="WHATS"/>
    <n v="78395"/>
    <n v="857.6"/>
    <m/>
    <m/>
    <m/>
    <x v="9"/>
    <m/>
  </r>
  <r>
    <n v="1971"/>
    <x v="29"/>
    <s v="WHATS"/>
    <n v="78409"/>
    <n v="678.22"/>
    <m/>
    <m/>
    <m/>
    <x v="9"/>
    <m/>
  </r>
  <r>
    <n v="1971"/>
    <x v="29"/>
    <s v="WHATS"/>
    <n v="99549"/>
    <n v="348"/>
    <m/>
    <m/>
    <m/>
    <x v="9"/>
    <m/>
  </r>
  <r>
    <n v="784"/>
    <x v="13"/>
    <s v="EMAIL"/>
    <n v="749413"/>
    <n v="3453.7"/>
    <m/>
    <m/>
    <m/>
    <x v="9"/>
    <m/>
  </r>
  <r>
    <n v="731"/>
    <x v="4"/>
    <s v="WHATS"/>
    <n v="78432"/>
    <n v="461"/>
    <m/>
    <m/>
    <m/>
    <x v="9"/>
    <m/>
  </r>
  <r>
    <n v="364"/>
    <x v="31"/>
    <s v="WHATS"/>
    <n v="78442"/>
    <n v="325"/>
    <m/>
    <m/>
    <m/>
    <x v="164"/>
    <m/>
  </r>
  <r>
    <n v="475"/>
    <x v="23"/>
    <s v="WHATS"/>
    <n v="78231"/>
    <n v="7552.36"/>
    <m/>
    <m/>
    <m/>
    <x v="164"/>
    <m/>
  </r>
  <r>
    <n v="1318"/>
    <x v="114"/>
    <s v="WHATS"/>
    <n v="78430"/>
    <n v="829.8"/>
    <m/>
    <m/>
    <m/>
    <x v="164"/>
    <m/>
  </r>
  <r>
    <n v="50219"/>
    <x v="14"/>
    <s v="WHATS"/>
    <s v="78323/78462"/>
    <n v="821.25"/>
    <m/>
    <m/>
    <m/>
    <x v="164"/>
    <m/>
  </r>
  <r>
    <n v="2572"/>
    <x v="115"/>
    <s v="WHATS"/>
    <n v="78469"/>
    <n v="4028"/>
    <m/>
    <m/>
    <m/>
    <x v="164"/>
    <m/>
  </r>
  <r>
    <n v="620"/>
    <x v="69"/>
    <s v="WHATS"/>
    <n v="78473"/>
    <n v="1443.75"/>
    <m/>
    <m/>
    <m/>
    <x v="164"/>
    <m/>
  </r>
  <r>
    <n v="3153"/>
    <x v="12"/>
    <s v="WHATS"/>
    <n v="78475"/>
    <n v="1689.99"/>
    <m/>
    <m/>
    <m/>
    <x v="164"/>
    <m/>
  </r>
  <r>
    <n v="1726"/>
    <x v="34"/>
    <s v="WHATS"/>
    <n v="78496"/>
    <n v="674.88"/>
    <m/>
    <m/>
    <m/>
    <x v="165"/>
    <m/>
  </r>
  <r>
    <n v="2415"/>
    <x v="63"/>
    <s v="WHATS"/>
    <n v="78508"/>
    <n v="2212"/>
    <m/>
    <m/>
    <m/>
    <x v="165"/>
    <m/>
  </r>
  <r>
    <n v="364"/>
    <x v="31"/>
    <s v="WHATS"/>
    <n v="78445"/>
    <n v="325"/>
    <m/>
    <m/>
    <m/>
    <x v="165"/>
    <m/>
  </r>
  <r>
    <n v="364"/>
    <x v="31"/>
    <s v="WHATS"/>
    <n v="99572"/>
    <n v="28.2"/>
    <m/>
    <m/>
    <m/>
    <x v="165"/>
    <m/>
  </r>
  <r>
    <n v="2911"/>
    <x v="15"/>
    <s v="WHATS"/>
    <n v="78304"/>
    <n v="1280.8"/>
    <m/>
    <m/>
    <m/>
    <x v="165"/>
    <m/>
  </r>
  <r>
    <n v="2911"/>
    <x v="15"/>
    <s v="WHATS"/>
    <n v="99566"/>
    <n v="202.4"/>
    <m/>
    <m/>
    <m/>
    <x v="165"/>
    <m/>
  </r>
  <r>
    <n v="690"/>
    <x v="19"/>
    <s v="WHATS"/>
    <n v="78493"/>
    <n v="608.5"/>
    <m/>
    <m/>
    <m/>
    <x v="165"/>
    <m/>
  </r>
  <r>
    <n v="690"/>
    <x v="19"/>
    <s v="WHATS"/>
    <n v="99561"/>
    <n v="283.60000000000002"/>
    <m/>
    <m/>
    <m/>
    <x v="165"/>
    <m/>
  </r>
  <r>
    <n v="572"/>
    <x v="51"/>
    <s v="WHATS"/>
    <s v="78082/78569"/>
    <n v="610.66"/>
    <m/>
    <m/>
    <m/>
    <x v="165"/>
    <m/>
  </r>
  <r>
    <n v="1533"/>
    <x v="50"/>
    <s v="WHATS"/>
    <n v="785977"/>
    <n v="3745.2"/>
    <m/>
    <m/>
    <m/>
    <x v="166"/>
    <m/>
  </r>
  <r>
    <n v="51175"/>
    <x v="79"/>
    <s v="WHATS"/>
    <n v="78576"/>
    <n v="314.64"/>
    <m/>
    <m/>
    <m/>
    <x v="166"/>
    <m/>
  </r>
  <r>
    <n v="762"/>
    <x v="41"/>
    <s v="EMAIL"/>
    <n v="78600"/>
    <n v="6557.9"/>
    <m/>
    <m/>
    <m/>
    <x v="166"/>
    <m/>
  </r>
  <r>
    <n v="50554"/>
    <x v="20"/>
    <s v="WHATS"/>
    <n v="78567"/>
    <n v="5193.29"/>
    <m/>
    <m/>
    <m/>
    <x v="166"/>
    <m/>
  </r>
  <r>
    <n v="50497"/>
    <x v="77"/>
    <s v="WHATS"/>
    <n v="99582"/>
    <n v="1328.15"/>
    <m/>
    <m/>
    <m/>
    <x v="166"/>
    <m/>
  </r>
  <r>
    <n v="725"/>
    <x v="65"/>
    <s v="WHATS"/>
    <n v="78620"/>
    <n v="410"/>
    <m/>
    <m/>
    <m/>
    <x v="166"/>
    <m/>
  </r>
  <r>
    <n v="1164"/>
    <x v="58"/>
    <s v="WHATS"/>
    <n v="78589"/>
    <n v="1020.94"/>
    <m/>
    <m/>
    <m/>
    <x v="166"/>
    <m/>
  </r>
  <r>
    <n v="960"/>
    <x v="30"/>
    <s v="WHATS"/>
    <n v="99598"/>
    <n v="356.7"/>
    <m/>
    <m/>
    <m/>
    <x v="166"/>
    <m/>
  </r>
  <r>
    <n v="960"/>
    <x v="30"/>
    <s v="WHATS"/>
    <n v="78643"/>
    <n v="1493"/>
    <m/>
    <m/>
    <m/>
    <x v="167"/>
    <m/>
  </r>
  <r>
    <n v="746"/>
    <x v="3"/>
    <s v="TEL"/>
    <n v="78528"/>
    <n v="6347.02"/>
    <m/>
    <m/>
    <m/>
    <x v="167"/>
    <m/>
  </r>
  <r>
    <n v="746"/>
    <x v="3"/>
    <s v="TEL"/>
    <n v="99600"/>
    <n v="71.099999999999994"/>
    <m/>
    <m/>
    <m/>
    <x v="167"/>
    <m/>
  </r>
  <r>
    <n v="3194"/>
    <x v="18"/>
    <s v="TEL"/>
    <n v="78653"/>
    <n v="954.8"/>
    <m/>
    <m/>
    <m/>
    <x v="167"/>
    <m/>
  </r>
  <r>
    <n v="1041"/>
    <x v="78"/>
    <s v="WHATS"/>
    <n v="78650"/>
    <n v="76.8"/>
    <m/>
    <m/>
    <m/>
    <x v="167"/>
    <m/>
  </r>
  <r>
    <n v="1041"/>
    <x v="78"/>
    <s v="WHATS"/>
    <n v="99603"/>
    <n v="61.2"/>
    <m/>
    <m/>
    <m/>
    <x v="167"/>
    <m/>
  </r>
  <r>
    <n v="3018"/>
    <x v="64"/>
    <s v="WHATS"/>
    <n v="99607"/>
    <n v="451.8"/>
    <m/>
    <m/>
    <m/>
    <x v="167"/>
    <m/>
  </r>
  <r>
    <n v="3018"/>
    <x v="64"/>
    <s v="WHATS"/>
    <n v="78663"/>
    <n v="549"/>
    <m/>
    <m/>
    <m/>
    <x v="167"/>
    <m/>
  </r>
  <r>
    <n v="3017"/>
    <x v="62"/>
    <s v="WHATS"/>
    <n v="77801"/>
    <n v="1027.93"/>
    <m/>
    <m/>
    <m/>
    <x v="167"/>
    <m/>
  </r>
  <r>
    <n v="463"/>
    <x v="32"/>
    <s v="WHATS"/>
    <n v="78677"/>
    <n v="1052.6500000000001"/>
    <m/>
    <m/>
    <m/>
    <x v="167"/>
    <m/>
  </r>
  <r>
    <n v="1493"/>
    <x v="21"/>
    <s v="WHATS"/>
    <n v="78679"/>
    <n v="1996.99"/>
    <m/>
    <m/>
    <m/>
    <x v="167"/>
    <m/>
  </r>
  <r>
    <n v="690"/>
    <x v="19"/>
    <s v="WHATS"/>
    <n v="78074"/>
    <n v="189"/>
    <m/>
    <m/>
    <m/>
    <x v="168"/>
    <m/>
  </r>
  <r>
    <n v="1989"/>
    <x v="67"/>
    <s v="WHATS"/>
    <n v="78076"/>
    <n v="606.12"/>
    <m/>
    <m/>
    <m/>
    <x v="168"/>
    <m/>
  </r>
  <r>
    <n v="50554"/>
    <x v="20"/>
    <s v="WHATS"/>
    <n v="78075"/>
    <n v="189"/>
    <m/>
    <m/>
    <m/>
    <x v="168"/>
    <m/>
  </r>
  <r>
    <n v="618"/>
    <x v="26"/>
    <s v="WHATS"/>
    <n v="78685"/>
    <n v="1364.6"/>
    <m/>
    <m/>
    <m/>
    <x v="168"/>
    <m/>
  </r>
  <r>
    <n v="618"/>
    <x v="26"/>
    <s v="WHATS"/>
    <n v="99611"/>
    <n v="256.19"/>
    <m/>
    <m/>
    <m/>
    <x v="168"/>
    <m/>
  </r>
  <r>
    <n v="874"/>
    <x v="53"/>
    <s v="WHATS"/>
    <s v="77932/78694"/>
    <n v="1170.21"/>
    <m/>
    <m/>
    <m/>
    <x v="168"/>
    <m/>
  </r>
  <r>
    <n v="2415"/>
    <x v="63"/>
    <s v="WHATS"/>
    <n v="78010"/>
    <n v="1511.67"/>
    <m/>
    <m/>
    <m/>
    <x v="168"/>
    <m/>
  </r>
  <r>
    <n v="724"/>
    <x v="42"/>
    <s v="WHATS"/>
    <n v="78745"/>
    <n v="884.97"/>
    <m/>
    <m/>
    <m/>
    <x v="169"/>
    <m/>
  </r>
  <r>
    <n v="2022"/>
    <x v="28"/>
    <s v="WHATS"/>
    <s v="78265/78742"/>
    <n v="1175.77"/>
    <m/>
    <m/>
    <m/>
    <x v="169"/>
    <m/>
  </r>
  <r>
    <n v="581"/>
    <x v="74"/>
    <s v="WHATS"/>
    <n v="99631"/>
    <n v="1777.8"/>
    <m/>
    <m/>
    <m/>
    <x v="170"/>
    <m/>
  </r>
  <r>
    <n v="50576"/>
    <x v="37"/>
    <s v="WHATS"/>
    <n v="78787"/>
    <n v="1884.1"/>
    <m/>
    <m/>
    <m/>
    <x v="170"/>
    <m/>
  </r>
  <r>
    <n v="50526"/>
    <x v="38"/>
    <s v="WHATS"/>
    <n v="99633"/>
    <n v="261.2"/>
    <m/>
    <m/>
    <m/>
    <x v="170"/>
    <m/>
  </r>
  <r>
    <n v="741"/>
    <x v="85"/>
    <s v="WHATS"/>
    <n v="78760"/>
    <n v="1151.04"/>
    <m/>
    <m/>
    <m/>
    <x v="171"/>
    <m/>
  </r>
  <r>
    <n v="741"/>
    <x v="85"/>
    <s v="WHATS"/>
    <n v="99627"/>
    <n v="154.6"/>
    <m/>
    <m/>
    <m/>
    <x v="171"/>
    <m/>
  </r>
  <r>
    <n v="2795"/>
    <x v="113"/>
    <s v="WHATS"/>
    <n v="77654"/>
    <n v="178.8"/>
    <m/>
    <m/>
    <m/>
    <x v="171"/>
    <m/>
  </r>
  <r>
    <n v="1122"/>
    <x v="87"/>
    <s v="WHATS"/>
    <n v="78828"/>
    <n v="5367.2"/>
    <m/>
    <m/>
    <m/>
    <x v="171"/>
    <m/>
  </r>
  <r>
    <n v="475"/>
    <x v="23"/>
    <s v="WHATS"/>
    <n v="78834"/>
    <n v="16418.810000000001"/>
    <m/>
    <m/>
    <m/>
    <x v="171"/>
    <m/>
  </r>
  <r>
    <n v="475"/>
    <x v="23"/>
    <s v="WHATS"/>
    <n v="99643"/>
    <n v="1279.6600000000001"/>
    <m/>
    <m/>
    <m/>
    <x v="171"/>
    <m/>
  </r>
  <r>
    <n v="50219"/>
    <x v="14"/>
    <s v="WHATS"/>
    <n v="78835"/>
    <n v="1025.0999999999999"/>
    <m/>
    <m/>
    <m/>
    <x v="171"/>
    <m/>
  </r>
  <r>
    <n v="311"/>
    <x v="46"/>
    <s v="WHATS"/>
    <s v="78161/78845"/>
    <n v="1388.2"/>
    <m/>
    <m/>
    <m/>
    <x v="172"/>
    <m/>
  </r>
  <r>
    <n v="1533"/>
    <x v="50"/>
    <s v="WHATS"/>
    <n v="78737"/>
    <n v="416"/>
    <m/>
    <m/>
    <m/>
    <x v="172"/>
    <m/>
  </r>
  <r>
    <n v="325"/>
    <x v="97"/>
    <s v="WHATS"/>
    <n v="99648"/>
    <n v="325.7"/>
    <m/>
    <m/>
    <m/>
    <x v="172"/>
    <m/>
  </r>
  <r>
    <n v="325"/>
    <x v="97"/>
    <s v="WHATS"/>
    <n v="78855"/>
    <n v="220"/>
    <m/>
    <m/>
    <m/>
    <x v="172"/>
    <m/>
  </r>
  <r>
    <n v="1240"/>
    <x v="25"/>
    <s v="WHATS"/>
    <n v="78728"/>
    <n v="789.19"/>
    <m/>
    <m/>
    <m/>
    <x v="172"/>
    <m/>
  </r>
  <r>
    <n v="480"/>
    <x v="39"/>
    <s v="WHATS"/>
    <n v="78871"/>
    <n v="1795.68"/>
    <m/>
    <m/>
    <m/>
    <x v="172"/>
    <m/>
  </r>
  <r>
    <n v="2980"/>
    <x v="40"/>
    <s v="WHATS"/>
    <n v="99641"/>
    <n v="188.45"/>
    <m/>
    <m/>
    <m/>
    <x v="172"/>
    <m/>
  </r>
  <r>
    <n v="2980"/>
    <x v="40"/>
    <s v="WHATS"/>
    <n v="78859"/>
    <n v="123.3"/>
    <m/>
    <m/>
    <m/>
    <x v="172"/>
    <m/>
  </r>
  <r>
    <n v="50554"/>
    <x v="20"/>
    <s v="WHATS"/>
    <n v="78879"/>
    <n v="897.75"/>
    <m/>
    <m/>
    <m/>
    <x v="172"/>
    <m/>
  </r>
  <r>
    <n v="690"/>
    <x v="19"/>
    <s v="WHATS"/>
    <n v="78876"/>
    <n v="318.8"/>
    <m/>
    <m/>
    <m/>
    <x v="172"/>
    <m/>
  </r>
  <r>
    <n v="3194"/>
    <x v="18"/>
    <s v="WHATS"/>
    <n v="78875"/>
    <n v="79.8"/>
    <m/>
    <m/>
    <m/>
    <x v="172"/>
    <m/>
  </r>
  <r>
    <n v="687"/>
    <x v="16"/>
    <s v="WHATS"/>
    <n v="78874"/>
    <n v="1284"/>
    <m/>
    <m/>
    <m/>
    <x v="172"/>
    <m/>
  </r>
  <r>
    <n v="432"/>
    <x v="43"/>
    <s v="WHATS"/>
    <n v="78489"/>
    <n v="4507.04"/>
    <m/>
    <m/>
    <m/>
    <x v="172"/>
    <m/>
  </r>
  <r>
    <n v="432"/>
    <x v="43"/>
    <s v="WHATS"/>
    <n v="99653"/>
    <n v="508.41"/>
    <m/>
    <m/>
    <m/>
    <x v="172"/>
    <m/>
  </r>
  <r>
    <n v="663"/>
    <x v="116"/>
    <s v="WHATS"/>
    <n v="99656"/>
    <n v="60.3"/>
    <m/>
    <m/>
    <m/>
    <x v="172"/>
    <m/>
  </r>
  <r>
    <n v="663"/>
    <x v="116"/>
    <s v="WHATS"/>
    <n v="78884"/>
    <n v="366.36"/>
    <m/>
    <m/>
    <m/>
    <x v="172"/>
    <m/>
  </r>
  <r>
    <n v="500243"/>
    <x v="110"/>
    <s v="WHATS"/>
    <n v="78893"/>
    <n v="520"/>
    <m/>
    <m/>
    <m/>
    <x v="173"/>
    <m/>
  </r>
  <r>
    <n v="2022"/>
    <x v="28"/>
    <s v="WHATS"/>
    <n v="78919"/>
    <n v="645"/>
    <m/>
    <m/>
    <m/>
    <x v="173"/>
    <m/>
  </r>
  <r>
    <n v="463"/>
    <x v="32"/>
    <s v="WHATS"/>
    <n v="78911"/>
    <n v="910.9"/>
    <m/>
    <m/>
    <m/>
    <x v="173"/>
    <m/>
  </r>
  <r>
    <n v="823"/>
    <x v="17"/>
    <s v="WHATS"/>
    <n v="75810"/>
    <n v="6868"/>
    <m/>
    <m/>
    <m/>
    <x v="173"/>
    <m/>
  </r>
  <r>
    <n v="1206"/>
    <x v="33"/>
    <s v="TEL"/>
    <n v="78939"/>
    <n v="1208.98"/>
    <m/>
    <m/>
    <m/>
    <x v="174"/>
    <m/>
  </r>
  <r>
    <n v="3077"/>
    <x v="10"/>
    <s v="TEL"/>
    <n v="78941"/>
    <n v="371.3"/>
    <m/>
    <m/>
    <m/>
    <x v="174"/>
    <m/>
  </r>
  <r>
    <n v="3077"/>
    <x v="10"/>
    <s v="TEL"/>
    <n v="99664"/>
    <n v="62.35"/>
    <m/>
    <m/>
    <m/>
    <x v="174"/>
    <m/>
  </r>
  <r>
    <n v="2980"/>
    <x v="40"/>
    <s v="WHATS"/>
    <n v="78974"/>
    <n v="476.75"/>
    <m/>
    <m/>
    <m/>
    <x v="175"/>
    <m/>
  </r>
  <r>
    <n v="516"/>
    <x v="11"/>
    <s v="WHATS"/>
    <n v="78970"/>
    <n v="9369"/>
    <m/>
    <m/>
    <m/>
    <x v="175"/>
    <m/>
  </r>
  <r>
    <n v="50558"/>
    <x v="2"/>
    <s v="EMAIL"/>
    <n v="78977"/>
    <n v="3512"/>
    <m/>
    <m/>
    <m/>
    <x v="175"/>
    <m/>
  </r>
  <r>
    <n v="0"/>
    <x v="0"/>
    <s v="WHATS"/>
    <n v="78718"/>
    <n v="259.27999999999997"/>
    <m/>
    <m/>
    <m/>
    <x v="175"/>
    <m/>
  </r>
  <r>
    <n v="1493"/>
    <x v="21"/>
    <s v="WHATS"/>
    <n v="79005"/>
    <n v="456.5"/>
    <m/>
    <m/>
    <m/>
    <x v="176"/>
    <m/>
  </r>
  <r>
    <n v="1158"/>
    <x v="117"/>
    <s v="WHATS"/>
    <n v="78690"/>
    <n v="218.95"/>
    <m/>
    <m/>
    <m/>
    <x v="176"/>
    <m/>
  </r>
  <r>
    <n v="1164"/>
    <x v="58"/>
    <s v="WHATS"/>
    <n v="79012"/>
    <n v="575.9"/>
    <m/>
    <m/>
    <m/>
    <x v="176"/>
    <m/>
  </r>
  <r>
    <n v="1164"/>
    <x v="58"/>
    <s v="WHATS"/>
    <n v="99677"/>
    <n v="112.59"/>
    <m/>
    <m/>
    <m/>
    <x v="176"/>
    <m/>
  </r>
  <r>
    <n v="50936"/>
    <x v="93"/>
    <s v="WHATS"/>
    <n v="78254"/>
    <n v="395"/>
    <m/>
    <m/>
    <m/>
    <x v="176"/>
    <m/>
  </r>
  <r>
    <n v="761"/>
    <x v="24"/>
    <s v="WHATS"/>
    <n v="78617"/>
    <n v="521.4"/>
    <m/>
    <m/>
    <m/>
    <x v="176"/>
    <m/>
  </r>
  <r>
    <n v="3190"/>
    <x v="60"/>
    <s v="WHATS"/>
    <n v="79027"/>
    <n v="1086.6500000000001"/>
    <m/>
    <m/>
    <m/>
    <x v="176"/>
    <m/>
  </r>
  <r>
    <n v="572"/>
    <x v="51"/>
    <s v="WHATS"/>
    <n v="79041"/>
    <n v="347.45"/>
    <m/>
    <m/>
    <m/>
    <x v="176"/>
    <m/>
  </r>
  <r>
    <n v="960"/>
    <x v="30"/>
    <s v="WHATS"/>
    <n v="79050"/>
    <n v="391.7"/>
    <m/>
    <m/>
    <m/>
    <x v="176"/>
    <m/>
  </r>
  <r>
    <n v="960"/>
    <x v="30"/>
    <s v="WHATS"/>
    <n v="99681"/>
    <n v="264"/>
    <m/>
    <m/>
    <m/>
    <x v="176"/>
    <m/>
  </r>
  <r>
    <n v="822"/>
    <x v="66"/>
    <s v="WHATS"/>
    <n v="99684"/>
    <n v="1660.67"/>
    <m/>
    <m/>
    <m/>
    <x v="176"/>
    <m/>
  </r>
  <r>
    <n v="822"/>
    <x v="66"/>
    <s v="WHATS"/>
    <n v="79056"/>
    <n v="1759"/>
    <m/>
    <m/>
    <m/>
    <x v="176"/>
    <m/>
  </r>
  <r>
    <n v="704"/>
    <x v="49"/>
    <s v="WHATS"/>
    <n v="99687"/>
    <n v="259.16000000000003"/>
    <m/>
    <m/>
    <m/>
    <x v="177"/>
    <m/>
  </r>
  <r>
    <n v="704"/>
    <x v="49"/>
    <s v="WHATS"/>
    <n v="79047"/>
    <n v="2125.91"/>
    <m/>
    <m/>
    <m/>
    <x v="177"/>
    <m/>
  </r>
  <r>
    <n v="741"/>
    <x v="85"/>
    <s v="WHATS"/>
    <n v="79076"/>
    <n v="159.9"/>
    <m/>
    <m/>
    <m/>
    <x v="177"/>
    <m/>
  </r>
  <r>
    <n v="741"/>
    <x v="85"/>
    <s v="WHATS"/>
    <n v="99690"/>
    <n v="78"/>
    <m/>
    <m/>
    <m/>
    <x v="177"/>
    <m/>
  </r>
  <r>
    <n v="1813"/>
    <x v="48"/>
    <s v="WHATS"/>
    <n v="79082"/>
    <n v="991"/>
    <m/>
    <m/>
    <m/>
    <x v="177"/>
    <m/>
  </r>
  <r>
    <n v="1016"/>
    <x v="101"/>
    <s v="TEL"/>
    <n v="79088"/>
    <n v="1294.4100000000001"/>
    <m/>
    <m/>
    <m/>
    <x v="177"/>
    <m/>
  </r>
  <r>
    <n v="3565"/>
    <x v="103"/>
    <s v="WHATS"/>
    <n v="79096"/>
    <n v="623.79999999999995"/>
    <m/>
    <m/>
    <m/>
    <x v="178"/>
    <m/>
  </r>
  <r>
    <n v="500245"/>
    <x v="118"/>
    <s v="WHATS"/>
    <n v="78808"/>
    <n v="237.44"/>
    <m/>
    <m/>
    <m/>
    <x v="178"/>
    <m/>
  </r>
  <r>
    <n v="2022"/>
    <x v="28"/>
    <s v="WHATS"/>
    <n v="79106"/>
    <n v="943.28"/>
    <m/>
    <m/>
    <m/>
    <x v="178"/>
    <m/>
  </r>
  <r>
    <n v="2022"/>
    <x v="28"/>
    <s v="WHATS"/>
    <n v="99694"/>
    <n v="215"/>
    <m/>
    <m/>
    <m/>
    <x v="178"/>
    <m/>
  </r>
  <r>
    <n v="335"/>
    <x v="9"/>
    <s v="WHATS"/>
    <n v="79073"/>
    <n v="311.2"/>
    <m/>
    <m/>
    <m/>
    <x v="178"/>
    <m/>
  </r>
  <r>
    <n v="1371"/>
    <x v="119"/>
    <s v="WHATS"/>
    <n v="79112"/>
    <n v="725.25"/>
    <m/>
    <m/>
    <m/>
    <x v="178"/>
    <m/>
  </r>
  <r>
    <n v="2752"/>
    <x v="120"/>
    <s v="WHATS"/>
    <n v="79022"/>
    <n v="281.89999999999998"/>
    <m/>
    <m/>
    <m/>
    <x v="178"/>
    <m/>
  </r>
  <r>
    <n v="432"/>
    <x v="43"/>
    <s v="WHATS"/>
    <n v="79133"/>
    <n v="3736.2"/>
    <m/>
    <m/>
    <m/>
    <x v="178"/>
    <m/>
  </r>
  <r>
    <n v="1164"/>
    <x v="58"/>
    <s v="WHATS"/>
    <n v="79147"/>
    <n v="1051.05"/>
    <m/>
    <m/>
    <m/>
    <x v="179"/>
    <m/>
  </r>
  <r>
    <n v="668"/>
    <x v="121"/>
    <s v="WHATS"/>
    <n v="79161"/>
    <n v="536.4"/>
    <m/>
    <m/>
    <m/>
    <x v="179"/>
    <m/>
  </r>
  <r>
    <n v="690"/>
    <x v="19"/>
    <s v="WHATS"/>
    <n v="79173"/>
    <n v="305.2"/>
    <m/>
    <m/>
    <m/>
    <x v="180"/>
    <m/>
  </r>
  <r>
    <n v="690"/>
    <x v="19"/>
    <s v="WHATS"/>
    <n v="99702"/>
    <n v="93.52"/>
    <m/>
    <m/>
    <m/>
    <x v="180"/>
    <m/>
  </r>
  <r>
    <n v="906"/>
    <x v="27"/>
    <s v="WHATS"/>
    <n v="99704"/>
    <n v="604.38"/>
    <m/>
    <m/>
    <m/>
    <x v="180"/>
    <m/>
  </r>
  <r>
    <n v="906"/>
    <x v="27"/>
    <s v="WHATS"/>
    <n v="79178"/>
    <n v="3712"/>
    <m/>
    <m/>
    <m/>
    <x v="180"/>
    <m/>
  </r>
  <r>
    <n v="3065"/>
    <x v="122"/>
    <s v="WHATS"/>
    <n v="79176"/>
    <n v="59.85"/>
    <m/>
    <m/>
    <m/>
    <x v="180"/>
    <m/>
  </r>
  <r>
    <n v="2397"/>
    <x v="6"/>
    <s v="WHATS"/>
    <n v="79119"/>
    <n v="483.4"/>
    <m/>
    <m/>
    <m/>
    <x v="180"/>
    <m/>
  </r>
  <r>
    <n v="687"/>
    <x v="16"/>
    <s v="WHATS"/>
    <n v="79198"/>
    <n v="860"/>
    <m/>
    <m/>
    <m/>
    <x v="180"/>
    <m/>
  </r>
  <r>
    <n v="687"/>
    <x v="16"/>
    <s v="WHATS"/>
    <n v="99705"/>
    <n v="243.25"/>
    <m/>
    <m/>
    <m/>
    <x v="180"/>
    <m/>
  </r>
  <r>
    <n v="475"/>
    <x v="23"/>
    <s v="EMAIL"/>
    <n v="78863"/>
    <n v="26810.799999999999"/>
    <m/>
    <m/>
    <m/>
    <x v="181"/>
    <m/>
  </r>
  <r>
    <n v="475"/>
    <x v="23"/>
    <s v="EMAIL"/>
    <n v="99707"/>
    <n v="2751.98"/>
    <m/>
    <m/>
    <m/>
    <x v="181"/>
    <m/>
  </r>
  <r>
    <n v="50497"/>
    <x v="77"/>
    <s v="WHATS"/>
    <n v="99595"/>
    <n v="177.2"/>
    <m/>
    <m/>
    <m/>
    <x v="181"/>
    <m/>
  </r>
  <r>
    <n v="1533"/>
    <x v="50"/>
    <s v="WHATS"/>
    <n v="99715"/>
    <n v="350.09"/>
    <m/>
    <m/>
    <m/>
    <x v="181"/>
    <m/>
  </r>
  <r>
    <n v="1533"/>
    <x v="50"/>
    <s v="WHATS"/>
    <n v="79212"/>
    <n v="360"/>
    <m/>
    <m/>
    <m/>
    <x v="181"/>
    <m/>
  </r>
  <r>
    <n v="761"/>
    <x v="24"/>
    <s v="WHATS"/>
    <n v="99657"/>
    <n v="270.35000000000002"/>
    <m/>
    <m/>
    <m/>
    <x v="181"/>
    <m/>
  </r>
  <r>
    <n v="761"/>
    <x v="24"/>
    <s v="WHATS"/>
    <n v="79222"/>
    <n v="12.8"/>
    <m/>
    <m/>
    <m/>
    <x v="181"/>
    <m/>
  </r>
  <r>
    <n v="741"/>
    <x v="85"/>
    <s v="WHATS"/>
    <n v="79227"/>
    <n v="128"/>
    <m/>
    <m/>
    <m/>
    <x v="181"/>
    <m/>
  </r>
  <r>
    <n v="1026"/>
    <x v="7"/>
    <s v="TEL"/>
    <n v="79247"/>
    <n v="1480"/>
    <m/>
    <m/>
    <m/>
    <x v="181"/>
    <m/>
  </r>
  <r>
    <n v="756"/>
    <x v="8"/>
    <s v="WHATS"/>
    <n v="79282"/>
    <n v="3413.6"/>
    <m/>
    <m/>
    <m/>
    <x v="182"/>
    <m/>
  </r>
  <r>
    <n v="1533"/>
    <x v="50"/>
    <s v="WHATS"/>
    <n v="99729"/>
    <n v="71.099999999999994"/>
    <m/>
    <m/>
    <m/>
    <x v="182"/>
    <m/>
  </r>
  <r>
    <n v="50418"/>
    <x v="35"/>
    <s v="WHATS"/>
    <n v="79294"/>
    <n v="879.7"/>
    <m/>
    <m/>
    <m/>
    <x v="182"/>
    <m/>
  </r>
  <r>
    <n v="2022"/>
    <x v="28"/>
    <s v="WHATS"/>
    <n v="79279"/>
    <n v="2946.95"/>
    <m/>
    <m/>
    <m/>
    <x v="182"/>
    <m/>
  </r>
  <r>
    <n v="480"/>
    <x v="39"/>
    <s v="WHATS"/>
    <n v="79303"/>
    <n v="1202.4000000000001"/>
    <m/>
    <m/>
    <m/>
    <x v="182"/>
    <m/>
  </r>
  <r>
    <n v="380"/>
    <x v="123"/>
    <s v="WHATS"/>
    <n v="99731"/>
    <n v="131.65"/>
    <m/>
    <m/>
    <m/>
    <x v="182"/>
    <m/>
  </r>
  <r>
    <n v="1842"/>
    <x v="47"/>
    <s v="WHATS"/>
    <n v="79306"/>
    <n v="888.38"/>
    <m/>
    <m/>
    <m/>
    <x v="182"/>
    <m/>
  </r>
  <r>
    <n v="1842"/>
    <x v="47"/>
    <s v="WHATS"/>
    <n v="99732"/>
    <n v="186.8"/>
    <m/>
    <m/>
    <m/>
    <x v="182"/>
    <m/>
  </r>
  <r>
    <n v="311"/>
    <x v="46"/>
    <s v="WHATS"/>
    <n v="79309"/>
    <n v="221.55"/>
    <m/>
    <m/>
    <m/>
    <x v="182"/>
    <m/>
  </r>
  <r>
    <n v="822"/>
    <x v="66"/>
    <s v="WHATS"/>
    <n v="65569"/>
    <n v="77.900000000000006"/>
    <m/>
    <m/>
    <m/>
    <x v="183"/>
    <m/>
  </r>
  <r>
    <n v="822"/>
    <x v="66"/>
    <s v="WHATS"/>
    <n v="79312"/>
    <n v="835.9"/>
    <m/>
    <m/>
    <m/>
    <x v="183"/>
    <m/>
  </r>
  <r>
    <n v="50728"/>
    <x v="84"/>
    <s v="WHATS"/>
    <n v="79322"/>
    <n v="1080"/>
    <m/>
    <m/>
    <m/>
    <x v="183"/>
    <m/>
  </r>
  <r>
    <n v="3077"/>
    <x v="10"/>
    <s v="TEL"/>
    <n v="79341"/>
    <n v="822.62"/>
    <m/>
    <m/>
    <m/>
    <x v="183"/>
    <m/>
  </r>
  <r>
    <n v="3077"/>
    <x v="10"/>
    <s v="TEL"/>
    <n v="99740"/>
    <n v="123"/>
    <m/>
    <m/>
    <m/>
    <x v="183"/>
    <m/>
  </r>
  <r>
    <n v="50576"/>
    <x v="37"/>
    <s v="WHATS"/>
    <n v="79364"/>
    <n v="2387.1"/>
    <m/>
    <m/>
    <m/>
    <x v="184"/>
    <m/>
  </r>
  <r>
    <n v="50526"/>
    <x v="38"/>
    <s v="WHATS"/>
    <n v="99744"/>
    <n v="261.2"/>
    <m/>
    <m/>
    <m/>
    <x v="184"/>
    <m/>
  </r>
  <r>
    <n v="474"/>
    <x v="98"/>
    <s v="WHATS"/>
    <n v="99747"/>
    <n v="384.4"/>
    <m/>
    <m/>
    <m/>
    <x v="184"/>
    <m/>
  </r>
  <r>
    <n v="474"/>
    <x v="98"/>
    <s v="WHATS"/>
    <n v="79371"/>
    <n v="216.31"/>
    <m/>
    <m/>
    <m/>
    <x v="184"/>
    <m/>
  </r>
  <r>
    <n v="2702"/>
    <x v="73"/>
    <s v="WHATS"/>
    <n v="79393"/>
    <n v="1810"/>
    <m/>
    <m/>
    <m/>
    <x v="10"/>
    <m/>
  </r>
  <r>
    <n v="784"/>
    <x v="13"/>
    <s v="WHATS"/>
    <n v="78640"/>
    <n v="234"/>
    <m/>
    <m/>
    <m/>
    <x v="10"/>
    <m/>
  </r>
  <r>
    <n v="50219"/>
    <x v="14"/>
    <s v="WHATS"/>
    <n v="79400"/>
    <n v="987.35"/>
    <m/>
    <m/>
    <m/>
    <x v="10"/>
    <m/>
  </r>
  <r>
    <n v="50222"/>
    <x v="89"/>
    <s v="WHATS"/>
    <n v="99759"/>
    <n v="191.35"/>
    <m/>
    <m/>
    <m/>
    <x v="10"/>
    <m/>
  </r>
  <r>
    <n v="1493"/>
    <x v="21"/>
    <s v="WHATS"/>
    <n v="79401"/>
    <n v="865.5"/>
    <m/>
    <m/>
    <m/>
    <x v="10"/>
    <m/>
  </r>
  <r>
    <n v="1652"/>
    <x v="61"/>
    <s v="TEL"/>
    <n v="79160"/>
    <n v="794.9"/>
    <m/>
    <m/>
    <m/>
    <x v="185"/>
    <m/>
  </r>
  <r>
    <n v="1652"/>
    <x v="61"/>
    <s v="TEL"/>
    <n v="99703"/>
    <n v="165.9"/>
    <m/>
    <m/>
    <m/>
    <x v="185"/>
    <m/>
  </r>
  <r>
    <n v="432"/>
    <x v="43"/>
    <s v="WHATS"/>
    <n v="79444"/>
    <n v="1795.9"/>
    <m/>
    <m/>
    <m/>
    <x v="185"/>
    <m/>
  </r>
  <r>
    <n v="1164"/>
    <x v="58"/>
    <s v="WHATS"/>
    <n v="79427"/>
    <n v="521.57000000000005"/>
    <m/>
    <m/>
    <m/>
    <x v="185"/>
    <m/>
  </r>
  <r>
    <n v="3153"/>
    <x v="12"/>
    <s v="WHATS"/>
    <n v="79448"/>
    <n v="1364.8"/>
    <m/>
    <m/>
    <m/>
    <x v="185"/>
    <m/>
  </r>
  <r>
    <n v="575"/>
    <x v="45"/>
    <s v="WHATS"/>
    <n v="79438"/>
    <n v="1207.68"/>
    <m/>
    <m/>
    <m/>
    <x v="185"/>
    <m/>
  </r>
  <r>
    <n v="756"/>
    <x v="8"/>
    <s v="WHATS"/>
    <s v="79282/79357"/>
    <n v="1617.88"/>
    <m/>
    <m/>
    <m/>
    <x v="185"/>
    <m/>
  </r>
  <r>
    <n v="823"/>
    <x v="17"/>
    <s v="TEL"/>
    <n v="78973"/>
    <n v="7630.75"/>
    <m/>
    <m/>
    <m/>
    <x v="186"/>
    <m/>
  </r>
  <r>
    <n v="823"/>
    <x v="17"/>
    <s v="TEL"/>
    <n v="99742"/>
    <n v="791.15"/>
    <m/>
    <m/>
    <m/>
    <x v="186"/>
    <m/>
  </r>
  <r>
    <n v="784"/>
    <x v="13"/>
    <s v="WHATS"/>
    <n v="79481"/>
    <n v="4157.2"/>
    <m/>
    <m/>
    <m/>
    <x v="186"/>
    <m/>
  </r>
  <r>
    <n v="475"/>
    <x v="23"/>
    <s v="WHATS"/>
    <s v="78863/78834/79493"/>
    <n v="2976.01"/>
    <m/>
    <m/>
    <m/>
    <x v="186"/>
    <m/>
  </r>
  <r>
    <n v="50554"/>
    <x v="20"/>
    <s v="WHATS"/>
    <n v="78770"/>
    <n v="189"/>
    <m/>
    <m/>
    <m/>
    <x v="186"/>
    <m/>
  </r>
  <r>
    <n v="690"/>
    <x v="19"/>
    <s v="WHATS"/>
    <n v="78771"/>
    <n v="189"/>
    <m/>
    <m/>
    <m/>
    <x v="186"/>
    <m/>
  </r>
  <r>
    <n v="1989"/>
    <x v="67"/>
    <s v="WHATS"/>
    <n v="78769"/>
    <n v="606.12"/>
    <m/>
    <m/>
    <m/>
    <x v="186"/>
    <m/>
  </r>
  <r>
    <n v="2911"/>
    <x v="15"/>
    <s v="WHATS"/>
    <n v="79527"/>
    <n v="1482.8"/>
    <m/>
    <m/>
    <m/>
    <x v="187"/>
    <m/>
  </r>
  <r>
    <n v="1726"/>
    <x v="34"/>
    <s v="EMAIL"/>
    <n v="79313"/>
    <m/>
    <n v="79313"/>
    <n v="3460.99"/>
    <m/>
    <x v="188"/>
    <m/>
  </r>
  <r>
    <n v="761"/>
    <x v="24"/>
    <s v="WHATS"/>
    <n v="79543"/>
    <n v="236"/>
    <m/>
    <m/>
    <m/>
    <x v="188"/>
    <m/>
  </r>
  <r>
    <n v="761"/>
    <x v="24"/>
    <s v="WHATS"/>
    <n v="99789"/>
    <n v="172"/>
    <m/>
    <m/>
    <m/>
    <x v="188"/>
    <m/>
  </r>
  <r>
    <n v="746"/>
    <x v="3"/>
    <s v="TEL"/>
    <n v="79557"/>
    <n v="5985.82"/>
    <m/>
    <m/>
    <m/>
    <x v="188"/>
    <m/>
  </r>
  <r>
    <n v="746"/>
    <x v="3"/>
    <s v="TEL"/>
    <n v="99794"/>
    <n v="273.05"/>
    <m/>
    <m/>
    <m/>
    <x v="188"/>
    <m/>
  </r>
  <r>
    <n v="690"/>
    <x v="19"/>
    <s v="TEL"/>
    <n v="99799"/>
    <n v="885.5"/>
    <m/>
    <m/>
    <m/>
    <x v="189"/>
    <m/>
  </r>
  <r>
    <n v="690"/>
    <x v="19"/>
    <s v="TEL"/>
    <n v="79590"/>
    <n v="1342.25"/>
    <m/>
    <m/>
    <m/>
    <x v="189"/>
    <m/>
  </r>
  <r>
    <n v="50497"/>
    <x v="77"/>
    <s v="TEL"/>
    <n v="99802"/>
    <n v="1303.2"/>
    <m/>
    <m/>
    <m/>
    <x v="189"/>
    <m/>
  </r>
  <r>
    <n v="50554"/>
    <x v="20"/>
    <s v="TEL"/>
    <n v="79600"/>
    <n v="3625.25"/>
    <m/>
    <m/>
    <m/>
    <x v="189"/>
    <m/>
  </r>
  <r>
    <n v="618"/>
    <x v="26"/>
    <s v="WHATS"/>
    <n v="79532"/>
    <n v="4224.91"/>
    <m/>
    <m/>
    <m/>
    <x v="189"/>
    <m/>
  </r>
  <r>
    <n v="1971"/>
    <x v="29"/>
    <s v="WHATS"/>
    <n v="79612"/>
    <n v="537.4"/>
    <m/>
    <m/>
    <m/>
    <x v="189"/>
    <m/>
  </r>
  <r>
    <n v="325"/>
    <x v="97"/>
    <s v="WHATS"/>
    <n v="79630"/>
    <n v="851.1"/>
    <m/>
    <m/>
    <m/>
    <x v="189"/>
    <m/>
  </r>
  <r>
    <n v="325"/>
    <x v="97"/>
    <s v="WHATS"/>
    <n v="99808"/>
    <n v="60.3"/>
    <m/>
    <m/>
    <m/>
    <x v="189"/>
    <m/>
  </r>
  <r>
    <n v="432"/>
    <x v="43"/>
    <s v="WHATS"/>
    <n v="79513"/>
    <n v="773.6"/>
    <m/>
    <m/>
    <m/>
    <x v="189"/>
    <m/>
  </r>
  <r>
    <n v="1122"/>
    <x v="87"/>
    <s v="EMAIL"/>
    <n v="79649"/>
    <n v="4321.5"/>
    <m/>
    <m/>
    <m/>
    <x v="189"/>
    <m/>
  </r>
  <r>
    <n v="1122"/>
    <x v="87"/>
    <s v="EMAIL"/>
    <n v="79654"/>
    <n v="1784.7"/>
    <m/>
    <m/>
    <m/>
    <x v="189"/>
    <m/>
  </r>
  <r>
    <n v="1726"/>
    <x v="34"/>
    <s v="EMAIL"/>
    <m/>
    <m/>
    <n v="79645"/>
    <n v="2520"/>
    <m/>
    <x v="189"/>
    <m/>
  </r>
  <r>
    <n v="516"/>
    <x v="11"/>
    <s v="WHATS"/>
    <n v="79668"/>
    <n v="48.1"/>
    <m/>
    <m/>
    <m/>
    <x v="189"/>
    <m/>
  </r>
  <r>
    <n v="3475"/>
    <x v="59"/>
    <s v="WHATS"/>
    <n v="79688"/>
    <n v="604.79999999999995"/>
    <m/>
    <m/>
    <m/>
    <x v="190"/>
    <m/>
  </r>
  <r>
    <n v="50576"/>
    <x v="37"/>
    <s v="WHATS"/>
    <s v="79364/79691"/>
    <n v="956.65"/>
    <m/>
    <m/>
    <m/>
    <x v="190"/>
    <m/>
  </r>
  <r>
    <n v="2022"/>
    <x v="28"/>
    <s v="WHATS"/>
    <n v="79279"/>
    <n v="930.05"/>
    <m/>
    <m/>
    <m/>
    <x v="190"/>
    <m/>
  </r>
  <r>
    <n v="3018"/>
    <x v="64"/>
    <s v="WHATS"/>
    <n v="79713"/>
    <n v="1131.5"/>
    <m/>
    <m/>
    <m/>
    <x v="190"/>
    <m/>
  </r>
  <r>
    <n v="3194"/>
    <x v="18"/>
    <s v="TEL"/>
    <n v="78764"/>
    <n v="1644.1"/>
    <m/>
    <m/>
    <m/>
    <x v="190"/>
    <m/>
  </r>
  <r>
    <n v="772"/>
    <x v="71"/>
    <s v="WHATS"/>
    <n v="99831"/>
    <n v="314.10000000000002"/>
    <m/>
    <m/>
    <m/>
    <x v="190"/>
    <m/>
  </r>
  <r>
    <n v="772"/>
    <x v="71"/>
    <s v="WHATS"/>
    <n v="79725"/>
    <n v="986.9"/>
    <m/>
    <m/>
    <m/>
    <x v="190"/>
    <m/>
  </r>
  <r>
    <n v="475"/>
    <x v="23"/>
    <s v="WHATS"/>
    <s v="78834/78231/78863"/>
    <n v="4332.6099999999997"/>
    <m/>
    <m/>
    <m/>
    <x v="191"/>
    <m/>
  </r>
  <r>
    <n v="516"/>
    <x v="11"/>
    <s v="WHATS"/>
    <n v="79535"/>
    <n v="3527.5"/>
    <m/>
    <m/>
    <m/>
    <x v="191"/>
    <m/>
  </r>
  <r>
    <n v="432"/>
    <x v="43"/>
    <s v="WHATS"/>
    <n v="79709"/>
    <n v="1128"/>
    <m/>
    <m/>
    <m/>
    <x v="191"/>
    <m/>
  </r>
  <r>
    <n v="1041"/>
    <x v="78"/>
    <s v="WHATS"/>
    <n v="99637"/>
    <n v="187.5"/>
    <m/>
    <m/>
    <m/>
    <x v="191"/>
    <m/>
  </r>
  <r>
    <n v="3240"/>
    <x v="75"/>
    <s v="WHATS"/>
    <n v="99835"/>
    <n v="225.15"/>
    <m/>
    <m/>
    <m/>
    <x v="191"/>
    <m/>
  </r>
  <r>
    <n v="3240"/>
    <x v="75"/>
    <s v="WHATS"/>
    <n v="79746"/>
    <n v="1259.55"/>
    <m/>
    <m/>
    <m/>
    <x v="191"/>
    <m/>
  </r>
  <r>
    <n v="3017"/>
    <x v="62"/>
    <s v="WHATS"/>
    <n v="79759"/>
    <n v="1168.8399999999999"/>
    <m/>
    <m/>
    <m/>
    <x v="191"/>
    <m/>
  </r>
  <r>
    <n v="1533"/>
    <x v="50"/>
    <s v="WHATS"/>
    <n v="79774"/>
    <n v="877"/>
    <m/>
    <m/>
    <m/>
    <x v="192"/>
    <m/>
  </r>
  <r>
    <n v="3077"/>
    <x v="10"/>
    <s v="TEL"/>
    <n v="79775"/>
    <n v="1707.74"/>
    <m/>
    <m/>
    <m/>
    <x v="192"/>
    <m/>
  </r>
  <r>
    <n v="3077"/>
    <x v="10"/>
    <s v="TEL"/>
    <n v="99839"/>
    <n v="266.67"/>
    <m/>
    <m/>
    <m/>
    <x v="192"/>
    <m/>
  </r>
  <r>
    <n v="1164"/>
    <x v="58"/>
    <s v="WHATS"/>
    <n v="99764"/>
    <n v="71.349999999999994"/>
    <m/>
    <m/>
    <m/>
    <x v="192"/>
    <m/>
  </r>
  <r>
    <n v="1164"/>
    <x v="58"/>
    <s v="WHATS"/>
    <n v="79786"/>
    <n v="1195.49"/>
    <m/>
    <m/>
    <m/>
    <x v="192"/>
    <m/>
  </r>
  <r>
    <n v="762"/>
    <x v="41"/>
    <s v="EMAIL"/>
    <n v="78604"/>
    <n v="2108.16"/>
    <m/>
    <m/>
    <m/>
    <x v="192"/>
    <m/>
  </r>
  <r>
    <n v="2022"/>
    <x v="28"/>
    <s v="TEL"/>
    <s v="79279/79805"/>
    <n v="479.22"/>
    <m/>
    <m/>
    <m/>
    <x v="193"/>
    <m/>
  </r>
  <r>
    <n v="708"/>
    <x v="56"/>
    <s v="WHATS"/>
    <n v="79825"/>
    <n v="2272.5"/>
    <m/>
    <m/>
    <m/>
    <x v="193"/>
    <m/>
  </r>
  <r>
    <n v="705"/>
    <x v="1"/>
    <s v="WHATS"/>
    <n v="99855"/>
    <n v="849.2"/>
    <m/>
    <m/>
    <m/>
    <x v="194"/>
    <m/>
  </r>
  <r>
    <n v="725"/>
    <x v="65"/>
    <s v="WHATS"/>
    <n v="79849"/>
    <n v="397.7"/>
    <m/>
    <m/>
    <m/>
    <x v="194"/>
    <m/>
  </r>
  <r>
    <n v="762"/>
    <x v="41"/>
    <s v="EMAIL"/>
    <n v="79852"/>
    <n v="14066.4"/>
    <m/>
    <m/>
    <m/>
    <x v="194"/>
    <m/>
  </r>
  <r>
    <n v="761"/>
    <x v="24"/>
    <s v="WHATS"/>
    <n v="99857"/>
    <n v="189.05"/>
    <m/>
    <m/>
    <m/>
    <x v="194"/>
    <m/>
  </r>
  <r>
    <n v="756"/>
    <x v="8"/>
    <s v="WHATS"/>
    <n v="79858"/>
    <n v="1201.94"/>
    <m/>
    <m/>
    <m/>
    <x v="194"/>
    <m/>
  </r>
  <r>
    <n v="171"/>
    <x v="70"/>
    <s v="WHATS"/>
    <n v="79678"/>
    <n v="856.55"/>
    <m/>
    <m/>
    <m/>
    <x v="194"/>
    <m/>
  </r>
  <r>
    <n v="725"/>
    <x v="65"/>
    <s v="WHATS"/>
    <n v="79865"/>
    <n v="410.85"/>
    <m/>
    <m/>
    <m/>
    <x v="194"/>
    <m/>
  </r>
  <r>
    <n v="705"/>
    <x v="1"/>
    <s v="TEL"/>
    <n v="79867"/>
    <n v="59.9"/>
    <m/>
    <m/>
    <m/>
    <x v="194"/>
    <m/>
  </r>
  <r>
    <n v="1813"/>
    <x v="48"/>
    <s v="WHATS"/>
    <n v="79872"/>
    <n v="661.75"/>
    <m/>
    <m/>
    <m/>
    <x v="194"/>
    <m/>
  </r>
  <r>
    <n v="463"/>
    <x v="32"/>
    <s v="WHATS"/>
    <n v="79875"/>
    <n v="917.2"/>
    <m/>
    <m/>
    <m/>
    <x v="194"/>
    <m/>
  </r>
  <r>
    <n v="1206"/>
    <x v="33"/>
    <s v="WHATS"/>
    <n v="79879"/>
    <n v="1097.79"/>
    <m/>
    <m/>
    <m/>
    <x v="194"/>
    <m/>
  </r>
  <r>
    <n v="1742"/>
    <x v="81"/>
    <s v="WHATS"/>
    <n v="79892"/>
    <n v="602.20000000000005"/>
    <m/>
    <m/>
    <m/>
    <x v="195"/>
    <m/>
  </r>
  <r>
    <n v="1026"/>
    <x v="7"/>
    <s v="WHATS"/>
    <s v="79247/79565"/>
    <n v="1070.2"/>
    <m/>
    <m/>
    <m/>
    <x v="195"/>
    <m/>
  </r>
  <r>
    <n v="432"/>
    <x v="43"/>
    <s v="WHATS"/>
    <n v="99861"/>
    <n v="743.52"/>
    <m/>
    <m/>
    <m/>
    <x v="195"/>
    <m/>
  </r>
  <r>
    <n v="432"/>
    <x v="43"/>
    <s v="WHATS"/>
    <n v="79888"/>
    <n v="3622.59"/>
    <m/>
    <m/>
    <m/>
    <x v="195"/>
    <m/>
  </r>
  <r>
    <n v="2163"/>
    <x v="36"/>
    <s v="WHATS"/>
    <n v="79908"/>
    <n v="2654.22"/>
    <m/>
    <m/>
    <m/>
    <x v="195"/>
    <m/>
  </r>
  <r>
    <n v="960"/>
    <x v="30"/>
    <s v="WHATS"/>
    <n v="79901"/>
    <n v="769.45"/>
    <m/>
    <m/>
    <m/>
    <x v="195"/>
    <m/>
  </r>
  <r>
    <n v="705"/>
    <x v="1"/>
    <s v="WHATS"/>
    <n v="79918"/>
    <n v="138.9"/>
    <m/>
    <m/>
    <m/>
    <x v="195"/>
    <m/>
  </r>
  <r>
    <n v="572"/>
    <x v="51"/>
    <s v="WHATS"/>
    <n v="79917"/>
    <n v="1156.8499999999999"/>
    <m/>
    <m/>
    <m/>
    <x v="195"/>
    <m/>
  </r>
  <r>
    <n v="50576"/>
    <x v="37"/>
    <s v="WHATS"/>
    <n v="79936"/>
    <n v="2510.54"/>
    <m/>
    <m/>
    <m/>
    <x v="196"/>
    <m/>
  </r>
  <r>
    <n v="50526"/>
    <x v="38"/>
    <s v="WHATS"/>
    <n v="99866"/>
    <n v="522.4"/>
    <m/>
    <m/>
    <m/>
    <x v="196"/>
    <m/>
  </r>
  <r>
    <n v="1971"/>
    <x v="29"/>
    <s v="WHATS"/>
    <n v="79930"/>
    <n v="71.89"/>
    <m/>
    <m/>
    <m/>
    <x v="196"/>
    <m/>
  </r>
  <r>
    <n v="51042"/>
    <x v="106"/>
    <s v="WHATS"/>
    <n v="79941"/>
    <n v="259.06"/>
    <m/>
    <m/>
    <m/>
    <x v="196"/>
    <m/>
  </r>
  <r>
    <n v="50941"/>
    <x v="0"/>
    <s v="WHATS"/>
    <n v="99868"/>
    <n v="69.400000000000006"/>
    <m/>
    <m/>
    <m/>
    <x v="196"/>
    <m/>
  </r>
  <r>
    <n v="705"/>
    <x v="1"/>
    <s v="WHATS"/>
    <n v="79948"/>
    <n v="392.9"/>
    <m/>
    <m/>
    <m/>
    <x v="196"/>
    <m/>
  </r>
  <r>
    <n v="516"/>
    <x v="11"/>
    <s v="EMAIL"/>
    <n v="79800"/>
    <n v="8889.9"/>
    <m/>
    <m/>
    <m/>
    <x v="196"/>
    <m/>
  </r>
  <r>
    <n v="1788"/>
    <x v="91"/>
    <s v="WHATS"/>
    <n v="79987"/>
    <n v="1185.4000000000001"/>
    <m/>
    <m/>
    <m/>
    <x v="197"/>
    <m/>
  </r>
  <r>
    <n v="2022"/>
    <x v="28"/>
    <s v="WHATS"/>
    <n v="79997"/>
    <n v="1442.46"/>
    <m/>
    <m/>
    <m/>
    <x v="197"/>
    <m/>
  </r>
  <r>
    <n v="475"/>
    <x v="23"/>
    <s v="EMAIL"/>
    <n v="80001"/>
    <n v="16886.259999999998"/>
    <m/>
    <m/>
    <m/>
    <x v="197"/>
    <m/>
  </r>
  <r>
    <n v="311"/>
    <x v="46"/>
    <s v="WHATS"/>
    <n v="80010"/>
    <n v="285.95"/>
    <m/>
    <m/>
    <m/>
    <x v="197"/>
    <m/>
  </r>
  <r>
    <n v="3190"/>
    <x v="60"/>
    <s v="WHATS"/>
    <n v="80016"/>
    <n v="225.68"/>
    <m/>
    <m/>
    <m/>
    <x v="198"/>
    <m/>
  </r>
  <r>
    <n v="1240"/>
    <x v="25"/>
    <s v="WHATS"/>
    <n v="80023"/>
    <n v="1059.4000000000001"/>
    <m/>
    <m/>
    <m/>
    <x v="198"/>
    <m/>
  </r>
  <r>
    <n v="2415"/>
    <x v="63"/>
    <s v="WHATS"/>
    <n v="80026"/>
    <n v="3241.5"/>
    <m/>
    <m/>
    <m/>
    <x v="198"/>
    <m/>
  </r>
  <r>
    <n v="364"/>
    <x v="31"/>
    <s v="WHATS"/>
    <n v="79954"/>
    <n v="590.79999999999995"/>
    <m/>
    <m/>
    <m/>
    <x v="198"/>
    <m/>
  </r>
  <r>
    <n v="364"/>
    <x v="31"/>
    <s v="WHATS"/>
    <n v="99877"/>
    <n v="123"/>
    <m/>
    <m/>
    <m/>
    <x v="198"/>
    <m/>
  </r>
  <r>
    <n v="3245"/>
    <x v="95"/>
    <s v="WHATS"/>
    <n v="80031"/>
    <n v="815.1"/>
    <m/>
    <m/>
    <m/>
    <x v="198"/>
    <m/>
  </r>
  <r>
    <n v="1164"/>
    <x v="58"/>
    <s v="WHATS"/>
    <n v="80036"/>
    <n v="614.20000000000005"/>
    <m/>
    <m/>
    <m/>
    <x v="198"/>
    <m/>
  </r>
  <r>
    <n v="1164"/>
    <x v="58"/>
    <s v="WHATS"/>
    <n v="99878"/>
    <n v="71.099999999999994"/>
    <m/>
    <m/>
    <m/>
    <x v="198"/>
    <m/>
  </r>
  <r>
    <n v="1623"/>
    <x v="57"/>
    <s v="WHATS"/>
    <n v="80043"/>
    <n v="4246.0200000000004"/>
    <m/>
    <m/>
    <m/>
    <x v="198"/>
    <m/>
  </r>
  <r>
    <n v="1206"/>
    <x v="33"/>
    <s v="WHATS"/>
    <n v="80049"/>
    <n v="677.1"/>
    <m/>
    <m/>
    <m/>
    <x v="198"/>
    <m/>
  </r>
  <r>
    <n v="705"/>
    <x v="1"/>
    <s v="WHATS"/>
    <n v="80058"/>
    <n v="1107"/>
    <m/>
    <m/>
    <m/>
    <x v="198"/>
    <m/>
  </r>
  <r>
    <n v="480"/>
    <x v="39"/>
    <s v="WHATS"/>
    <n v="80063"/>
    <n v="3466.35"/>
    <m/>
    <m/>
    <m/>
    <x v="198"/>
    <m/>
  </r>
  <r>
    <n v="480"/>
    <x v="39"/>
    <s v="WHATS"/>
    <n v="99886"/>
    <n v="60.55"/>
    <m/>
    <m/>
    <m/>
    <x v="198"/>
    <m/>
  </r>
  <r>
    <n v="687"/>
    <x v="16"/>
    <s v="WHATS"/>
    <n v="80073"/>
    <n v="1808.2"/>
    <m/>
    <m/>
    <m/>
    <x v="198"/>
    <m/>
  </r>
  <r>
    <n v="906"/>
    <x v="27"/>
    <s v="WHATS"/>
    <n v="99887"/>
    <n v="420.72"/>
    <m/>
    <m/>
    <m/>
    <x v="198"/>
    <m/>
  </r>
  <r>
    <n v="906"/>
    <x v="27"/>
    <s v="WHATS"/>
    <n v="80077"/>
    <n v="3127.5"/>
    <m/>
    <m/>
    <m/>
    <x v="198"/>
    <m/>
  </r>
  <r>
    <n v="432"/>
    <x v="43"/>
    <s v="WHATS"/>
    <n v="80080"/>
    <n v="967.5"/>
    <m/>
    <m/>
    <m/>
    <x v="198"/>
    <m/>
  </r>
  <r>
    <n v="1502"/>
    <x v="76"/>
    <s v="WHATS"/>
    <n v="80076"/>
    <n v="4095.82"/>
    <m/>
    <m/>
    <m/>
    <x v="198"/>
    <m/>
  </r>
  <r>
    <n v="784"/>
    <x v="13"/>
    <s v="WHATS"/>
    <s v="79734/77533"/>
    <n v="461.6"/>
    <m/>
    <m/>
    <m/>
    <x v="199"/>
    <m/>
  </r>
  <r>
    <n v="364"/>
    <x v="31"/>
    <s v="TEL"/>
    <n v="80115"/>
    <n v="431.52"/>
    <m/>
    <m/>
    <m/>
    <x v="199"/>
    <m/>
  </r>
  <r>
    <n v="1016"/>
    <x v="101"/>
    <s v="TEL"/>
    <n v="99904"/>
    <n v="1134"/>
    <m/>
    <m/>
    <m/>
    <x v="199"/>
    <m/>
  </r>
  <r>
    <n v="1016"/>
    <x v="101"/>
    <s v="TEL"/>
    <n v="80215"/>
    <n v="527"/>
    <m/>
    <m/>
    <m/>
    <x v="199"/>
    <m/>
  </r>
  <r>
    <n v="50554"/>
    <x v="20"/>
    <s v="TEL"/>
    <n v="80150"/>
    <n v="5986.5"/>
    <m/>
    <m/>
    <m/>
    <x v="199"/>
    <m/>
  </r>
  <r>
    <n v="500248"/>
    <x v="0"/>
    <s v="WHATS"/>
    <n v="80110"/>
    <n v="1507.25"/>
    <m/>
    <m/>
    <m/>
    <x v="199"/>
    <m/>
  </r>
  <r>
    <n v="1623"/>
    <x v="57"/>
    <s v="TEL"/>
    <m/>
    <m/>
    <n v="80173"/>
    <n v="4200"/>
    <m/>
    <x v="200"/>
    <m/>
  </r>
  <r>
    <n v="475"/>
    <x v="23"/>
    <s v="EMAIL"/>
    <n v="80175"/>
    <n v="3301.84"/>
    <m/>
    <m/>
    <m/>
    <x v="200"/>
    <m/>
  </r>
  <r>
    <n v="475"/>
    <x v="23"/>
    <s v="EMAIL"/>
    <n v="99872"/>
    <n v="802.05"/>
    <m/>
    <m/>
    <m/>
    <x v="200"/>
    <m/>
  </r>
  <r>
    <n v="3565"/>
    <x v="103"/>
    <s v="WHATS"/>
    <n v="80177"/>
    <n v="401.35"/>
    <m/>
    <m/>
    <m/>
    <x v="200"/>
    <m/>
  </r>
  <r>
    <n v="475"/>
    <x v="23"/>
    <s v="WHATS"/>
    <n v="80198"/>
    <n v="2150.7600000000002"/>
    <m/>
    <m/>
    <m/>
    <x v="200"/>
    <m/>
  </r>
  <r>
    <n v="311"/>
    <x v="46"/>
    <s v="WHATS"/>
    <n v="80192"/>
    <n v="1391.15"/>
    <m/>
    <m/>
    <m/>
    <x v="200"/>
    <m/>
  </r>
  <r>
    <n v="311"/>
    <x v="46"/>
    <s v="TEL"/>
    <n v="99911"/>
    <n v="183.25"/>
    <m/>
    <m/>
    <m/>
    <x v="200"/>
    <m/>
  </r>
  <r>
    <n v="50418"/>
    <x v="35"/>
    <s v="WHATS"/>
    <n v="80181"/>
    <n v="1578.95"/>
    <m/>
    <m/>
    <m/>
    <x v="200"/>
    <m/>
  </r>
  <r>
    <n v="432"/>
    <x v="43"/>
    <s v="WHATS"/>
    <n v="80080"/>
    <n v="967.5"/>
    <m/>
    <m/>
    <m/>
    <x v="200"/>
    <m/>
  </r>
  <r>
    <n v="463"/>
    <x v="32"/>
    <s v="WHATS"/>
    <n v="80221"/>
    <n v="1124.17"/>
    <m/>
    <m/>
    <m/>
    <x v="200"/>
    <m/>
  </r>
  <r>
    <n v="432"/>
    <x v="43"/>
    <s v="WHATS"/>
    <n v="80222"/>
    <n v="2385"/>
    <m/>
    <m/>
    <m/>
    <x v="201"/>
    <m/>
  </r>
  <r>
    <n v="2702"/>
    <x v="73"/>
    <s v="WHATS"/>
    <n v="80230"/>
    <n v="2071.9"/>
    <m/>
    <m/>
    <m/>
    <x v="201"/>
    <m/>
  </r>
  <r>
    <n v="1533"/>
    <x v="50"/>
    <s v="WHATS"/>
    <n v="80242"/>
    <n v="1133.8"/>
    <m/>
    <m/>
    <m/>
    <x v="201"/>
    <m/>
  </r>
  <r>
    <n v="784"/>
    <x v="13"/>
    <s v="EMAIL"/>
    <n v="80245"/>
    <n v="3896.95"/>
    <m/>
    <m/>
    <m/>
    <x v="201"/>
    <m/>
  </r>
  <r>
    <n v="2022"/>
    <x v="28"/>
    <s v="WHATS"/>
    <n v="80261"/>
    <n v="109.84"/>
    <m/>
    <m/>
    <m/>
    <x v="201"/>
    <m/>
  </r>
  <r>
    <n v="1164"/>
    <x v="58"/>
    <s v="TEL"/>
    <n v="99900"/>
    <n v="177.78"/>
    <m/>
    <m/>
    <m/>
    <x v="201"/>
    <m/>
  </r>
  <r>
    <n v="1164"/>
    <x v="58"/>
    <s v="TEL"/>
    <n v="80262"/>
    <n v="74.849999999999994"/>
    <m/>
    <m/>
    <m/>
    <x v="201"/>
    <m/>
  </r>
  <r>
    <n v="1623"/>
    <x v="57"/>
    <s v="TEL"/>
    <n v="80271"/>
    <n v="1945.8"/>
    <m/>
    <m/>
    <m/>
    <x v="201"/>
    <m/>
  </r>
  <r>
    <n v="50554"/>
    <x v="20"/>
    <s v="TEL"/>
    <n v="80234"/>
    <n v="31049.4"/>
    <m/>
    <m/>
    <m/>
    <x v="201"/>
    <m/>
  </r>
  <r>
    <n v="762"/>
    <x v="41"/>
    <s v="EMAIL"/>
    <n v="80279"/>
    <n v="14337.32"/>
    <m/>
    <m/>
    <m/>
    <x v="201"/>
    <m/>
  </r>
  <r>
    <n v="772"/>
    <x v="71"/>
    <s v="WHATS"/>
    <n v="99935"/>
    <n v="80.400000000000006"/>
    <m/>
    <m/>
    <m/>
    <x v="201"/>
    <m/>
  </r>
  <r>
    <n v="772"/>
    <x v="71"/>
    <s v="WHATS"/>
    <n v="80258"/>
    <n v="989.2"/>
    <m/>
    <m/>
    <m/>
    <x v="201"/>
    <m/>
  </r>
  <r>
    <n v="3041"/>
    <x v="0"/>
    <s v="WHATS"/>
    <n v="80283"/>
    <n v="851.8"/>
    <m/>
    <m/>
    <m/>
    <x v="202"/>
    <m/>
  </r>
  <r>
    <n v="704"/>
    <x v="49"/>
    <s v="WHATS"/>
    <n v="80294"/>
    <n v="775.5"/>
    <m/>
    <m/>
    <m/>
    <x v="202"/>
    <m/>
  </r>
  <r>
    <n v="1971"/>
    <x v="29"/>
    <s v="WHATS"/>
    <n v="80298"/>
    <n v="512.04999999999995"/>
    <m/>
    <m/>
    <m/>
    <x v="202"/>
    <m/>
  </r>
  <r>
    <n v="717"/>
    <x v="0"/>
    <s v="WHATS"/>
    <n v="80322"/>
    <n v="210.4"/>
    <m/>
    <m/>
    <m/>
    <x v="202"/>
    <m/>
  </r>
  <r>
    <n v="575"/>
    <x v="45"/>
    <s v="EMAIL"/>
    <n v="80307"/>
    <n v="1566.72"/>
    <m/>
    <m/>
    <m/>
    <x v="202"/>
    <m/>
  </r>
  <r>
    <n v="575"/>
    <x v="45"/>
    <s v="EMAIL"/>
    <n v="99939"/>
    <n v="99.26"/>
    <m/>
    <m/>
    <m/>
    <x v="202"/>
    <m/>
  </r>
  <r>
    <n v="822"/>
    <x v="66"/>
    <s v="WHATS"/>
    <n v="80324"/>
    <n v="454.3"/>
    <m/>
    <m/>
    <m/>
    <x v="203"/>
    <m/>
  </r>
  <r>
    <n v="620"/>
    <x v="69"/>
    <s v="WHATS"/>
    <n v="99941"/>
    <n v="123.48"/>
    <m/>
    <m/>
    <m/>
    <x v="203"/>
    <m/>
  </r>
  <r>
    <n v="620"/>
    <x v="69"/>
    <s v="WHATS"/>
    <n v="80351"/>
    <n v="1021.23"/>
    <m/>
    <m/>
    <m/>
    <x v="203"/>
    <m/>
  </r>
  <r>
    <n v="575"/>
    <x v="45"/>
    <s v="EMAIL"/>
    <s v="80307/79438/80879"/>
    <n v="735.3"/>
    <m/>
    <m/>
    <m/>
    <x v="204"/>
    <m/>
  </r>
  <r>
    <n v="575"/>
    <x v="45"/>
    <s v="WHATS"/>
    <s v="100055/99939"/>
    <n v="75.94"/>
    <m/>
    <m/>
    <m/>
    <x v="204"/>
    <m/>
  </r>
  <r>
    <n v="475"/>
    <x v="23"/>
    <s v="WHATS"/>
    <n v="80887"/>
    <n v="309"/>
    <m/>
    <m/>
    <m/>
    <x v="204"/>
    <m/>
  </r>
  <r>
    <n v="500149"/>
    <x v="94"/>
    <s v="WHATS"/>
    <n v="80785"/>
    <n v="2455.84"/>
    <m/>
    <m/>
    <m/>
    <x v="204"/>
    <m/>
  </r>
  <r>
    <n v="905"/>
    <x v="72"/>
    <s v="TEL"/>
    <n v="100058"/>
    <n v="283.79000000000002"/>
    <m/>
    <m/>
    <m/>
    <x v="204"/>
    <m/>
  </r>
  <r>
    <n v="905"/>
    <x v="72"/>
    <s v="TEL"/>
    <n v="80883"/>
    <n v="251.73"/>
    <m/>
    <m/>
    <m/>
    <x v="204"/>
    <m/>
  </r>
  <r>
    <n v="1652"/>
    <x v="61"/>
    <s v="TEL"/>
    <n v="80867"/>
    <n v="820.4"/>
    <m/>
    <m/>
    <m/>
    <x v="204"/>
    <m/>
  </r>
  <r>
    <n v="167"/>
    <x v="0"/>
    <s v="WHATS"/>
    <n v="80897"/>
    <n v="1521.84"/>
    <m/>
    <m/>
    <m/>
    <x v="205"/>
    <m/>
  </r>
  <r>
    <n v="167"/>
    <x v="0"/>
    <s v="WHATS"/>
    <n v="100062"/>
    <n v="292.2"/>
    <m/>
    <m/>
    <m/>
    <x v="205"/>
    <m/>
  </r>
  <r>
    <n v="167"/>
    <x v="0"/>
    <s v="WHATS"/>
    <n v="124"/>
    <n v="820"/>
    <m/>
    <m/>
    <m/>
    <x v="205"/>
    <m/>
  </r>
  <r>
    <n v="1971"/>
    <x v="29"/>
    <s v="WHATS"/>
    <n v="80905"/>
    <n v="310"/>
    <m/>
    <m/>
    <m/>
    <x v="205"/>
    <m/>
  </r>
  <r>
    <n v="3190"/>
    <x v="60"/>
    <s v="WHATS"/>
    <n v="80329"/>
    <n v="935.38"/>
    <m/>
    <m/>
    <m/>
    <x v="205"/>
    <m/>
  </r>
  <r>
    <n v="704"/>
    <x v="49"/>
    <s v="WHATS"/>
    <n v="80914"/>
    <n v="1980"/>
    <m/>
    <m/>
    <m/>
    <x v="205"/>
    <m/>
  </r>
  <r>
    <n v="2980"/>
    <x v="40"/>
    <s v="WHATS"/>
    <n v="80910"/>
    <n v="494.55"/>
    <m/>
    <m/>
    <m/>
    <x v="205"/>
    <m/>
  </r>
  <r>
    <n v="50554"/>
    <x v="20"/>
    <s v="WHATS"/>
    <n v="80921"/>
    <n v="252.7"/>
    <m/>
    <m/>
    <m/>
    <x v="205"/>
    <m/>
  </r>
  <r>
    <n v="50497"/>
    <x v="77"/>
    <s v="WHATS"/>
    <n v="100063"/>
    <n v="45.5"/>
    <m/>
    <m/>
    <m/>
    <x v="205"/>
    <m/>
  </r>
  <r>
    <n v="690"/>
    <x v="19"/>
    <s v="WHATS"/>
    <n v="80920"/>
    <n v="476.05"/>
    <m/>
    <m/>
    <m/>
    <x v="205"/>
    <m/>
  </r>
  <r>
    <n v="690"/>
    <x v="19"/>
    <s v="WHATS"/>
    <n v="100065"/>
    <n v="45.5"/>
    <m/>
    <m/>
    <m/>
    <x v="205"/>
    <m/>
  </r>
  <r>
    <n v="3194"/>
    <x v="18"/>
    <s v="WHATS"/>
    <n v="80601"/>
    <n v="1083.2"/>
    <m/>
    <m/>
    <m/>
    <x v="205"/>
    <m/>
  </r>
  <r>
    <n v="50576"/>
    <x v="37"/>
    <s v="WHATS"/>
    <n v="80940"/>
    <n v="1046"/>
    <m/>
    <m/>
    <m/>
    <x v="206"/>
    <m/>
  </r>
  <r>
    <n v="663"/>
    <x v="116"/>
    <s v="WHATS"/>
    <n v="80987"/>
    <n v="832.7"/>
    <m/>
    <m/>
    <m/>
    <x v="206"/>
    <m/>
  </r>
  <r>
    <n v="687"/>
    <x v="16"/>
    <s v="WHATS"/>
    <n v="80158"/>
    <n v="952"/>
    <m/>
    <m/>
    <m/>
    <x v="206"/>
    <m/>
  </r>
  <r>
    <n v="311"/>
    <x v="46"/>
    <s v="WHATS"/>
    <n v="80944"/>
    <n v="5092"/>
    <m/>
    <m/>
    <m/>
    <x v="207"/>
    <m/>
  </r>
  <r>
    <n v="1164"/>
    <x v="58"/>
    <s v="WHATS"/>
    <n v="80181"/>
    <n v="1116.5"/>
    <m/>
    <m/>
    <m/>
    <x v="208"/>
    <m/>
  </r>
  <r>
    <n v="1164"/>
    <x v="58"/>
    <s v="WHATS"/>
    <n v="100091"/>
    <n v="71.349999999999994"/>
    <m/>
    <m/>
    <m/>
    <x v="208"/>
    <m/>
  </r>
  <r>
    <n v="1989"/>
    <x v="67"/>
    <s v="WHATS"/>
    <n v="80610"/>
    <n v="606.12"/>
    <m/>
    <m/>
    <m/>
    <x v="208"/>
    <m/>
  </r>
  <r>
    <n v="690"/>
    <x v="19"/>
    <s v="WHATS"/>
    <n v="80608"/>
    <n v="189"/>
    <m/>
    <m/>
    <m/>
    <x v="208"/>
    <m/>
  </r>
  <r>
    <n v="50554"/>
    <x v="20"/>
    <s v="WHATS"/>
    <n v="80690"/>
    <n v="189"/>
    <m/>
    <m/>
    <m/>
    <x v="208"/>
    <m/>
  </r>
  <r>
    <n v="50219"/>
    <x v="14"/>
    <s v="WHATS"/>
    <n v="81089"/>
    <n v="1924.02"/>
    <m/>
    <m/>
    <m/>
    <x v="209"/>
    <m/>
  </r>
  <r>
    <n v="50219"/>
    <x v="14"/>
    <s v="WHATS"/>
    <n v="100093"/>
    <n v="186.2"/>
    <m/>
    <m/>
    <m/>
    <x v="209"/>
    <m/>
  </r>
  <r>
    <n v="1616"/>
    <x v="83"/>
    <s v="WHATS"/>
    <n v="81094"/>
    <n v="4754.1499999999996"/>
    <m/>
    <m/>
    <m/>
    <x v="209"/>
    <m/>
  </r>
  <r>
    <n v="2022"/>
    <x v="28"/>
    <s v="EMAIL"/>
    <n v="80968"/>
    <n v="2513.6999999999998"/>
    <m/>
    <m/>
    <m/>
    <x v="209"/>
    <m/>
  </r>
  <r>
    <n v="3194"/>
    <x v="18"/>
    <s v="WHATS"/>
    <n v="81096"/>
    <n v="2490"/>
    <m/>
    <m/>
    <m/>
    <x v="209"/>
    <m/>
  </r>
  <r>
    <n v="741"/>
    <x v="85"/>
    <s v="WHATS"/>
    <n v="100100"/>
    <n v="63"/>
    <m/>
    <m/>
    <m/>
    <x v="209"/>
    <m/>
  </r>
  <r>
    <n v="741"/>
    <x v="85"/>
    <s v="WHATS"/>
    <n v="81120"/>
    <n v="751.9"/>
    <m/>
    <m/>
    <m/>
    <x v="210"/>
    <m/>
  </r>
  <r>
    <n v="1164"/>
    <x v="58"/>
    <s v="WHATS"/>
    <n v="81162"/>
    <n v="879.75"/>
    <m/>
    <m/>
    <m/>
    <x v="210"/>
    <m/>
  </r>
  <r>
    <n v="50312"/>
    <x v="86"/>
    <s v="WHATS"/>
    <n v="81168"/>
    <n v="882.12"/>
    <m/>
    <m/>
    <m/>
    <x v="210"/>
    <m/>
  </r>
  <r>
    <n v="311"/>
    <x v="46"/>
    <s v="WHATS"/>
    <n v="81173"/>
    <n v="3176"/>
    <m/>
    <m/>
    <m/>
    <x v="210"/>
    <m/>
  </r>
  <r>
    <n v="885"/>
    <x v="88"/>
    <s v="WHATS"/>
    <n v="81163"/>
    <n v="3145.54"/>
    <m/>
    <m/>
    <m/>
    <x v="210"/>
    <m/>
  </r>
  <r>
    <n v="1240"/>
    <x v="25"/>
    <s v="WHATS"/>
    <n v="81156"/>
    <n v="2548.64"/>
    <m/>
    <m/>
    <m/>
    <x v="210"/>
    <m/>
  </r>
  <r>
    <n v="704"/>
    <x v="49"/>
    <s v="TEL"/>
    <n v="81172"/>
    <n v="2592"/>
    <m/>
    <m/>
    <m/>
    <x v="210"/>
    <m/>
  </r>
  <r>
    <n v="2702"/>
    <x v="73"/>
    <s v="WHATS"/>
    <n v="81167"/>
    <n v="1311.99"/>
    <m/>
    <m/>
    <m/>
    <x v="210"/>
    <m/>
  </r>
  <r>
    <n v="687"/>
    <x v="16"/>
    <s v="WHATS"/>
    <n v="81180"/>
    <n v="2601.1999999999998"/>
    <m/>
    <m/>
    <m/>
    <x v="210"/>
    <m/>
  </r>
  <r>
    <n v="2955"/>
    <x v="82"/>
    <s v="WHATS"/>
    <n v="81177"/>
    <n v="1654"/>
    <n v="1200"/>
    <n v="1200"/>
    <m/>
    <x v="211"/>
    <m/>
  </r>
  <r>
    <n v="2163"/>
    <x v="36"/>
    <s v="TEL"/>
    <n v="81206"/>
    <n v="1598.8"/>
    <m/>
    <m/>
    <m/>
    <x v="211"/>
    <m/>
  </r>
  <r>
    <n v="761"/>
    <x v="24"/>
    <s v="WHATS"/>
    <n v="81209"/>
    <n v="2200"/>
    <m/>
    <m/>
    <m/>
    <x v="211"/>
    <m/>
  </r>
  <r>
    <n v="712"/>
    <x v="124"/>
    <s v="WHATS"/>
    <n v="81213"/>
    <n v="324.52"/>
    <m/>
    <m/>
    <m/>
    <x v="211"/>
    <m/>
  </r>
  <r>
    <n v="1652"/>
    <x v="61"/>
    <s v="TEL"/>
    <s v="81212/100121"/>
    <n v="1165.0899999999999"/>
    <m/>
    <m/>
    <m/>
    <x v="211"/>
    <m/>
  </r>
  <r>
    <n v="784"/>
    <x v="13"/>
    <s v="EMAIL"/>
    <n v="81201"/>
    <n v="3511.18"/>
    <m/>
    <m/>
    <m/>
    <x v="211"/>
    <m/>
  </r>
  <r>
    <n v="516"/>
    <x v="11"/>
    <s v="WHATS"/>
    <n v="81020"/>
    <n v="666"/>
    <m/>
    <m/>
    <m/>
    <x v="211"/>
    <m/>
  </r>
  <r>
    <n v="2955"/>
    <x v="82"/>
    <s v="WHATS"/>
    <n v="81177"/>
    <n v="4718.2"/>
    <m/>
    <m/>
    <m/>
    <x v="211"/>
    <m/>
  </r>
  <r>
    <n v="1533"/>
    <x v="50"/>
    <s v="WHATS"/>
    <s v="81234/100129"/>
    <n v="1548.99"/>
    <m/>
    <m/>
    <m/>
    <x v="212"/>
    <m/>
  </r>
  <r>
    <n v="762"/>
    <x v="41"/>
    <s v="WHATS"/>
    <n v="81238"/>
    <n v="6766"/>
    <m/>
    <m/>
    <m/>
    <x v="212"/>
    <m/>
  </r>
  <r>
    <n v="581"/>
    <x v="74"/>
    <s v="WHATS"/>
    <n v="81239"/>
    <n v="2480"/>
    <m/>
    <m/>
    <m/>
    <x v="212"/>
    <m/>
  </r>
  <r>
    <n v="705"/>
    <x v="1"/>
    <s v="TEL"/>
    <s v="81243/100124"/>
    <n v="941.6"/>
    <m/>
    <m/>
    <m/>
    <x v="212"/>
    <m/>
  </r>
  <r>
    <n v="772"/>
    <x v="71"/>
    <s v="WHATS"/>
    <n v="81245"/>
    <n v="2480"/>
    <m/>
    <m/>
    <m/>
    <x v="212"/>
    <m/>
  </r>
  <r>
    <n v="3017"/>
    <x v="62"/>
    <s v="WHATS"/>
    <n v="81260"/>
    <n v="1043.08"/>
    <m/>
    <m/>
    <m/>
    <x v="212"/>
    <m/>
  </r>
  <r>
    <n v="620"/>
    <x v="69"/>
    <s v="WHATS"/>
    <s v="8099/100138"/>
    <n v="1328.73"/>
    <m/>
    <m/>
    <m/>
    <x v="212"/>
    <m/>
  </r>
  <r>
    <n v="50418"/>
    <x v="35"/>
    <s v="WHATS"/>
    <n v="81284"/>
    <n v="1715.49"/>
    <m/>
    <m/>
    <m/>
    <x v="213"/>
    <m/>
  </r>
  <r>
    <n v="2397"/>
    <x v="6"/>
    <s v="WHATS"/>
    <n v="81309"/>
    <n v="1515"/>
    <m/>
    <m/>
    <m/>
    <x v="213"/>
    <m/>
  </r>
  <r>
    <n v="3475"/>
    <x v="59"/>
    <s v="WHATS"/>
    <n v="81010"/>
    <n v="1996.8"/>
    <m/>
    <m/>
    <m/>
    <x v="213"/>
    <m/>
  </r>
  <r>
    <n v="463"/>
    <x v="32"/>
    <s v="WHATS"/>
    <n v="81340"/>
    <n v="1224.45"/>
    <m/>
    <m/>
    <m/>
    <x v="214"/>
    <m/>
  </r>
  <r>
    <n v="906"/>
    <x v="27"/>
    <s v="WHATS"/>
    <s v="81342/100153"/>
    <n v="4819.07"/>
    <m/>
    <m/>
    <m/>
    <x v="214"/>
    <m/>
  </r>
  <r>
    <n v="575"/>
    <x v="45"/>
    <s v="WHATS"/>
    <n v="80937"/>
    <n v="1221.8499999999999"/>
    <m/>
    <m/>
    <m/>
    <x v="214"/>
    <m/>
  </r>
  <r>
    <n v="1122"/>
    <x v="87"/>
    <s v="EMAIL"/>
    <s v="81359/81360/80947"/>
    <n v="8870.5"/>
    <m/>
    <m/>
    <m/>
    <x v="214"/>
    <m/>
  </r>
  <r>
    <n v="1206"/>
    <x v="33"/>
    <s v="WHATS"/>
    <n v="81386"/>
    <n v="1097.79"/>
    <m/>
    <m/>
    <m/>
    <x v="215"/>
    <m/>
  </r>
  <r>
    <n v="325"/>
    <x v="97"/>
    <s v="WHATS"/>
    <s v="81384/100164"/>
    <n v="1457.9"/>
    <m/>
    <m/>
    <m/>
    <x v="215"/>
    <m/>
  </r>
  <r>
    <n v="1493"/>
    <x v="21"/>
    <s v="WHATS"/>
    <n v="81375"/>
    <n v="2023.08"/>
    <m/>
    <m/>
    <m/>
    <x v="215"/>
    <m/>
  </r>
  <r>
    <n v="480"/>
    <x v="39"/>
    <s v="WHATS"/>
    <n v="81256"/>
    <n v="1217.5999999999999"/>
    <m/>
    <m/>
    <m/>
    <x v="215"/>
    <m/>
  </r>
  <r>
    <n v="690"/>
    <x v="19"/>
    <s v="TEL"/>
    <s v="81393/100164"/>
    <n v="1901.6"/>
    <m/>
    <m/>
    <m/>
    <x v="215"/>
    <m/>
  </r>
  <r>
    <n v="746"/>
    <x v="3"/>
    <s v="TEL"/>
    <n v="81388"/>
    <n v="3937.67"/>
    <m/>
    <m/>
    <m/>
    <x v="215"/>
    <m/>
  </r>
  <r>
    <n v="687"/>
    <x v="16"/>
    <s v="WHATS"/>
    <n v="81413"/>
    <n v="360"/>
    <m/>
    <m/>
    <m/>
    <x v="215"/>
    <m/>
  </r>
  <r>
    <n v="784"/>
    <x v="13"/>
    <s v="WHATS"/>
    <n v="81426"/>
    <n v="8689"/>
    <m/>
    <m/>
    <m/>
    <x v="215"/>
    <m/>
  </r>
  <r>
    <n v="2911"/>
    <x v="15"/>
    <s v="WHATS"/>
    <s v="81423/100170"/>
    <n v="989.4"/>
    <m/>
    <m/>
    <m/>
    <x v="215"/>
    <m/>
  </r>
  <r>
    <n v="960"/>
    <x v="30"/>
    <s v="WHATS"/>
    <s v="100178/81400"/>
    <n v="1380.18"/>
    <m/>
    <m/>
    <m/>
    <x v="215"/>
    <m/>
  </r>
  <r>
    <n v="581"/>
    <x v="74"/>
    <s v="WHATS"/>
    <s v="100175/81434"/>
    <n v="2660.14"/>
    <m/>
    <m/>
    <m/>
    <x v="215"/>
    <m/>
  </r>
  <r>
    <n v="575"/>
    <x v="45"/>
    <s v="WHATS"/>
    <n v="80937"/>
    <n v="1090.7"/>
    <m/>
    <m/>
    <m/>
    <x v="216"/>
    <m/>
  </r>
  <r>
    <n v="1616"/>
    <x v="83"/>
    <s v="WHATS"/>
    <n v="81442"/>
    <n v="152"/>
    <m/>
    <m/>
    <m/>
    <x v="216"/>
    <m/>
  </r>
  <r>
    <n v="3018"/>
    <x v="64"/>
    <s v="WHATS"/>
    <n v="81290"/>
    <n v="377.8"/>
    <m/>
    <m/>
    <m/>
    <x v="216"/>
    <m/>
  </r>
  <r>
    <n v="500005"/>
    <x v="102"/>
    <s v="WHATS"/>
    <n v="81445"/>
    <n v="4290.3"/>
    <m/>
    <m/>
    <m/>
    <x v="216"/>
    <m/>
  </r>
  <r>
    <n v="412"/>
    <x v="90"/>
    <s v="EMAIL"/>
    <s v="100166/81454"/>
    <n v="418.1"/>
    <m/>
    <m/>
    <m/>
    <x v="216"/>
    <m/>
  </r>
  <r>
    <n v="432"/>
    <x v="43"/>
    <s v="WHATS"/>
    <n v="81009"/>
    <n v="4596.6000000000004"/>
    <m/>
    <m/>
    <m/>
    <x v="216"/>
    <m/>
  </r>
  <r>
    <n v="1164"/>
    <x v="58"/>
    <s v="WHATS"/>
    <n v="81461"/>
    <n v="930.03"/>
    <m/>
    <m/>
    <m/>
    <x v="216"/>
    <m/>
  </r>
  <r>
    <n v="1616"/>
    <x v="83"/>
    <s v="WHATS"/>
    <n v="81475"/>
    <n v="1960"/>
    <m/>
    <m/>
    <m/>
    <x v="216"/>
    <m/>
  </r>
  <r>
    <n v="784"/>
    <x v="13"/>
    <s v="WHATS"/>
    <n v="81477"/>
    <n v="544"/>
    <m/>
    <m/>
    <m/>
    <x v="216"/>
    <m/>
  </r>
  <r>
    <n v="761"/>
    <x v="24"/>
    <s v="WHATS"/>
    <s v="81480/100188"/>
    <n v="700.04"/>
    <m/>
    <m/>
    <m/>
    <x v="216"/>
    <m/>
  </r>
  <r>
    <n v="50794"/>
    <x v="125"/>
    <s v="WHATS"/>
    <s v="81482/100190"/>
    <n v="676.13"/>
    <m/>
    <m/>
    <m/>
    <x v="216"/>
    <m/>
  </r>
  <r>
    <n v="1502"/>
    <x v="76"/>
    <s v="WHATS"/>
    <n v="81489"/>
    <n v="2260"/>
    <m/>
    <m/>
    <m/>
    <x v="216"/>
    <m/>
  </r>
  <r>
    <n v="2980"/>
    <x v="40"/>
    <s v="WHATS"/>
    <s v="81507/100152"/>
    <n v="703.43"/>
    <m/>
    <m/>
    <m/>
    <x v="217"/>
    <m/>
  </r>
  <r>
    <n v="724"/>
    <x v="42"/>
    <s v="WHATS"/>
    <n v="81526"/>
    <n v="748.35"/>
    <m/>
    <m/>
    <m/>
    <x v="217"/>
    <m/>
  </r>
  <r>
    <n v="500243"/>
    <x v="110"/>
    <s v="WHATS"/>
    <n v="84518"/>
    <n v="602.54999999999995"/>
    <m/>
    <m/>
    <m/>
    <x v="217"/>
    <m/>
  </r>
  <r>
    <n v="3153"/>
    <x v="12"/>
    <s v="WHATS"/>
    <n v="81298"/>
    <n v="1381.2"/>
    <m/>
    <m/>
    <m/>
    <x v="217"/>
    <m/>
  </r>
  <r>
    <n v="1813"/>
    <x v="48"/>
    <s v="WHATS"/>
    <n v="81543"/>
    <n v="1379.4"/>
    <m/>
    <m/>
    <m/>
    <x v="217"/>
    <m/>
  </r>
  <r>
    <n v="960"/>
    <x v="30"/>
    <s v="WHATS"/>
    <n v="81596"/>
    <m/>
    <n v="8950"/>
    <n v="8950"/>
    <m/>
    <x v="218"/>
    <m/>
  </r>
  <r>
    <n v="311"/>
    <x v="46"/>
    <s v="WHATS"/>
    <n v="81598"/>
    <n v="1832"/>
    <m/>
    <m/>
    <m/>
    <x v="218"/>
    <m/>
  </r>
  <r>
    <n v="475"/>
    <x v="23"/>
    <s v="EMAIL"/>
    <s v="100206/81552"/>
    <n v="19691.009999999998"/>
    <m/>
    <m/>
    <m/>
    <x v="218"/>
    <m/>
  </r>
  <r>
    <n v="3194"/>
    <x v="18"/>
    <s v="WHATS"/>
    <s v="81096/100204"/>
    <n v="2713.4"/>
    <m/>
    <m/>
    <m/>
    <x v="218"/>
    <m/>
  </r>
  <r>
    <n v="500149"/>
    <x v="94"/>
    <s v="WHATS"/>
    <n v="81611"/>
    <n v="2473"/>
    <m/>
    <m/>
    <m/>
    <x v="218"/>
    <m/>
  </r>
  <r>
    <n v="762"/>
    <x v="41"/>
    <s v="WHATS"/>
    <n v="81016"/>
    <n v="1794"/>
    <m/>
    <m/>
    <m/>
    <x v="218"/>
    <m/>
  </r>
  <r>
    <n v="1813"/>
    <x v="48"/>
    <s v="WHATS"/>
    <n v="81647"/>
    <n v="57.8"/>
    <m/>
    <m/>
    <m/>
    <x v="219"/>
    <m/>
  </r>
  <r>
    <n v="3077"/>
    <x v="10"/>
    <s v="TEL"/>
    <n v="81659"/>
    <n v="364"/>
    <m/>
    <m/>
    <m/>
    <x v="219"/>
    <m/>
  </r>
  <r>
    <n v="516"/>
    <x v="11"/>
    <s v="EMAIL"/>
    <n v="81664"/>
    <n v="2572.2399999999998"/>
    <m/>
    <m/>
    <m/>
    <x v="219"/>
    <m/>
  </r>
  <r>
    <n v="3018"/>
    <x v="64"/>
    <s v="WHATS"/>
    <n v="81575"/>
    <n v="549"/>
    <m/>
    <m/>
    <m/>
    <x v="220"/>
    <m/>
  </r>
  <r>
    <n v="2702"/>
    <x v="73"/>
    <s v="WHATS"/>
    <n v="81687"/>
    <n v="2388.2399999999998"/>
    <m/>
    <m/>
    <m/>
    <x v="220"/>
    <m/>
  </r>
  <r>
    <n v="3077"/>
    <x v="10"/>
    <s v="WHATS"/>
    <n v="81690"/>
    <n v="164.2"/>
    <m/>
    <m/>
    <m/>
    <x v="220"/>
    <m/>
  </r>
  <r>
    <n v="1533"/>
    <x v="50"/>
    <s v="WHATS"/>
    <n v="81731"/>
    <n v="1628.1"/>
    <m/>
    <m/>
    <m/>
    <x v="221"/>
    <m/>
  </r>
  <r>
    <n v="1971"/>
    <x v="29"/>
    <s v="WHATS"/>
    <n v="81734"/>
    <n v="1298"/>
    <m/>
    <m/>
    <m/>
    <x v="221"/>
    <m/>
  </r>
  <r>
    <n v="823"/>
    <x v="17"/>
    <s v="WHATS"/>
    <s v="81011/100160"/>
    <n v="6016.8"/>
    <m/>
    <m/>
    <m/>
    <x v="221"/>
    <m/>
  </r>
  <r>
    <n v="712"/>
    <x v="124"/>
    <s v="WHATS"/>
    <n v="81748"/>
    <n v="355.6"/>
    <m/>
    <m/>
    <m/>
    <x v="221"/>
    <m/>
  </r>
  <r>
    <n v="1026"/>
    <x v="7"/>
    <s v="WHATS"/>
    <n v="81757"/>
    <n v="1210"/>
    <m/>
    <m/>
    <m/>
    <x v="221"/>
    <m/>
  </r>
  <r>
    <n v="432"/>
    <x v="43"/>
    <s v="WHATS"/>
    <n v="100233"/>
    <n v="178.25"/>
    <m/>
    <m/>
    <m/>
    <x v="221"/>
    <m/>
  </r>
  <r>
    <n v="500005"/>
    <x v="102"/>
    <s v="TEL"/>
    <n v="81758"/>
    <n v="2100"/>
    <m/>
    <m/>
    <m/>
    <x v="221"/>
    <m/>
  </r>
  <r>
    <n v="2415"/>
    <x v="63"/>
    <s v="WHATS"/>
    <n v="81699"/>
    <n v="1584"/>
    <m/>
    <m/>
    <m/>
    <x v="221"/>
    <m/>
  </r>
  <r>
    <n v="746"/>
    <x v="3"/>
    <s v="WHATS"/>
    <n v="81388"/>
    <n v="195"/>
    <m/>
    <m/>
    <m/>
    <x v="222"/>
    <m/>
  </r>
  <r>
    <n v="1206"/>
    <x v="33"/>
    <s v="WHATS"/>
    <n v="81800"/>
    <n v="675.84"/>
    <m/>
    <m/>
    <m/>
    <x v="222"/>
    <m/>
  </r>
  <r>
    <n v="687"/>
    <x v="16"/>
    <s v="WHATS"/>
    <n v="81896"/>
    <n v="398"/>
    <m/>
    <m/>
    <m/>
    <x v="222"/>
    <m/>
  </r>
  <r>
    <n v="3017"/>
    <x v="62"/>
    <s v="WHATS"/>
    <n v="81802"/>
    <n v="1183.33"/>
    <m/>
    <m/>
    <m/>
    <x v="222"/>
    <m/>
  </r>
  <r>
    <n v="463"/>
    <x v="32"/>
    <s v="WHATS"/>
    <n v="81789"/>
    <n v="1026.8699999999999"/>
    <m/>
    <m/>
    <m/>
    <x v="222"/>
    <m/>
  </r>
  <r>
    <n v="3018"/>
    <x v="64"/>
    <s v="WHATS"/>
    <n v="100143"/>
    <n v="404"/>
    <m/>
    <m/>
    <m/>
    <x v="222"/>
    <m/>
  </r>
  <r>
    <n v="197"/>
    <x v="99"/>
    <s v="WHATS"/>
    <n v="81801"/>
    <n v="1188.0999999999999"/>
    <m/>
    <m/>
    <m/>
    <x v="222"/>
    <m/>
  </r>
  <r>
    <n v="412"/>
    <x v="90"/>
    <s v="WHATS"/>
    <s v="100239/81823"/>
    <n v="336.65"/>
    <m/>
    <m/>
    <m/>
    <x v="222"/>
    <m/>
  </r>
  <r>
    <n v="475"/>
    <x v="23"/>
    <s v="EMAIL"/>
    <n v="81007"/>
    <n v="3283.4"/>
    <m/>
    <m/>
    <m/>
    <x v="223"/>
    <m/>
  </r>
  <r>
    <n v="1493"/>
    <x v="21"/>
    <s v="WHATS"/>
    <n v="81843"/>
    <n v="505.8"/>
    <m/>
    <m/>
    <m/>
    <x v="223"/>
    <m/>
  </r>
  <r>
    <n v="2022"/>
    <x v="28"/>
    <s v="WHATS"/>
    <s v="81852/ 81849"/>
    <n v="1134.6600000000001"/>
    <m/>
    <m/>
    <m/>
    <x v="223"/>
    <m/>
  </r>
  <r>
    <n v="1652"/>
    <x v="61"/>
    <s v="TEL"/>
    <s v="100234/81751"/>
    <n v="1714.3"/>
    <m/>
    <m/>
    <m/>
    <x v="223"/>
    <m/>
  </r>
  <r>
    <n v="704"/>
    <x v="49"/>
    <s v="WHATS"/>
    <n v="81689"/>
    <n v="2550"/>
    <m/>
    <m/>
    <m/>
    <x v="223"/>
    <m/>
  </r>
  <r>
    <n v="3190"/>
    <x v="60"/>
    <s v="WHATS"/>
    <n v="81528"/>
    <n v="1123.4000000000001"/>
    <m/>
    <m/>
    <m/>
    <x v="224"/>
    <m/>
  </r>
  <r>
    <n v="51175"/>
    <x v="79"/>
    <s v="WHATS"/>
    <n v="81878"/>
    <n v="556"/>
    <m/>
    <m/>
    <m/>
    <x v="224"/>
    <m/>
  </r>
  <r>
    <n v="1164"/>
    <x v="58"/>
    <s v="WHATS"/>
    <n v="81880"/>
    <n v="1798"/>
    <m/>
    <m/>
    <m/>
    <x v="224"/>
    <m/>
  </r>
  <r>
    <n v="50576"/>
    <x v="37"/>
    <s v="WHATS"/>
    <s v="81881/100249"/>
    <n v="2824.2"/>
    <m/>
    <m/>
    <m/>
    <x v="224"/>
    <m/>
  </r>
  <r>
    <n v="50219"/>
    <x v="14"/>
    <s v="WHATS"/>
    <n v="81915"/>
    <n v="741.3"/>
    <m/>
    <m/>
    <m/>
    <x v="225"/>
    <m/>
  </r>
  <r>
    <n v="432"/>
    <x v="43"/>
    <s v="WHATS"/>
    <n v="81914"/>
    <n v="1824"/>
    <m/>
    <m/>
    <m/>
    <x v="225"/>
    <m/>
  </r>
  <r>
    <n v="874"/>
    <x v="53"/>
    <s v="WHATS"/>
    <n v="80995"/>
    <n v="570.05999999999995"/>
    <m/>
    <m/>
    <m/>
    <x v="225"/>
    <m/>
  </r>
  <r>
    <n v="480"/>
    <x v="39"/>
    <s v="WHATS"/>
    <n v="81935"/>
    <n v="3907.2"/>
    <m/>
    <m/>
    <m/>
    <x v="225"/>
    <m/>
  </r>
  <r>
    <n v="500434"/>
    <x v="126"/>
    <s v="WHATS"/>
    <n v="81910"/>
    <n v="479"/>
    <m/>
    <m/>
    <m/>
    <x v="225"/>
    <m/>
  </r>
  <r>
    <n v="1623"/>
    <x v="57"/>
    <s v="WHATS"/>
    <s v="81665/81904"/>
    <n v="663.86"/>
    <m/>
    <m/>
    <m/>
    <x v="225"/>
    <m/>
  </r>
  <r>
    <n v="980"/>
    <x v="80"/>
    <s v="WHATS"/>
    <n v="81651"/>
    <n v="496.7"/>
    <m/>
    <m/>
    <m/>
    <x v="226"/>
    <m/>
  </r>
  <r>
    <n v="3240"/>
    <x v="75"/>
    <s v="WHATS"/>
    <s v="81975/100267"/>
    <n v="754.95"/>
    <m/>
    <m/>
    <m/>
    <x v="226"/>
    <m/>
  </r>
  <r>
    <n v="1726"/>
    <x v="34"/>
    <s v="EMAIL"/>
    <n v="81547"/>
    <n v="553.79999999999995"/>
    <m/>
    <m/>
    <m/>
    <x v="226"/>
    <m/>
  </r>
  <r>
    <n v="50728"/>
    <x v="84"/>
    <s v="WHATS"/>
    <n v="82023"/>
    <n v="526"/>
    <m/>
    <m/>
    <m/>
    <x v="227"/>
    <m/>
  </r>
  <r>
    <n v="712"/>
    <x v="124"/>
    <s v="WHATS"/>
    <n v="82023"/>
    <n v="1200"/>
    <m/>
    <m/>
    <m/>
    <x v="227"/>
    <m/>
  </r>
  <r>
    <n v="1206"/>
    <x v="33"/>
    <s v="WHATS"/>
    <n v="82061"/>
    <n v="1097.79"/>
    <m/>
    <m/>
    <m/>
    <x v="228"/>
    <m/>
  </r>
  <r>
    <n v="980"/>
    <x v="80"/>
    <s v="WHATS"/>
    <n v="82060"/>
    <n v="1001"/>
    <m/>
    <m/>
    <m/>
    <x v="228"/>
    <m/>
  </r>
  <r>
    <n v="741"/>
    <x v="85"/>
    <s v="WHATS"/>
    <n v="81783"/>
    <n v="704"/>
    <m/>
    <m/>
    <m/>
    <x v="228"/>
    <m/>
  </r>
  <r>
    <n v="2911"/>
    <x v="15"/>
    <s v="WHATS"/>
    <s v="82072/100288"/>
    <n v="2223.16"/>
    <m/>
    <m/>
    <m/>
    <x v="228"/>
    <m/>
  </r>
  <r>
    <n v="51042"/>
    <x v="106"/>
    <s v="WHATS"/>
    <n v="82087"/>
    <n v="277.11"/>
    <m/>
    <m/>
    <m/>
    <x v="229"/>
    <m/>
  </r>
  <r>
    <n v="50219"/>
    <x v="14"/>
    <s v="WHATS"/>
    <s v="82094/100296"/>
    <n v="3650.04"/>
    <m/>
    <m/>
    <m/>
    <x v="229"/>
    <m/>
  </r>
  <r>
    <n v="1206"/>
    <x v="33"/>
    <s v="WHATS"/>
    <n v="82104"/>
    <n v="929.01"/>
    <m/>
    <m/>
    <m/>
    <x v="229"/>
    <m/>
  </r>
  <r>
    <n v="3190"/>
    <x v="60"/>
    <s v="WHATS"/>
    <s v="82106/100196"/>
    <n v="289.2"/>
    <m/>
    <m/>
    <m/>
    <x v="229"/>
    <m/>
  </r>
  <r>
    <n v="620"/>
    <x v="69"/>
    <s v="WHATS"/>
    <n v="81593"/>
    <n v="386"/>
    <m/>
    <m/>
    <m/>
    <x v="229"/>
    <m/>
  </r>
  <r>
    <n v="2022"/>
    <x v="28"/>
    <s v="WHATS"/>
    <s v="82114/82120"/>
    <n v="2636.75"/>
    <m/>
    <m/>
    <m/>
    <x v="229"/>
    <m/>
  </r>
  <r>
    <n v="1493"/>
    <x v="21"/>
    <s v="TEL"/>
    <n v="82117"/>
    <n v="1443.23"/>
    <m/>
    <m/>
    <m/>
    <x v="229"/>
    <m/>
  </r>
  <r>
    <n v="690"/>
    <x v="19"/>
    <s v="WHATS"/>
    <s v="82105/81992"/>
    <n v="1277.5"/>
    <m/>
    <m/>
    <m/>
    <x v="230"/>
    <m/>
  </r>
  <r>
    <n v="772"/>
    <x v="71"/>
    <s v="WHATS"/>
    <s v="82130/100304"/>
    <n v="2392.3000000000002"/>
    <m/>
    <m/>
    <m/>
    <x v="230"/>
    <m/>
  </r>
  <r>
    <n v="1813"/>
    <x v="48"/>
    <s v="WHATS"/>
    <n v="82136"/>
    <n v="1812.65"/>
    <m/>
    <m/>
    <m/>
    <x v="230"/>
    <m/>
  </r>
  <r>
    <n v="784"/>
    <x v="13"/>
    <s v="EMAIL"/>
    <n v="82150"/>
    <n v="3517.34"/>
    <m/>
    <m/>
    <m/>
    <x v="230"/>
    <m/>
  </r>
  <r>
    <n v="761"/>
    <x v="24"/>
    <s v="WHATS"/>
    <s v="82165/100309"/>
    <n v="401"/>
    <m/>
    <m/>
    <m/>
    <x v="230"/>
    <m/>
  </r>
  <r>
    <n v="1842"/>
    <x v="47"/>
    <s v="WHATS"/>
    <s v="81999/100275"/>
    <n v="705.05"/>
    <m/>
    <m/>
    <m/>
    <x v="230"/>
    <m/>
  </r>
  <r>
    <n v="1533"/>
    <x v="50"/>
    <s v="WHATS"/>
    <n v="82194"/>
    <n v="615.5"/>
    <m/>
    <m/>
    <m/>
    <x v="231"/>
    <m/>
  </r>
  <r>
    <n v="704"/>
    <x v="49"/>
    <s v="WHATS"/>
    <s v="82228/100320"/>
    <n v="1963.02"/>
    <m/>
    <m/>
    <m/>
    <x v="231"/>
    <m/>
  </r>
  <r>
    <n v="1240"/>
    <x v="25"/>
    <s v="WHATS"/>
    <n v="82230"/>
    <n v="2608.6799999999998"/>
    <m/>
    <m/>
    <m/>
    <x v="231"/>
    <m/>
  </r>
  <r>
    <n v="762"/>
    <x v="41"/>
    <s v="EMAIL"/>
    <n v="82237"/>
    <n v="6436.6"/>
    <m/>
    <m/>
    <m/>
    <x v="231"/>
    <m/>
  </r>
  <r>
    <n v="725"/>
    <x v="65"/>
    <s v="EMAIL"/>
    <n v="82262"/>
    <n v="1062.4000000000001"/>
    <m/>
    <m/>
    <m/>
    <x v="232"/>
    <m/>
  </r>
  <r>
    <n v="475"/>
    <x v="23"/>
    <s v="EMAIL"/>
    <s v="81552/81007/82270"/>
    <n v="17488.41"/>
    <m/>
    <m/>
    <m/>
    <x v="233"/>
    <m/>
  </r>
  <r>
    <n v="412"/>
    <x v="90"/>
    <s v="TEL"/>
    <n v="82282"/>
    <n v="1021.6"/>
    <m/>
    <m/>
    <m/>
    <x v="234"/>
    <m/>
  </r>
  <r>
    <n v="784"/>
    <x v="13"/>
    <s v="WHATS"/>
    <n v="82338"/>
    <n v="1100"/>
    <m/>
    <m/>
    <m/>
    <x v="234"/>
    <m/>
  </r>
  <r>
    <n v="1206"/>
    <x v="33"/>
    <s v="WHATS"/>
    <n v="82326"/>
    <n v="390"/>
    <m/>
    <m/>
    <m/>
    <x v="234"/>
    <m/>
  </r>
  <r>
    <n v="50936"/>
    <x v="93"/>
    <s v="WHATS"/>
    <n v="82321"/>
    <n v="592.5"/>
    <m/>
    <m/>
    <m/>
    <x v="233"/>
    <m/>
  </r>
  <r>
    <n v="618"/>
    <x v="26"/>
    <s v="WHATS"/>
    <s v="82199/100313"/>
    <n v="6078.24"/>
    <m/>
    <m/>
    <m/>
    <x v="234"/>
    <m/>
  </r>
  <r>
    <n v="432"/>
    <x v="43"/>
    <s v="WHATS"/>
    <s v="82330/100339"/>
    <n v="7688.16"/>
    <m/>
    <m/>
    <m/>
    <x v="234"/>
    <m/>
  </r>
  <r>
    <n v="50554"/>
    <x v="20"/>
    <s v="WHATS"/>
    <s v="82351/100344"/>
    <n v="7132.98"/>
    <m/>
    <m/>
    <m/>
    <x v="234"/>
    <m/>
  </r>
  <r>
    <n v="575"/>
    <x v="45"/>
    <s v="WHATS"/>
    <s v="100343/82343"/>
    <n v="974.6"/>
    <m/>
    <m/>
    <m/>
    <x v="234"/>
    <m/>
  </r>
  <r>
    <n v="500243"/>
    <x v="110"/>
    <s v="TEL"/>
    <n v="82395"/>
    <n v="438.3"/>
    <m/>
    <m/>
    <m/>
    <x v="234"/>
    <m/>
  </r>
  <r>
    <n v="3153"/>
    <x v="12"/>
    <s v="WHATS"/>
    <n v="82400"/>
    <n v="2213.2199999999998"/>
    <m/>
    <m/>
    <m/>
    <x v="234"/>
    <m/>
  </r>
  <r>
    <n v="50554"/>
    <x v="20"/>
    <s v="WHATS"/>
    <n v="82386"/>
    <n v="24898.799999999999"/>
    <m/>
    <m/>
    <m/>
    <x v="234"/>
    <m/>
  </r>
  <r>
    <n v="690"/>
    <x v="19"/>
    <s v="WHATS"/>
    <s v="82391/100353/82387"/>
    <n v="13199.15"/>
    <m/>
    <m/>
    <m/>
    <x v="234"/>
    <m/>
  </r>
  <r>
    <n v="3475"/>
    <x v="59"/>
    <s v="WHATS"/>
    <s v="81010/82409"/>
    <n v="746.9"/>
    <m/>
    <m/>
    <m/>
    <x v="234"/>
    <m/>
  </r>
  <r>
    <n v="500005"/>
    <x v="102"/>
    <s v="WHATS"/>
    <n v="81993"/>
    <m/>
    <m/>
    <n v="2100"/>
    <m/>
    <x v="235"/>
    <m/>
  </r>
  <r>
    <n v="50576"/>
    <x v="37"/>
    <s v="WHATS"/>
    <n v="82306"/>
    <m/>
    <m/>
    <n v="1520"/>
    <m/>
    <x v="235"/>
    <m/>
  </r>
  <r>
    <n v="1026"/>
    <x v="7"/>
    <s v="WHATS"/>
    <n v="82429"/>
    <n v="416.2"/>
    <m/>
    <m/>
    <m/>
    <x v="235"/>
    <m/>
  </r>
  <r>
    <n v="325"/>
    <x v="97"/>
    <s v="WHATS"/>
    <n v="82457"/>
    <n v="2194.19"/>
    <m/>
    <m/>
    <m/>
    <x v="235"/>
    <m/>
  </r>
  <r>
    <n v="50418"/>
    <x v="35"/>
    <s v="WHATS"/>
    <n v="82424"/>
    <n v="1438.64"/>
    <m/>
    <m/>
    <m/>
    <x v="236"/>
    <m/>
  </r>
  <r>
    <n v="311"/>
    <x v="46"/>
    <s v="WHATS"/>
    <n v="82375"/>
    <n v="2569"/>
    <m/>
    <m/>
    <m/>
    <x v="236"/>
    <m/>
  </r>
  <r>
    <n v="234"/>
    <x v="127"/>
    <s v="WHATS"/>
    <n v="82045"/>
    <n v="448"/>
    <m/>
    <m/>
    <m/>
    <x v="236"/>
    <m/>
  </r>
  <r>
    <n v="3194"/>
    <x v="18"/>
    <s v="WHATS"/>
    <n v="82475"/>
    <n v="4751.5"/>
    <m/>
    <m/>
    <m/>
    <x v="236"/>
    <m/>
  </r>
  <r>
    <n v="50554"/>
    <x v="20"/>
    <s v="WHATS"/>
    <n v="82471"/>
    <n v="5421"/>
    <m/>
    <m/>
    <m/>
    <x v="236"/>
    <m/>
  </r>
  <r>
    <n v="575"/>
    <x v="45"/>
    <s v="WHATS"/>
    <s v="82343/100343"/>
    <n v="930.99"/>
    <m/>
    <m/>
    <m/>
    <x v="236"/>
    <m/>
  </r>
  <r>
    <n v="3077"/>
    <x v="10"/>
    <s v="WHATS"/>
    <n v="82480"/>
    <n v="823.05"/>
    <m/>
    <m/>
    <m/>
    <x v="236"/>
    <m/>
  </r>
  <r>
    <n v="618"/>
    <x v="26"/>
    <s v="WHATS"/>
    <n v="82494"/>
    <n v="289"/>
    <m/>
    <m/>
    <m/>
    <x v="236"/>
    <m/>
  </r>
  <r>
    <n v="906"/>
    <x v="27"/>
    <s v="WHATS"/>
    <s v=" 82492/ 100364"/>
    <n v="2466.69"/>
    <m/>
    <m/>
    <m/>
    <x v="236"/>
    <m/>
  </r>
  <r>
    <n v="432"/>
    <x v="43"/>
    <s v="WHATS"/>
    <n v="82440"/>
    <n v="124.62"/>
    <m/>
    <m/>
    <m/>
    <x v="236"/>
    <m/>
  </r>
  <r>
    <n v="581"/>
    <x v="74"/>
    <s v="WHATS"/>
    <n v="82403"/>
    <n v="934"/>
    <m/>
    <m/>
    <m/>
    <x v="237"/>
    <m/>
  </r>
  <r>
    <n v="1371"/>
    <x v="119"/>
    <s v="WHATS"/>
    <n v="82517"/>
    <n v="1949.2"/>
    <m/>
    <m/>
    <m/>
    <x v="237"/>
    <m/>
  </r>
  <r>
    <n v="1971"/>
    <x v="29"/>
    <s v="WHATS"/>
    <s v="82524/100369"/>
    <n v="820.45"/>
    <m/>
    <m/>
    <m/>
    <x v="237"/>
    <m/>
  </r>
  <r>
    <n v="746"/>
    <x v="3"/>
    <s v="TEL"/>
    <s v="82572/82530"/>
    <n v="5723.64"/>
    <m/>
    <m/>
    <m/>
    <x v="237"/>
    <m/>
  </r>
  <r>
    <n v="480"/>
    <x v="39"/>
    <s v="WHATS"/>
    <s v="82546/100376"/>
    <n v="4033.5"/>
    <m/>
    <m/>
    <m/>
    <x v="237"/>
    <m/>
  </r>
  <r>
    <n v="50576"/>
    <x v="37"/>
    <s v="WHATS"/>
    <s v="81881/82553"/>
    <n v="1171.45"/>
    <m/>
    <m/>
    <m/>
    <x v="237"/>
    <m/>
  </r>
  <r>
    <n v="475"/>
    <x v="23"/>
    <s v="EMAIL"/>
    <s v="/82566/82461"/>
    <n v="8213.98"/>
    <m/>
    <m/>
    <m/>
    <x v="238"/>
    <m/>
  </r>
  <r>
    <n v="784"/>
    <x v="13"/>
    <s v="WHATS"/>
    <n v="82581"/>
    <n v="8968.5"/>
    <m/>
    <m/>
    <m/>
    <x v="238"/>
    <m/>
  </r>
  <r>
    <n v="311"/>
    <x v="46"/>
    <s v="WHATS"/>
    <n v="82586"/>
    <n v="2519.06"/>
    <m/>
    <m/>
    <m/>
    <x v="238"/>
    <m/>
  </r>
  <r>
    <n v="2022"/>
    <x v="28"/>
    <s v="WHATS"/>
    <n v="82243"/>
    <n v="2458.36"/>
    <m/>
    <m/>
    <m/>
    <x v="238"/>
    <m/>
  </r>
  <r>
    <n v="620"/>
    <x v="69"/>
    <s v="WHATS"/>
    <n v="82607"/>
    <n v="1725.78"/>
    <m/>
    <m/>
    <m/>
    <x v="238"/>
    <m/>
  </r>
  <r>
    <n v="1533"/>
    <x v="50"/>
    <s v="WHATS"/>
    <n v="82608"/>
    <n v="1073.5"/>
    <m/>
    <m/>
    <m/>
    <x v="238"/>
    <m/>
  </r>
  <r>
    <n v="1206"/>
    <x v="33"/>
    <s v="TEL"/>
    <n v="82612"/>
    <n v="1002.33"/>
    <m/>
    <m/>
    <m/>
    <x v="239"/>
    <m/>
  </r>
  <r>
    <n v="50576"/>
    <x v="37"/>
    <s v="WHATS"/>
    <n v="82611"/>
    <n v="702"/>
    <m/>
    <m/>
    <m/>
    <x v="239"/>
    <m/>
  </r>
  <r>
    <n v="687"/>
    <x v="16"/>
    <s v="WHATS"/>
    <n v="82466"/>
    <n v="571.54999999999995"/>
    <m/>
    <m/>
    <m/>
    <x v="239"/>
    <m/>
  </r>
  <r>
    <n v="516"/>
    <x v="11"/>
    <s v="WHATS"/>
    <s v="82235/81664"/>
    <n v="7579.3"/>
    <m/>
    <m/>
    <m/>
    <x v="239"/>
    <m/>
  </r>
  <r>
    <n v="1164"/>
    <x v="58"/>
    <s v="WHATS"/>
    <s v="82686/100399"/>
    <n v="977.97"/>
    <m/>
    <m/>
    <m/>
    <x v="240"/>
    <m/>
  </r>
  <r>
    <n v="50219"/>
    <x v="14"/>
    <s v="WHATS"/>
    <n v="82697"/>
    <n v="1225"/>
    <m/>
    <m/>
    <m/>
    <x v="240"/>
    <m/>
  </r>
  <r>
    <n v="516"/>
    <x v="11"/>
    <s v="EMAIL"/>
    <n v="82696"/>
    <n v="7733.08"/>
    <m/>
    <m/>
    <m/>
    <x v="240"/>
    <m/>
  </r>
  <r>
    <n v="50185"/>
    <x v="105"/>
    <s v="WHATS"/>
    <n v="82693"/>
    <n v="238.2"/>
    <m/>
    <m/>
    <m/>
    <x v="240"/>
    <m/>
  </r>
  <r>
    <n v="1726"/>
    <x v="34"/>
    <s v="EMAIL"/>
    <n v="82700"/>
    <n v="390.7"/>
    <m/>
    <m/>
    <m/>
    <x v="240"/>
    <m/>
  </r>
  <r>
    <n v="906"/>
    <x v="27"/>
    <s v="WHATS"/>
    <n v="82709"/>
    <n v="1404"/>
    <m/>
    <m/>
    <m/>
    <x v="240"/>
    <m/>
  </r>
  <r>
    <n v="311"/>
    <x v="46"/>
    <s v="WHATS"/>
    <s v="100349/82724"/>
    <n v="3459.3"/>
    <m/>
    <m/>
    <m/>
    <x v="240"/>
    <m/>
  </r>
  <r>
    <n v="761"/>
    <x v="24"/>
    <s v="WHATS"/>
    <s v="82726/100309"/>
    <n v="304"/>
    <m/>
    <m/>
    <m/>
    <x v="240"/>
    <m/>
  </r>
  <r>
    <n v="2702"/>
    <x v="73"/>
    <s v="WHATS"/>
    <n v="81768"/>
    <n v="2173.38"/>
    <m/>
    <m/>
    <m/>
    <x v="241"/>
    <m/>
  </r>
  <r>
    <n v="705"/>
    <x v="1"/>
    <s v="TEL"/>
    <s v="82638/100393"/>
    <n v="1406.1"/>
    <m/>
    <m/>
    <m/>
    <x v="241"/>
    <m/>
  </r>
  <r>
    <n v="3017"/>
    <x v="62"/>
    <s v="WHATS"/>
    <n v="82758"/>
    <n v="849.38"/>
    <m/>
    <m/>
    <m/>
    <x v="241"/>
    <m/>
  </r>
  <r>
    <n v="1493"/>
    <x v="21"/>
    <s v="TEL"/>
    <n v="82762"/>
    <n v="1966.05"/>
    <m/>
    <m/>
    <m/>
    <x v="241"/>
    <m/>
  </r>
  <r>
    <n v="581"/>
    <x v="74"/>
    <s v="EMAIL"/>
    <s v="100401/82711"/>
    <n v="565.35"/>
    <m/>
    <m/>
    <m/>
    <x v="241"/>
    <m/>
  </r>
  <r>
    <n v="1616"/>
    <x v="83"/>
    <s v="WHATS"/>
    <n v="82775"/>
    <n v="854.2"/>
    <m/>
    <m/>
    <m/>
    <x v="242"/>
    <m/>
  </r>
  <r>
    <n v="1240"/>
    <x v="25"/>
    <s v="WHATS"/>
    <n v="82801"/>
    <n v="2216.35"/>
    <m/>
    <m/>
    <m/>
    <x v="242"/>
    <m/>
  </r>
  <r>
    <n v="708"/>
    <x v="56"/>
    <s v="WHATS"/>
    <s v="100421/82805"/>
    <n v="2168.0300000000002"/>
    <m/>
    <m/>
    <m/>
    <x v="242"/>
    <m/>
  </r>
  <r>
    <n v="762"/>
    <x v="41"/>
    <s v="WHATS"/>
    <n v="82025"/>
    <n v="3904.6"/>
    <m/>
    <m/>
    <m/>
    <x v="242"/>
    <m/>
  </r>
  <r>
    <n v="784"/>
    <x v="13"/>
    <s v="WHATS"/>
    <n v="82820"/>
    <n v="1488"/>
    <m/>
    <m/>
    <m/>
    <x v="242"/>
    <m/>
  </r>
  <r>
    <n v="1122"/>
    <x v="87"/>
    <s v="WHATS"/>
    <n v="82825"/>
    <n v="4724.7"/>
    <m/>
    <s v=" "/>
    <m/>
    <x v="243"/>
    <m/>
  </r>
  <r>
    <n v="980"/>
    <x v="80"/>
    <s v="WHATS"/>
    <s v="82299/82060"/>
    <n v="787.3"/>
    <m/>
    <m/>
    <m/>
    <x v="243"/>
    <m/>
  </r>
  <r>
    <n v="823"/>
    <x v="17"/>
    <s v="WHATS"/>
    <n v="82025"/>
    <n v="7177.7"/>
    <m/>
    <m/>
    <m/>
    <x v="243"/>
    <m/>
  </r>
  <r>
    <n v="2022"/>
    <x v="28"/>
    <s v="WHATS"/>
    <m/>
    <n v="404"/>
    <m/>
    <m/>
    <m/>
    <x v="243"/>
    <m/>
  </r>
  <r>
    <n v="475"/>
    <x v="23"/>
    <s v="EMAIL"/>
    <s v="100391/82852"/>
    <n v="23529.9"/>
    <m/>
    <m/>
    <m/>
    <x v="244"/>
    <m/>
  </r>
  <r>
    <n v="690"/>
    <x v="19"/>
    <s v="WHATS"/>
    <n v="100432"/>
    <n v="34.799999999999997"/>
    <m/>
    <m/>
    <m/>
    <x v="244"/>
    <m/>
  </r>
  <r>
    <n v="1206"/>
    <x v="33"/>
    <s v="WHATS"/>
    <n v="82887"/>
    <n v="929.01"/>
    <m/>
    <m/>
    <m/>
    <x v="244"/>
    <m/>
  </r>
  <r>
    <n v="2163"/>
    <x v="36"/>
    <s v="WHATS"/>
    <n v="82890"/>
    <n v="486.9"/>
    <m/>
    <m/>
    <m/>
    <x v="244"/>
    <m/>
  </r>
  <r>
    <n v="1813"/>
    <x v="48"/>
    <s v="WHATS"/>
    <n v="82893"/>
    <n v="915"/>
    <m/>
    <m/>
    <m/>
    <x v="244"/>
    <m/>
  </r>
  <r>
    <n v="1842"/>
    <x v="47"/>
    <s v="WHATS"/>
    <n v="82900"/>
    <n v="136"/>
    <m/>
    <m/>
    <m/>
    <x v="244"/>
    <m/>
  </r>
  <r>
    <n v="822"/>
    <x v="66"/>
    <s v="WHATS"/>
    <s v="100434/82905/82901"/>
    <n v="4095.15"/>
    <m/>
    <m/>
    <m/>
    <x v="244"/>
    <m/>
  </r>
  <r>
    <n v="463"/>
    <x v="32"/>
    <s v="WHATS"/>
    <n v="82909"/>
    <n v="2177.7800000000002"/>
    <m/>
    <m/>
    <m/>
    <x v="245"/>
    <m/>
  </r>
  <r>
    <n v="50554"/>
    <x v="20"/>
    <s v="WHATS"/>
    <n v="82920"/>
    <m/>
    <m/>
    <n v="1695"/>
    <m/>
    <x v="245"/>
    <m/>
  </r>
  <r>
    <n v="1813"/>
    <x v="48"/>
    <s v="WHATS"/>
    <n v="82912"/>
    <n v="274.39999999999998"/>
    <m/>
    <m/>
    <m/>
    <x v="245"/>
    <m/>
  </r>
  <r>
    <n v="50554"/>
    <x v="20"/>
    <s v="WHATS"/>
    <n v="82946"/>
    <n v="104"/>
    <m/>
    <m/>
    <m/>
    <x v="245"/>
    <m/>
  </r>
  <r>
    <n v="516"/>
    <x v="11"/>
    <s v="WHATS"/>
    <n v="82947"/>
    <n v="1838.5"/>
    <m/>
    <m/>
    <m/>
    <x v="245"/>
    <m/>
  </r>
  <r>
    <n v="1989"/>
    <x v="67"/>
    <s v="WHATS"/>
    <n v="82302"/>
    <n v="606.13"/>
    <m/>
    <m/>
    <m/>
    <x v="245"/>
    <m/>
  </r>
  <r>
    <n v="50554"/>
    <x v="20"/>
    <s v="WHATS"/>
    <n v="82303"/>
    <n v="189"/>
    <m/>
    <m/>
    <m/>
    <x v="245"/>
    <m/>
  </r>
  <r>
    <n v="690"/>
    <x v="19"/>
    <s v="WHATS"/>
    <n v="82294"/>
    <n v="189"/>
    <m/>
    <m/>
    <m/>
    <x v="245"/>
    <m/>
  </r>
  <r>
    <n v="2415"/>
    <x v="63"/>
    <s v="WHATS"/>
    <n v="82959"/>
    <n v="1487.44"/>
    <m/>
    <m/>
    <m/>
    <x v="245"/>
    <m/>
  </r>
  <r>
    <n v="500481"/>
    <x v="128"/>
    <s v="WHATS"/>
    <n v="82969"/>
    <n v="980.7"/>
    <m/>
    <m/>
    <m/>
    <x v="245"/>
    <m/>
  </r>
  <r>
    <n v="1533"/>
    <x v="50"/>
    <s v="WHATS"/>
    <n v="82977"/>
    <n v="1054.25"/>
    <m/>
    <m/>
    <m/>
    <x v="246"/>
    <m/>
  </r>
  <r>
    <n v="3194"/>
    <x v="18"/>
    <s v="WHATS"/>
    <n v="82986"/>
    <n v="360"/>
    <m/>
    <m/>
    <m/>
    <x v="246"/>
    <m/>
  </r>
  <r>
    <n v="475"/>
    <x v="23"/>
    <s v="EMAIL"/>
    <n v="82988"/>
    <n v="9300"/>
    <m/>
    <m/>
    <m/>
    <x v="246"/>
    <m/>
  </r>
  <r>
    <n v="705"/>
    <x v="1"/>
    <s v="TEL"/>
    <n v="82850"/>
    <n v="420.2"/>
    <m/>
    <m/>
    <m/>
    <x v="246"/>
    <m/>
  </r>
  <r>
    <n v="50576"/>
    <x v="37"/>
    <s v="WHATS"/>
    <n v="82982"/>
    <n v="2509.9"/>
    <m/>
    <m/>
    <m/>
    <x v="246"/>
    <m/>
  </r>
  <r>
    <n v="1206"/>
    <x v="33"/>
    <s v="WHATS"/>
    <n v="82999"/>
    <n v="929.01"/>
    <m/>
    <m/>
    <m/>
    <x v="246"/>
    <m/>
  </r>
  <r>
    <n v="480"/>
    <x v="39"/>
    <s v="WHATS"/>
    <n v="83009"/>
    <n v="3420.7"/>
    <m/>
    <m/>
    <m/>
    <x v="246"/>
    <m/>
  </r>
  <r>
    <n v="2702"/>
    <x v="73"/>
    <s v="WHATS"/>
    <n v="82995"/>
    <n v="480"/>
    <m/>
    <m/>
    <m/>
    <x v="246"/>
    <m/>
  </r>
  <r>
    <n v="480"/>
    <x v="39"/>
    <s v="WHATS"/>
    <n v="83009"/>
    <n v="3615.7"/>
    <m/>
    <m/>
    <m/>
    <x v="246"/>
    <m/>
  </r>
  <r>
    <n v="3017"/>
    <x v="62"/>
    <s v="WHATS"/>
    <n v="82990"/>
    <n v="1111.8800000000001"/>
    <m/>
    <m/>
    <m/>
    <x v="246"/>
    <m/>
  </r>
  <r>
    <n v="311"/>
    <x v="46"/>
    <s v="WHATS"/>
    <n v="83017"/>
    <n v="2176.5"/>
    <m/>
    <m/>
    <m/>
    <x v="246"/>
    <m/>
  </r>
  <r>
    <n v="762"/>
    <x v="41"/>
    <s v="EMAIL"/>
    <n v="83019"/>
    <n v="3396.1"/>
    <m/>
    <m/>
    <m/>
    <x v="246"/>
    <m/>
  </r>
  <r>
    <n v="2022"/>
    <x v="28"/>
    <s v="WHATS"/>
    <n v="83034"/>
    <n v="397.82"/>
    <m/>
    <m/>
    <m/>
    <x v="246"/>
    <m/>
  </r>
  <r>
    <n v="1026"/>
    <x v="7"/>
    <s v="WHATS"/>
    <n v="83054"/>
    <n v="750"/>
    <m/>
    <m/>
    <m/>
    <x v="247"/>
    <m/>
  </r>
  <r>
    <n v="1905"/>
    <x v="107"/>
    <s v="WHATS"/>
    <n v="83065"/>
    <n v="674"/>
    <m/>
    <m/>
    <m/>
    <x v="247"/>
    <m/>
  </r>
  <r>
    <n v="1164"/>
    <x v="58"/>
    <s v="WHATS"/>
    <s v="83050/100457"/>
    <n v="508.23"/>
    <m/>
    <m/>
    <m/>
    <x v="247"/>
    <m/>
  </r>
  <r>
    <n v="690"/>
    <x v="19"/>
    <s v="WHATS"/>
    <s v="100460/83060"/>
    <n v="294.39"/>
    <m/>
    <m/>
    <m/>
    <x v="247"/>
    <m/>
  </r>
  <r>
    <n v="572"/>
    <x v="51"/>
    <s v="WHATS"/>
    <n v="83055"/>
    <n v="748.35"/>
    <m/>
    <m/>
    <m/>
    <x v="247"/>
    <m/>
  </r>
  <r>
    <n v="2198"/>
    <x v="92"/>
    <s v="WHATS"/>
    <n v="83052"/>
    <n v="7593.2"/>
    <m/>
    <m/>
    <m/>
    <x v="247"/>
    <m/>
  </r>
  <r>
    <n v="2911"/>
    <x v="15"/>
    <s v="WHATS"/>
    <s v="83070/100465"/>
    <n v="1184.55"/>
    <m/>
    <m/>
    <m/>
    <x v="247"/>
    <m/>
  </r>
  <r>
    <n v="412"/>
    <x v="90"/>
    <s v="WHATS"/>
    <s v="83073/100456"/>
    <n v="736.2"/>
    <m/>
    <m/>
    <m/>
    <x v="247"/>
    <m/>
  </r>
  <r>
    <n v="761"/>
    <x v="24"/>
    <s v="WHATS"/>
    <n v="83099"/>
    <n v="296"/>
    <m/>
    <m/>
    <m/>
    <x v="247"/>
    <m/>
  </r>
  <r>
    <n v="1058"/>
    <x v="5"/>
    <s v="WHATS"/>
    <n v="83072"/>
    <n v="15524.4"/>
    <m/>
    <m/>
    <m/>
    <x v="247"/>
    <m/>
  </r>
  <r>
    <n v="50418"/>
    <x v="35"/>
    <s v="WHATS"/>
    <n v="83096"/>
    <n v="84"/>
    <m/>
    <m/>
    <m/>
    <x v="247"/>
    <m/>
  </r>
  <r>
    <n v="906"/>
    <x v="27"/>
    <s v="WHATS"/>
    <n v="83103"/>
    <n v="4542.1000000000004"/>
    <m/>
    <m/>
    <m/>
    <x v="248"/>
    <m/>
  </r>
  <r>
    <n v="772"/>
    <x v="71"/>
    <s v="WHATS"/>
    <s v="83049/100477"/>
    <n v="3697.7"/>
    <m/>
    <m/>
    <m/>
    <x v="248"/>
    <m/>
  </r>
  <r>
    <n v="663"/>
    <x v="116"/>
    <s v="WHATS"/>
    <n v="83120"/>
    <n v="2069.3200000000002"/>
    <m/>
    <m/>
    <m/>
    <x v="248"/>
    <m/>
  </r>
  <r>
    <n v="311"/>
    <x v="46"/>
    <s v="WHATS"/>
    <n v="83139"/>
    <n v="4908"/>
    <m/>
    <m/>
    <m/>
    <x v="249"/>
    <m/>
  </r>
  <r>
    <n v="572"/>
    <x v="51"/>
    <s v="WHATS"/>
    <s v="83107/83055"/>
    <n v="599.62"/>
    <m/>
    <m/>
    <m/>
    <x v="250"/>
    <m/>
  </r>
  <r>
    <n v="2752"/>
    <x v="120"/>
    <s v="WHATS"/>
    <n v="83169"/>
    <n v="816.5"/>
    <m/>
    <m/>
    <m/>
    <x v="250"/>
    <m/>
  </r>
  <r>
    <n v="311"/>
    <x v="46"/>
    <s v="WHATS"/>
    <n v="83195"/>
    <n v="8100"/>
    <m/>
    <m/>
    <m/>
    <x v="250"/>
    <m/>
  </r>
  <r>
    <n v="2980"/>
    <x v="40"/>
    <s v="WHATS"/>
    <s v="83199/100491"/>
    <n v="1526.05"/>
    <m/>
    <m/>
    <m/>
    <x v="250"/>
    <m/>
  </r>
  <r>
    <n v="3475"/>
    <x v="59"/>
    <s v="WHATS"/>
    <s v="83210/82409 /"/>
    <n v="719.85"/>
    <m/>
    <m/>
    <m/>
    <x v="251"/>
    <m/>
  </r>
  <r>
    <n v="575"/>
    <x v="45"/>
    <s v="WHATS"/>
    <s v="82343/83222"/>
    <n v="230.06"/>
    <m/>
    <m/>
    <m/>
    <x v="251"/>
    <m/>
  </r>
  <r>
    <n v="500481"/>
    <x v="128"/>
    <s v="WHATS"/>
    <n v="82969"/>
    <n v="1331.13"/>
    <m/>
    <m/>
    <m/>
    <x v="251"/>
    <m/>
  </r>
  <r>
    <n v="761"/>
    <x v="24"/>
    <s v="WHATS"/>
    <s v="83231/100469"/>
    <n v="5348.78"/>
    <m/>
    <m/>
    <m/>
    <x v="251"/>
    <m/>
  </r>
  <r>
    <n v="1905"/>
    <x v="107"/>
    <s v="WHATS"/>
    <n v="82744"/>
    <n v="269"/>
    <m/>
    <m/>
    <m/>
    <x v="251"/>
    <m/>
  </r>
  <r>
    <n v="1616"/>
    <x v="83"/>
    <s v="WHATS"/>
    <n v="83226"/>
    <n v="2185.5"/>
    <m/>
    <m/>
    <m/>
    <x v="251"/>
    <m/>
  </r>
  <r>
    <n v="784"/>
    <x v="13"/>
    <s v="EMAIL"/>
    <n v="83249"/>
    <n v="3064.05"/>
    <m/>
    <m/>
    <m/>
    <x v="251"/>
    <m/>
  </r>
  <r>
    <n v="746"/>
    <x v="3"/>
    <s v="TEL"/>
    <s v="83260 /100503"/>
    <n v="3914.67"/>
    <m/>
    <m/>
    <m/>
    <x v="251"/>
    <m/>
  </r>
  <r>
    <n v="311"/>
    <x v="46"/>
    <s v="WHATS"/>
    <s v="83285/83268"/>
    <n v="6825"/>
    <m/>
    <m/>
    <m/>
    <x v="252"/>
    <m/>
  </r>
  <r>
    <n v="980"/>
    <x v="80"/>
    <s v="WHATS"/>
    <s v="83213/82060"/>
    <n v="933.3"/>
    <m/>
    <m/>
    <m/>
    <x v="252"/>
    <m/>
  </r>
  <r>
    <n v="3153"/>
    <x v="12"/>
    <s v="WHATS"/>
    <s v="83292/82400"/>
    <n v="3326.06"/>
    <m/>
    <m/>
    <m/>
    <x v="252"/>
    <m/>
  </r>
  <r>
    <n v="1240"/>
    <x v="25"/>
    <s v="WHATS"/>
    <s v="83295/82230"/>
    <n v="471.12"/>
    <m/>
    <m/>
    <m/>
    <x v="252"/>
    <m/>
  </r>
  <r>
    <n v="516"/>
    <x v="11"/>
    <s v="WHATS"/>
    <s v="81020/82696"/>
    <n v="238.82"/>
    <m/>
    <m/>
    <m/>
    <x v="252"/>
    <m/>
  </r>
  <r>
    <n v="50554"/>
    <x v="20"/>
    <s v="WHATS"/>
    <s v="83408/100527"/>
    <n v="7084.1"/>
    <m/>
    <m/>
    <m/>
    <x v="253"/>
    <m/>
  </r>
  <r>
    <n v="1206"/>
    <x v="33"/>
    <s v="WHATS"/>
    <n v="83426"/>
    <n v="1097.79"/>
    <m/>
    <m/>
    <m/>
    <x v="253"/>
    <m/>
  </r>
  <r>
    <n v="905"/>
    <x v="72"/>
    <s v="TEL"/>
    <s v="100535/83439"/>
    <n v="609.15"/>
    <m/>
    <m/>
    <m/>
    <x v="253"/>
    <m/>
  </r>
  <r>
    <n v="3194"/>
    <x v="18"/>
    <s v="WHATS"/>
    <n v="83441"/>
    <n v="978.8"/>
    <m/>
    <m/>
    <m/>
    <x v="253"/>
    <m/>
  </r>
  <r>
    <n v="690"/>
    <x v="19"/>
    <s v="WHATS"/>
    <s v="83431/100534"/>
    <n v="2173.7399999999998"/>
    <m/>
    <m/>
    <m/>
    <x v="253"/>
    <m/>
  </r>
  <r>
    <n v="704"/>
    <x v="49"/>
    <s v="WHATS"/>
    <s v="83039/82228/100517/100320"/>
    <n v="2012.79"/>
    <m/>
    <m/>
    <m/>
    <x v="253"/>
    <m/>
  </r>
  <r>
    <n v="1240"/>
    <x v="25"/>
    <s v="WHATS"/>
    <n v="83447"/>
    <n v="1056"/>
    <m/>
    <m/>
    <m/>
    <x v="253"/>
    <m/>
  </r>
  <r>
    <n v="50576"/>
    <x v="37"/>
    <s v="WHATS"/>
    <s v="83414/82982/100528"/>
    <n v="1383"/>
    <m/>
    <m/>
    <m/>
    <x v="254"/>
    <m/>
  </r>
  <r>
    <n v="50418"/>
    <x v="35"/>
    <s v="WHATS"/>
    <n v="83468"/>
    <n v="2376.15"/>
    <m/>
    <m/>
    <m/>
    <x v="254"/>
    <m/>
  </r>
  <r>
    <n v="2415"/>
    <x v="63"/>
    <s v="WHATS"/>
    <n v="83477"/>
    <n v="2576"/>
    <m/>
    <m/>
    <m/>
    <x v="254"/>
    <m/>
  </r>
  <r>
    <n v="3194"/>
    <x v="18"/>
    <s v="WHATS"/>
    <n v="83514"/>
    <n v="445.05"/>
    <m/>
    <m/>
    <m/>
    <x v="255"/>
    <m/>
  </r>
  <r>
    <n v="620"/>
    <x v="69"/>
    <s v="WHATS"/>
    <s v="82607/83485/80999/100543"/>
    <n v="641.6"/>
    <m/>
    <m/>
    <m/>
    <x v="255"/>
    <m/>
  </r>
  <r>
    <n v="325"/>
    <x v="97"/>
    <s v="WHATS"/>
    <s v="83571/100558"/>
    <n v="1113.2"/>
    <m/>
    <m/>
    <m/>
    <x v="256"/>
    <m/>
  </r>
  <r>
    <n v="1652"/>
    <x v="61"/>
    <s v="WHATS"/>
    <s v="83549/100558"/>
    <n v="726.55"/>
    <m/>
    <m/>
    <m/>
    <x v="256"/>
    <m/>
  </r>
  <r>
    <n v="3194"/>
    <x v="18"/>
    <s v="WHATS"/>
    <s v="83543/83514"/>
    <n v="4634.05"/>
    <m/>
    <m/>
    <m/>
    <x v="255"/>
    <m/>
  </r>
  <r>
    <n v="620"/>
    <x v="69"/>
    <s v="WHATS"/>
    <s v="83485/100543"/>
    <n v="641.6"/>
    <m/>
    <m/>
    <m/>
    <x v="255"/>
    <m/>
  </r>
  <r>
    <n v="500149"/>
    <x v="94"/>
    <s v="WHATS"/>
    <n v="83489"/>
    <n v="1469.55"/>
    <m/>
    <m/>
    <m/>
    <x v="254"/>
    <m/>
  </r>
  <r>
    <n v="687"/>
    <x v="16"/>
    <s v="WHATS"/>
    <n v="100562"/>
    <n v="257.55"/>
    <m/>
    <m/>
    <m/>
    <x v="256"/>
    <m/>
  </r>
  <r>
    <n v="500149"/>
    <x v="94"/>
    <s v="WHATS"/>
    <n v="83604"/>
    <n v="6604.08"/>
    <m/>
    <m/>
    <m/>
    <x v="256"/>
    <m/>
  </r>
  <r>
    <n v="475"/>
    <x v="23"/>
    <s v="WHATS"/>
    <n v="83551"/>
    <n v="8507.6200000000008"/>
    <m/>
    <m/>
    <m/>
    <x v="256"/>
    <m/>
  </r>
  <r>
    <n v="50219"/>
    <x v="14"/>
    <s v="WHATS"/>
    <n v="83607"/>
    <n v="1950"/>
    <m/>
    <m/>
    <m/>
    <x v="257"/>
    <m/>
  </r>
  <r>
    <n v="500005"/>
    <x v="102"/>
    <s v="WHATS"/>
    <n v="83349"/>
    <n v="876"/>
    <m/>
    <m/>
    <m/>
    <x v="257"/>
    <m/>
  </r>
  <r>
    <n v="432"/>
    <x v="43"/>
    <s v="WHATS"/>
    <s v="83647/82330/100571"/>
    <n v="4429.82"/>
    <m/>
    <m/>
    <m/>
    <x v="257"/>
    <m/>
  </r>
  <r>
    <n v="2022"/>
    <x v="28"/>
    <s v="WHATS"/>
    <n v="83634"/>
    <n v="19012.8"/>
    <m/>
    <m/>
    <m/>
    <x v="257"/>
    <m/>
  </r>
  <r>
    <n v="1164"/>
    <x v="58"/>
    <s v="WHATS"/>
    <s v="83653/100572"/>
    <n v="884.79"/>
    <m/>
    <m/>
    <m/>
    <x v="257"/>
    <m/>
  </r>
  <r>
    <n v="500243"/>
    <x v="110"/>
    <s v="WHATS"/>
    <n v="83650"/>
    <n v="1041.3"/>
    <m/>
    <m/>
    <m/>
    <x v="257"/>
    <m/>
  </r>
  <r>
    <n v="704"/>
    <x v="49"/>
    <s v="WHATS"/>
    <s v="83666/100575"/>
    <n v="462.49"/>
    <m/>
    <m/>
    <m/>
    <x v="258"/>
    <m/>
  </r>
  <r>
    <n v="1652"/>
    <x v="61"/>
    <s v="WHATS"/>
    <s v="83549/100556"/>
    <n v="780.05"/>
    <m/>
    <m/>
    <m/>
    <x v="258"/>
    <m/>
  </r>
  <r>
    <n v="311"/>
    <x v="46"/>
    <s v="WHATS"/>
    <n v="83351"/>
    <n v="5880"/>
    <m/>
    <m/>
    <m/>
    <x v="258"/>
    <m/>
  </r>
  <r>
    <n v="874"/>
    <x v="53"/>
    <s v="WHATS"/>
    <n v="83665"/>
    <n v="1068"/>
    <m/>
    <m/>
    <m/>
    <x v="258"/>
    <m/>
  </r>
  <r>
    <n v="1971"/>
    <x v="29"/>
    <s v="WHATS"/>
    <s v="83637/100567"/>
    <n v="1947.1"/>
    <m/>
    <m/>
    <m/>
    <x v="258"/>
    <m/>
  </r>
  <r>
    <n v="480"/>
    <x v="39"/>
    <s v="WHATS"/>
    <s v="83683/100583"/>
    <n v="1450.75"/>
    <m/>
    <m/>
    <m/>
    <x v="258"/>
    <m/>
  </r>
  <r>
    <n v="572"/>
    <x v="51"/>
    <s v="WHATS"/>
    <n v="83704"/>
    <n v="466.44"/>
    <m/>
    <m/>
    <m/>
    <x v="258"/>
    <m/>
  </r>
  <r>
    <n v="480"/>
    <x v="39"/>
    <s v="WHATS"/>
    <s v="83683/100583/100376"/>
    <n v="1404.25"/>
    <m/>
    <m/>
    <m/>
    <x v="258"/>
    <m/>
  </r>
  <r>
    <n v="1493"/>
    <x v="21"/>
    <s v="WHATS"/>
    <n v="83720"/>
    <n v="1280.44"/>
    <m/>
    <m/>
    <m/>
    <x v="259"/>
    <m/>
  </r>
  <r>
    <n v="822"/>
    <x v="66"/>
    <s v="WHATS"/>
    <s v="83724/83729/82905/100589"/>
    <n v="335.7"/>
    <m/>
    <m/>
    <m/>
    <x v="259"/>
    <m/>
  </r>
  <r>
    <n v="690"/>
    <x v="19"/>
    <s v="WHATS"/>
    <n v="83631"/>
    <n v="125"/>
    <m/>
    <m/>
    <m/>
    <x v="259"/>
    <m/>
  </r>
  <r>
    <n v="50554"/>
    <x v="20"/>
    <s v="WHATS"/>
    <n v="83742"/>
    <n v="490"/>
    <m/>
    <m/>
    <m/>
    <x v="259"/>
    <m/>
  </r>
  <r>
    <n v="1206"/>
    <x v="33"/>
    <s v="WHATS"/>
    <n v="83744"/>
    <n v="1097.79"/>
    <m/>
    <m/>
    <m/>
    <x v="259"/>
    <m/>
  </r>
  <r>
    <n v="618"/>
    <x v="26"/>
    <s v="WHATS"/>
    <n v="83761"/>
    <n v="599.4"/>
    <m/>
    <m/>
    <m/>
    <x v="259"/>
    <m/>
  </r>
  <r>
    <n v="516"/>
    <x v="11"/>
    <s v="EMAIL"/>
    <n v="83769"/>
    <n v="9703.09"/>
    <m/>
    <m/>
    <m/>
    <x v="259"/>
    <m/>
  </r>
  <r>
    <n v="1813"/>
    <x v="48"/>
    <s v="WHATS"/>
    <n v="83728"/>
    <n v="1057.5999999999999"/>
    <m/>
    <m/>
    <m/>
    <x v="259"/>
    <m/>
  </r>
  <r>
    <n v="2718"/>
    <x v="0"/>
    <s v="WHATS"/>
    <n v="83793"/>
    <n v="2005"/>
    <m/>
    <m/>
    <m/>
    <x v="260"/>
    <m/>
  </r>
  <r>
    <n v="708"/>
    <x v="56"/>
    <s v="WHATS"/>
    <n v="83465"/>
    <n v="2030"/>
    <m/>
    <m/>
    <m/>
    <x v="260"/>
    <m/>
  </r>
  <r>
    <n v="2955"/>
    <x v="82"/>
    <s v="WHATS"/>
    <n v="83716"/>
    <n v="3008.28"/>
    <m/>
    <m/>
    <m/>
    <x v="260"/>
    <m/>
  </r>
  <r>
    <n v="751"/>
    <x v="0"/>
    <s v="WHATS"/>
    <n v="100599"/>
    <n v="977.4"/>
    <m/>
    <m/>
    <m/>
    <x v="260"/>
    <m/>
  </r>
  <r>
    <n v="762"/>
    <x v="41"/>
    <s v="EMAIL"/>
    <s v="83802/83804"/>
    <n v="13980.2"/>
    <m/>
    <m/>
    <m/>
    <x v="260"/>
    <m/>
  </r>
  <r>
    <n v="724"/>
    <x v="42"/>
    <s v="WHATS"/>
    <n v="83703"/>
    <n v="250.9"/>
    <m/>
    <m/>
    <m/>
    <x v="260"/>
    <m/>
  </r>
  <r>
    <n v="1788"/>
    <x v="91"/>
    <s v="WHATS"/>
    <n v="83812"/>
    <n v="195"/>
    <m/>
    <m/>
    <m/>
    <x v="260"/>
    <m/>
  </r>
  <r>
    <n v="2022"/>
    <x v="28"/>
    <s v="WHATS"/>
    <n v="83811"/>
    <n v="1271.8800000000001"/>
    <m/>
    <m/>
    <m/>
    <x v="260"/>
    <m/>
  </r>
  <r>
    <n v="1058"/>
    <x v="5"/>
    <s v="WHATS"/>
    <n v="83814"/>
    <n v="529.95000000000005"/>
    <m/>
    <m/>
    <m/>
    <x v="260"/>
    <m/>
  </r>
  <r>
    <n v="2163"/>
    <x v="36"/>
    <s v="TEL"/>
    <n v="83433"/>
    <n v="974.2"/>
    <m/>
    <m/>
    <m/>
    <x v="260"/>
    <m/>
  </r>
  <r>
    <n v="705"/>
    <x v="1"/>
    <s v="WHATS"/>
    <n v="100561"/>
    <n v="582.04999999999995"/>
    <m/>
    <m/>
    <m/>
    <x v="260"/>
    <m/>
  </r>
  <r>
    <n v="762"/>
    <x v="41"/>
    <s v="EMAIL"/>
    <s v="803019/81237"/>
    <n v="920"/>
    <m/>
    <m/>
    <m/>
    <x v="260"/>
    <m/>
  </r>
  <r>
    <n v="1533"/>
    <x v="50"/>
    <s v="WHATS"/>
    <s v="100592/83752"/>
    <n v="458.05"/>
    <m/>
    <m/>
    <m/>
    <x v="260"/>
    <m/>
  </r>
  <r>
    <n v="761"/>
    <x v="24"/>
    <s v="WHATS"/>
    <s v="83678/100520"/>
    <n v="382.89"/>
    <m/>
    <m/>
    <m/>
    <x v="260"/>
    <m/>
  </r>
  <r>
    <n v="1206"/>
    <x v="33"/>
    <s v="WHATS"/>
    <n v="83841"/>
    <n v="395.28"/>
    <m/>
    <m/>
    <m/>
    <x v="261"/>
    <m/>
  </r>
  <r>
    <n v="1842"/>
    <x v="47"/>
    <s v="WHATS"/>
    <s v="83800 / 81999"/>
    <n v="515.16999999999996"/>
    <m/>
    <m/>
    <m/>
    <x v="261"/>
    <m/>
  </r>
  <r>
    <n v="2918"/>
    <x v="0"/>
    <s v="WHATS"/>
    <n v="83871"/>
    <n v="1727.85"/>
    <m/>
    <m/>
    <m/>
    <x v="261"/>
    <m/>
  </r>
  <r>
    <n v="1164"/>
    <x v="58"/>
    <s v="WHATS"/>
    <n v="83884"/>
    <n v="573.48"/>
    <m/>
    <m/>
    <m/>
    <x v="262"/>
    <m/>
  </r>
  <r>
    <n v="171"/>
    <x v="70"/>
    <s v="WHATS"/>
    <n v="83874"/>
    <n v="1297.45"/>
    <m/>
    <m/>
    <m/>
    <x v="244"/>
    <m/>
  </r>
  <r>
    <n v="3077"/>
    <x v="10"/>
    <s v="WHATS"/>
    <s v="83880/100610"/>
    <n v="871.62"/>
    <m/>
    <m/>
    <m/>
    <x v="262"/>
    <m/>
  </r>
  <r>
    <n v="917"/>
    <x v="0"/>
    <s v="WHATS"/>
    <s v="83915/100617"/>
    <n v="327.05"/>
    <m/>
    <m/>
    <m/>
    <x v="262"/>
    <m/>
  </r>
  <r>
    <n v="50576"/>
    <x v="37"/>
    <s v="WHATS"/>
    <s v="83652/100620"/>
    <n v="3156.83"/>
    <m/>
    <m/>
    <m/>
    <x v="263"/>
    <m/>
  </r>
  <r>
    <n v="1371"/>
    <x v="119"/>
    <s v="WHATS"/>
    <n v="83933"/>
    <n v="356.4"/>
    <m/>
    <m/>
    <m/>
    <x v="263"/>
    <m/>
  </r>
  <r>
    <n v="1533"/>
    <x v="50"/>
    <s v="WHATS"/>
    <n v="83938"/>
    <n v="1204.5"/>
    <m/>
    <m/>
    <m/>
    <x v="263"/>
    <m/>
  </r>
  <r>
    <n v="2022"/>
    <x v="28"/>
    <s v="WHATS"/>
    <n v="83917"/>
    <n v="366"/>
    <m/>
    <m/>
    <m/>
    <x v="263"/>
    <m/>
  </r>
  <r>
    <n v="581"/>
    <x v="74"/>
    <s v="WHATS"/>
    <s v="100627/83971"/>
    <n v="2398.89"/>
    <m/>
    <m/>
    <m/>
    <x v="263"/>
    <m/>
  </r>
  <r>
    <n v="1502"/>
    <x v="76"/>
    <s v="EMAIL"/>
    <n v="8397"/>
    <n v="3528"/>
    <m/>
    <m/>
    <m/>
    <x v="263"/>
    <m/>
  </r>
  <r>
    <n v="613"/>
    <x v="0"/>
    <s v="WHATS"/>
    <n v="83950"/>
    <n v="1021.35"/>
    <m/>
    <m/>
    <m/>
    <x v="263"/>
    <m/>
  </r>
  <r>
    <n v="2702"/>
    <x v="73"/>
    <s v="WHATS"/>
    <n v="83940"/>
    <n v="680.8"/>
    <m/>
    <m/>
    <m/>
    <x v="263"/>
    <m/>
  </r>
  <r>
    <n v="784"/>
    <x v="13"/>
    <s v="WHATS"/>
    <n v="83687"/>
    <n v="275.60000000000002"/>
    <m/>
    <m/>
    <m/>
    <x v="263"/>
    <m/>
  </r>
  <r>
    <n v="463"/>
    <x v="32"/>
    <s v="WHATS"/>
    <n v="83954"/>
    <n v="1317.1"/>
    <m/>
    <m/>
    <m/>
    <x v="263"/>
    <m/>
  </r>
  <r>
    <n v="960"/>
    <x v="30"/>
    <s v="WHATS"/>
    <s v="100629/83985"/>
    <n v="996.37"/>
    <m/>
    <m/>
    <m/>
    <x v="264"/>
    <m/>
  </r>
  <r>
    <n v="2181"/>
    <x v="0"/>
    <s v="WHATS"/>
    <n v="83991"/>
    <n v="99.67"/>
    <m/>
    <m/>
    <m/>
    <x v="264"/>
    <m/>
  </r>
  <r>
    <n v="1989"/>
    <x v="67"/>
    <s v="WHATS"/>
    <n v="83239"/>
    <n v="606.13"/>
    <m/>
    <m/>
    <m/>
    <x v="264"/>
    <m/>
  </r>
  <r>
    <n v="50554"/>
    <x v="20"/>
    <s v="WHATS"/>
    <n v="83240"/>
    <n v="189"/>
    <m/>
    <m/>
    <m/>
    <x v="264"/>
    <m/>
  </r>
  <r>
    <n v="690"/>
    <x v="19"/>
    <s v="WHATS"/>
    <s v="83431/83238"/>
    <n v="529"/>
    <m/>
    <m/>
    <m/>
    <x v="265"/>
    <m/>
  </r>
  <r>
    <n v="412"/>
    <x v="90"/>
    <s v="WHATS"/>
    <n v="100630"/>
    <n v="402.2"/>
    <m/>
    <m/>
    <m/>
    <x v="265"/>
    <m/>
  </r>
  <r>
    <n v="725"/>
    <x v="65"/>
    <s v="WHATS"/>
    <n v="83738"/>
    <n v="1199.6500000000001"/>
    <m/>
    <m/>
    <m/>
    <x v="265"/>
    <m/>
  </r>
  <r>
    <n v="823"/>
    <x v="17"/>
    <s v="WHATS"/>
    <s v="100632/84028"/>
    <n v="4552.3500000000004"/>
    <m/>
    <m/>
    <m/>
    <x v="265"/>
    <m/>
  </r>
  <r>
    <n v="2022"/>
    <x v="28"/>
    <s v="WHATS"/>
    <s v="83982/83987/84016"/>
    <n v="15177.23"/>
    <m/>
    <m/>
    <m/>
    <x v="265"/>
    <m/>
  </r>
  <r>
    <n v="3475"/>
    <x v="59"/>
    <s v="WHATS"/>
    <n v="83197"/>
    <n v="46"/>
    <m/>
    <m/>
    <m/>
    <x v="266"/>
    <m/>
  </r>
  <r>
    <n v="784"/>
    <x v="13"/>
    <s v="WHATS"/>
    <n v="84096"/>
    <n v="8219"/>
    <m/>
    <m/>
    <m/>
    <x v="266"/>
    <m/>
  </r>
  <r>
    <n v="571"/>
    <x v="0"/>
    <s v="WHATS"/>
    <n v="84091"/>
    <n v="2466.65"/>
    <m/>
    <m/>
    <m/>
    <x v="266"/>
    <m/>
  </r>
  <r>
    <n v="1026"/>
    <x v="7"/>
    <s v="WHATS"/>
    <n v="84095"/>
    <n v="1092"/>
    <m/>
    <m/>
    <m/>
    <x v="266"/>
    <m/>
  </r>
  <r>
    <n v="2911"/>
    <x v="15"/>
    <s v="WHATS"/>
    <s v="84103/100641"/>
    <n v="3469.61"/>
    <m/>
    <m/>
    <m/>
    <x v="266"/>
    <m/>
  </r>
  <r>
    <n v="50990"/>
    <x v="129"/>
    <s v="WHATS"/>
    <n v="83302"/>
    <n v="287.7"/>
    <m/>
    <m/>
    <m/>
    <x v="266"/>
    <m/>
  </r>
  <r>
    <n v="1016"/>
    <x v="101"/>
    <s v="TEL"/>
    <s v="84108/100643"/>
    <n v="2411.1"/>
    <m/>
    <m/>
    <m/>
    <x v="266"/>
    <m/>
  </r>
  <r>
    <n v="1206"/>
    <x v="33"/>
    <s v="WHATS"/>
    <n v="84157"/>
    <n v="1059.3499999999999"/>
    <m/>
    <m/>
    <m/>
    <x v="15"/>
    <m/>
  </r>
  <r>
    <n v="906"/>
    <x v="27"/>
    <s v="WHATS"/>
    <s v="84129/100653/100364"/>
    <n v="4893.58"/>
    <m/>
    <m/>
    <m/>
    <x v="15"/>
    <m/>
  </r>
  <r>
    <n v="50219"/>
    <x v="14"/>
    <s v="EMAIL"/>
    <n v="84125"/>
    <n v="3830.39"/>
    <m/>
    <m/>
    <m/>
    <x v="266"/>
    <m/>
  </r>
  <r>
    <n v="746"/>
    <x v="3"/>
    <s v="TEL"/>
    <s v="84131/100652"/>
    <n v="8228.83"/>
    <m/>
    <m/>
    <m/>
    <x v="15"/>
    <m/>
  </r>
  <r>
    <n v="663"/>
    <x v="116"/>
    <s v="WHATS"/>
    <s v="84140/100654"/>
    <n v="1271.21"/>
    <m/>
    <m/>
    <m/>
    <x v="15"/>
    <m/>
  </r>
  <r>
    <n v="738"/>
    <x v="0"/>
    <s v="WHATS"/>
    <n v="83864"/>
    <n v="6724"/>
    <m/>
    <m/>
    <m/>
    <x v="15"/>
    <m/>
  </r>
  <r>
    <n v="50185"/>
    <x v="105"/>
    <s v="WHATS"/>
    <n v="84165"/>
    <n v="244"/>
    <m/>
    <m/>
    <m/>
    <x v="15"/>
    <m/>
  </r>
  <r>
    <n v="500481"/>
    <x v="128"/>
    <s v="WHATS"/>
    <n v="84168"/>
    <n v="36.5"/>
    <m/>
    <m/>
    <m/>
    <x v="15"/>
    <m/>
  </r>
  <r>
    <n v="171"/>
    <x v="70"/>
    <s v="WHATS"/>
    <s v="83874/84116"/>
    <n v="1167.6500000000001"/>
    <m/>
    <m/>
    <m/>
    <x v="267"/>
    <m/>
  </r>
  <r>
    <n v="725"/>
    <x v="65"/>
    <s v="WHATS"/>
    <n v="84218"/>
    <n v="267.29000000000002"/>
    <m/>
    <m/>
    <m/>
    <x v="267"/>
    <m/>
  </r>
  <r>
    <n v="3153"/>
    <x v="12"/>
    <s v="WHATS"/>
    <s v="84225/84049/100666"/>
    <n v="1936.95"/>
    <m/>
    <m/>
    <m/>
    <x v="267"/>
    <m/>
  </r>
  <r>
    <n v="1122"/>
    <x v="87"/>
    <s v="WHATS"/>
    <s v="84222/82825"/>
    <n v="3021.13"/>
    <m/>
    <m/>
    <m/>
    <x v="267"/>
    <m/>
  </r>
  <r>
    <n v="1493"/>
    <x v="21"/>
    <s v="TEL"/>
    <n v="84243"/>
    <n v="1690.25"/>
    <m/>
    <m/>
    <m/>
    <x v="267"/>
    <m/>
  </r>
  <r>
    <n v="1623"/>
    <x v="57"/>
    <s v="WHATS"/>
    <n v="84248"/>
    <n v="835.4"/>
    <m/>
    <m/>
    <m/>
    <x v="267"/>
    <m/>
  </r>
  <r>
    <n v="575"/>
    <x v="45"/>
    <s v="WHATS"/>
    <n v="84014"/>
    <n v="252.5"/>
    <m/>
    <m/>
    <m/>
    <x v="268"/>
    <m/>
  </r>
  <r>
    <n v="1842"/>
    <x v="47"/>
    <s v="WHATS"/>
    <n v="84000"/>
    <n v="385.2"/>
    <m/>
    <m/>
    <m/>
    <x v="268"/>
    <m/>
  </r>
  <r>
    <n v="311"/>
    <x v="46"/>
    <s v="WHATS"/>
    <n v="84254"/>
    <n v="1396.2"/>
    <m/>
    <m/>
    <m/>
    <x v="268"/>
    <m/>
  </r>
  <r>
    <n v="124"/>
    <x v="0"/>
    <s v="WHATS"/>
    <n v="84252"/>
    <n v="594.1"/>
    <m/>
    <m/>
    <m/>
    <x v="268"/>
    <m/>
  </r>
  <r>
    <n v="1240"/>
    <x v="25"/>
    <s v="WHATS"/>
    <n v="84302"/>
    <n v="2212.84"/>
    <m/>
    <m/>
    <m/>
    <x v="268"/>
    <m/>
  </r>
  <r>
    <n v="690"/>
    <x v="19"/>
    <s v="WHATS"/>
    <s v="84315/100681"/>
    <n v="2151.88"/>
    <m/>
    <m/>
    <m/>
    <x v="269"/>
    <m/>
  </r>
  <r>
    <n v="68"/>
    <x v="0"/>
    <s v="WHATS"/>
    <n v="84322"/>
    <n v="4199.3500000000004"/>
    <m/>
    <m/>
    <m/>
    <x v="269"/>
    <m/>
  </r>
  <r>
    <n v="500481"/>
    <x v="128"/>
    <s v="WHATS"/>
    <s v="84305/82969"/>
    <n v="1019.78"/>
    <m/>
    <m/>
    <m/>
    <x v="270"/>
    <m/>
  </r>
  <r>
    <n v="620"/>
    <x v="69"/>
    <s v="WHATS"/>
    <s v="84363/84179"/>
    <n v="729.78"/>
    <m/>
    <m/>
    <m/>
    <x v="270"/>
    <m/>
  </r>
  <r>
    <n v="1164"/>
    <x v="58"/>
    <s v="WHATS"/>
    <n v="84215"/>
    <n v="1392.13"/>
    <m/>
    <m/>
    <m/>
    <x v="270"/>
    <m/>
  </r>
  <r>
    <n v="2022"/>
    <x v="28"/>
    <s v="WHATS"/>
    <n v="83987"/>
    <n v="8066.6"/>
    <m/>
    <m/>
    <m/>
    <x v="270"/>
    <m/>
  </r>
  <r>
    <n v="50554"/>
    <x v="20"/>
    <s v="WHATS"/>
    <s v="84379/83612/100698"/>
    <n v="5163.57"/>
    <m/>
    <m/>
    <m/>
    <x v="270"/>
    <m/>
  </r>
  <r>
    <n v="738"/>
    <x v="0"/>
    <s v="WHATS"/>
    <n v="100683"/>
    <n v="739.3"/>
    <m/>
    <m/>
    <m/>
    <x v="270"/>
    <m/>
  </r>
  <r>
    <n v="3017"/>
    <x v="62"/>
    <s v="WHATS"/>
    <n v="84398"/>
    <n v="1332"/>
    <m/>
    <m/>
    <m/>
    <x v="270"/>
    <m/>
  </r>
  <r>
    <n v="2163"/>
    <x v="36"/>
    <s v="TEL"/>
    <n v="84401"/>
    <n v="1840.5"/>
    <m/>
    <m/>
    <m/>
    <x v="270"/>
    <m/>
  </r>
  <r>
    <n v="3194"/>
    <x v="18"/>
    <s v="WHATS"/>
    <n v="84414"/>
    <n v="2587.9"/>
    <m/>
    <m/>
    <m/>
    <x v="271"/>
    <m/>
  </r>
  <r>
    <n v="784"/>
    <x v="13"/>
    <s v="EMAIL"/>
    <n v="84437"/>
    <n v="3981.75"/>
    <m/>
    <m/>
    <m/>
    <x v="271"/>
    <m/>
  </r>
  <r>
    <n v="687"/>
    <x v="16"/>
    <s v="WHATS"/>
    <n v="84436"/>
    <n v="856"/>
    <m/>
    <m/>
    <m/>
    <x v="271"/>
    <m/>
  </r>
  <r>
    <n v="475"/>
    <x v="23"/>
    <s v="EMAIL"/>
    <s v="83640/100708"/>
    <n v="12704.21"/>
    <m/>
    <m/>
    <m/>
    <x v="272"/>
    <m/>
  </r>
  <r>
    <n v="1533"/>
    <x v="50"/>
    <s v="WHATS"/>
    <n v="84369"/>
    <n v="1922.4"/>
    <m/>
    <m/>
    <m/>
    <x v="272"/>
    <m/>
  </r>
  <r>
    <n v="311"/>
    <x v="46"/>
    <s v="WHATS"/>
    <n v="84493"/>
    <n v="2145.52"/>
    <m/>
    <m/>
    <m/>
    <x v="272"/>
    <m/>
  </r>
  <r>
    <n v="500434"/>
    <x v="126"/>
    <s v="WHATS"/>
    <n v="84531"/>
    <n v="30.5"/>
    <m/>
    <m/>
    <m/>
    <x v="272"/>
    <m/>
  </r>
  <r>
    <n v="432"/>
    <x v="43"/>
    <s v="WHATS"/>
    <s v="84420/100706"/>
    <n v="3435.9"/>
    <m/>
    <m/>
    <m/>
    <x v="273"/>
    <m/>
  </r>
  <r>
    <n v="1206"/>
    <x v="33"/>
    <s v="WHATS"/>
    <n v="84555"/>
    <n v="929.01"/>
    <m/>
    <m/>
    <m/>
    <x v="273"/>
    <m/>
  </r>
  <r>
    <n v="725"/>
    <x v="65"/>
    <s v="WHATS"/>
    <s v="84557/83738"/>
    <n v="656.46"/>
    <m/>
    <m/>
    <m/>
    <x v="273"/>
    <m/>
  </r>
  <r>
    <n v="50312"/>
    <x v="86"/>
    <s v="WHATS"/>
    <n v="84564"/>
    <n v="568.14"/>
    <m/>
    <m/>
    <m/>
    <x v="273"/>
    <m/>
  </r>
  <r>
    <n v="50418"/>
    <x v="35"/>
    <s v="WHATS"/>
    <n v="84609"/>
    <n v="1341.95"/>
    <m/>
    <m/>
    <m/>
    <x v="274"/>
    <m/>
  </r>
  <r>
    <n v="2980"/>
    <x v="40"/>
    <s v="WHATS"/>
    <s v="100735/84613"/>
    <n v="1303.9000000000001"/>
    <m/>
    <m/>
    <m/>
    <x v="274"/>
    <m/>
  </r>
  <r>
    <n v="3240"/>
    <x v="75"/>
    <s v="WHATS"/>
    <s v="84540/100722"/>
    <n v="710.89"/>
    <m/>
    <m/>
    <m/>
    <x v="274"/>
    <m/>
  </r>
  <r>
    <n v="50554"/>
    <x v="20"/>
    <s v="WHATS"/>
    <s v="100724/84533"/>
    <n v="373.98"/>
    <m/>
    <m/>
    <m/>
    <x v="275"/>
    <m/>
  </r>
  <r>
    <n v="500149"/>
    <x v="94"/>
    <s v="WHATS"/>
    <n v="84638"/>
    <n v="10550.6"/>
    <m/>
    <m/>
    <m/>
    <x v="275"/>
    <m/>
  </r>
  <r>
    <n v="1164"/>
    <x v="58"/>
    <s v="WHATS"/>
    <s v="100665/84654"/>
    <n v="272.94"/>
    <m/>
    <m/>
    <m/>
    <x v="275"/>
    <m/>
  </r>
  <r>
    <n v="2022"/>
    <x v="28"/>
    <s v="WHATS"/>
    <n v="84659"/>
    <n v="1267.55"/>
    <m/>
    <m/>
    <m/>
    <x v="275"/>
    <m/>
  </r>
  <r>
    <n v="618"/>
    <x v="26"/>
    <s v="WHATS"/>
    <s v="84641/100747"/>
    <n v="3252.74"/>
    <m/>
    <m/>
    <m/>
    <x v="275"/>
    <m/>
  </r>
  <r>
    <n v="705"/>
    <x v="1"/>
    <s v="WHATS"/>
    <s v="84649/100744"/>
    <n v="872.29"/>
    <m/>
    <m/>
    <m/>
    <x v="275"/>
    <m/>
  </r>
  <r>
    <n v="761"/>
    <x v="24"/>
    <s v="WHATS"/>
    <s v="84400/100702"/>
    <n v="2109.39"/>
    <m/>
    <m/>
    <m/>
    <x v="275"/>
    <m/>
  </r>
  <r>
    <n v="746"/>
    <x v="3"/>
    <s v="WHATS"/>
    <n v="100691"/>
    <n v="59.25"/>
    <m/>
    <m/>
    <m/>
    <x v="275"/>
    <m/>
  </r>
  <r>
    <n v="1813"/>
    <x v="48"/>
    <s v="WHATS"/>
    <n v="84669"/>
    <n v="1080"/>
    <m/>
    <m/>
    <m/>
    <x v="275"/>
    <m/>
  </r>
  <r>
    <n v="475"/>
    <x v="23"/>
    <s v="WHATS"/>
    <n v="84715"/>
    <n v="1484.1"/>
    <m/>
    <m/>
    <m/>
    <x v="276"/>
    <m/>
  </r>
  <r>
    <n v="2022"/>
    <x v="28"/>
    <s v="WHATS"/>
    <n v="83987"/>
    <n v="8066.6"/>
    <m/>
    <m/>
    <m/>
    <x v="276"/>
    <m/>
  </r>
  <r>
    <n v="50185"/>
    <x v="105"/>
    <s v="WHATS"/>
    <n v="84779"/>
    <n v="699.85"/>
    <m/>
    <m/>
    <m/>
    <x v="277"/>
    <m/>
  </r>
  <r>
    <n v="2415"/>
    <x v="63"/>
    <s v="WHATS"/>
    <n v="84636"/>
    <n v="767.2"/>
    <m/>
    <m/>
    <m/>
    <x v="277"/>
    <m/>
  </r>
  <r>
    <n v="1026"/>
    <x v="7"/>
    <s v="WHATS"/>
    <n v="84788"/>
    <n v="716.8"/>
    <m/>
    <m/>
    <m/>
    <x v="277"/>
    <m/>
  </r>
  <r>
    <n v="3475"/>
    <x v="59"/>
    <s v="WHATS"/>
    <n v="84795"/>
    <n v="155.6"/>
    <m/>
    <m/>
    <m/>
    <x v="277"/>
    <m/>
  </r>
  <r>
    <n v="1726"/>
    <x v="34"/>
    <s v="EMAIL"/>
    <n v="84802"/>
    <n v="2344"/>
    <m/>
    <m/>
    <m/>
    <x v="277"/>
    <m/>
  </r>
  <r>
    <n v="1164"/>
    <x v="58"/>
    <s v="WHATS"/>
    <n v="84792"/>
    <n v="1248.8"/>
    <m/>
    <m/>
    <m/>
    <x v="277"/>
    <m/>
  </r>
  <r>
    <n v="325"/>
    <x v="97"/>
    <s v="WHATS"/>
    <s v="84814/100770"/>
    <n v="1612.6"/>
    <m/>
    <m/>
    <m/>
    <x v="277"/>
    <m/>
  </r>
  <r>
    <n v="708"/>
    <x v="56"/>
    <s v="WHATS"/>
    <n v="84816"/>
    <n v="2274"/>
    <m/>
    <m/>
    <m/>
    <x v="278"/>
    <m/>
  </r>
  <r>
    <n v="480"/>
    <x v="39"/>
    <s v="WHATS"/>
    <s v="100751/84689"/>
    <n v="4017.42"/>
    <m/>
    <m/>
    <m/>
    <x v="278"/>
    <m/>
  </r>
  <r>
    <n v="2397"/>
    <x v="6"/>
    <s v="TEL"/>
    <n v="84809"/>
    <n v="1968.3"/>
    <m/>
    <m/>
    <m/>
    <x v="279"/>
    <m/>
  </r>
  <r>
    <n v="50554"/>
    <x v="20"/>
    <s v="WHATS"/>
    <n v="84336"/>
    <n v="189"/>
    <m/>
    <m/>
    <m/>
    <x v="278"/>
    <m/>
  </r>
  <r>
    <n v="690"/>
    <x v="19"/>
    <s v="WHATS"/>
    <n v="84334"/>
    <n v="189"/>
    <m/>
    <m/>
    <m/>
    <x v="278"/>
    <m/>
  </r>
  <r>
    <n v="1989"/>
    <x v="67"/>
    <s v="WHATS"/>
    <n v="84341"/>
    <n v="615.13"/>
    <m/>
    <m/>
    <m/>
    <x v="278"/>
    <m/>
  </r>
  <r>
    <n v="500546"/>
    <x v="130"/>
    <s v="WHATS"/>
    <n v="84829"/>
    <n v="5816.1"/>
    <m/>
    <m/>
    <m/>
    <x v="278"/>
    <m/>
  </r>
  <r>
    <n v="1726"/>
    <x v="34"/>
    <s v="EMAIL"/>
    <n v="84858"/>
    <n v="335.5"/>
    <m/>
    <m/>
    <m/>
    <x v="280"/>
    <m/>
  </r>
  <r>
    <n v="500542"/>
    <x v="131"/>
    <s v="WHATS"/>
    <n v="84678"/>
    <n v="157.9"/>
    <m/>
    <m/>
    <m/>
    <x v="280"/>
    <m/>
  </r>
  <r>
    <n v="1041"/>
    <x v="78"/>
    <s v="WHATS"/>
    <n v="84880"/>
    <n v="331.85"/>
    <m/>
    <m/>
    <m/>
    <x v="280"/>
    <m/>
  </r>
  <r>
    <n v="1493"/>
    <x v="21"/>
    <s v="TEL"/>
    <n v="84885"/>
    <n v="1498.62"/>
    <m/>
    <m/>
    <m/>
    <x v="280"/>
    <m/>
  </r>
  <r>
    <n v="516"/>
    <x v="11"/>
    <s v="EMAIL"/>
    <n v="84892"/>
    <n v="10815.13"/>
    <m/>
    <m/>
    <m/>
    <x v="280"/>
    <m/>
  </r>
  <r>
    <n v="1206"/>
    <x v="33"/>
    <s v="WHATS"/>
    <n v="84887"/>
    <n v="929.01"/>
    <m/>
    <m/>
    <m/>
    <x v="279"/>
    <m/>
  </r>
  <r>
    <n v="475"/>
    <x v="23"/>
    <s v="WHATS"/>
    <s v="84898/100792"/>
    <n v="3783.55"/>
    <m/>
    <m/>
    <m/>
    <x v="279"/>
    <m/>
  </r>
  <r>
    <n v="50576"/>
    <x v="37"/>
    <s v="WHATS"/>
    <n v="84916"/>
    <n v="2463.11"/>
    <m/>
    <m/>
    <m/>
    <x v="279"/>
    <m/>
  </r>
  <r>
    <n v="1164"/>
    <x v="58"/>
    <s v="WHATS"/>
    <n v="84951"/>
    <n v="422.9"/>
    <m/>
    <m/>
    <m/>
    <x v="281"/>
    <m/>
  </r>
  <r>
    <n v="3190"/>
    <x v="60"/>
    <s v="WHATS"/>
    <n v="84985"/>
    <n v="3071.88"/>
    <m/>
    <m/>
    <m/>
    <x v="282"/>
    <m/>
  </r>
  <r>
    <n v="906"/>
    <x v="27"/>
    <s v="WHATS"/>
    <s v="100653/100806/84983"/>
    <n v="2416.0500000000002"/>
    <m/>
    <m/>
    <m/>
    <x v="282"/>
    <m/>
  </r>
  <r>
    <n v="704"/>
    <x v="49"/>
    <s v="WHATS"/>
    <s v="100784/84219"/>
    <n v="1282.43"/>
    <m/>
    <m/>
    <m/>
    <x v="282"/>
    <m/>
  </r>
  <r>
    <n v="1971"/>
    <x v="29"/>
    <s v="WHATS"/>
    <n v="84968"/>
    <n v="564"/>
    <m/>
    <m/>
    <m/>
    <x v="282"/>
    <m/>
  </r>
  <r>
    <n v="475"/>
    <x v="23"/>
    <s v="WHATS"/>
    <n v="85035"/>
    <n v="4343.74"/>
    <m/>
    <m/>
    <m/>
    <x v="283"/>
    <m/>
  </r>
  <r>
    <n v="516"/>
    <x v="11"/>
    <s v="WHATS"/>
    <n v="84982"/>
    <n v="32.5"/>
    <m/>
    <m/>
    <m/>
    <x v="283"/>
    <m/>
  </r>
  <r>
    <n v="708"/>
    <x v="56"/>
    <s v="WHATS"/>
    <n v="85040"/>
    <n v="2081.15"/>
    <m/>
    <m/>
    <m/>
    <x v="283"/>
    <m/>
  </r>
  <r>
    <n v="772"/>
    <x v="71"/>
    <s v="WHATS"/>
    <s v="85050/100817"/>
    <n v="1135.45"/>
    <m/>
    <m/>
    <m/>
    <x v="283"/>
    <m/>
  </r>
  <r>
    <n v="620"/>
    <x v="69"/>
    <s v="WHATS"/>
    <s v="85053/100696"/>
    <n v="984.76"/>
    <m/>
    <m/>
    <m/>
    <x v="283"/>
    <m/>
  </r>
  <r>
    <n v="50554"/>
    <x v="20"/>
    <s v="WHATS"/>
    <s v="85062/100821"/>
    <n v="921"/>
    <m/>
    <m/>
    <m/>
    <x v="283"/>
    <m/>
  </r>
  <r>
    <n v="3077"/>
    <x v="10"/>
    <s v="TEL"/>
    <n v="85068"/>
    <n v="694.46"/>
    <m/>
    <m/>
    <m/>
    <x v="283"/>
    <m/>
  </r>
  <r>
    <n v="874"/>
    <x v="53"/>
    <s v="WHATS"/>
    <n v="84891"/>
    <n v="575.45000000000005"/>
    <m/>
    <m/>
    <m/>
    <x v="283"/>
    <m/>
  </r>
  <r>
    <n v="500481"/>
    <x v="128"/>
    <s v="WHATS"/>
    <n v="85069"/>
    <n v="253.05"/>
    <m/>
    <m/>
    <m/>
    <x v="283"/>
    <m/>
  </r>
  <r>
    <n v="690"/>
    <x v="19"/>
    <s v="WHATS"/>
    <n v="84850"/>
    <n v="499.2"/>
    <m/>
    <m/>
    <m/>
    <x v="283"/>
    <m/>
  </r>
  <r>
    <n v="50554"/>
    <x v="20"/>
    <s v="WHATS"/>
    <s v="100821/85062"/>
    <n v="626.5"/>
    <m/>
    <m/>
    <m/>
    <x v="283"/>
    <m/>
  </r>
  <r>
    <n v="761"/>
    <x v="24"/>
    <s v="WHATS"/>
    <n v="84977"/>
    <n v="926.95"/>
    <m/>
    <m/>
    <m/>
    <x v="283"/>
    <m/>
  </r>
  <r>
    <n v="1652"/>
    <x v="61"/>
    <s v="TEL"/>
    <n v="84360"/>
    <n v="696.5"/>
    <m/>
    <m/>
    <m/>
    <x v="283"/>
    <m/>
  </r>
  <r>
    <n v="463"/>
    <x v="32"/>
    <s v="WHATS"/>
    <n v="85084"/>
    <n v="1962.95"/>
    <m/>
    <m/>
    <m/>
    <x v="283"/>
    <m/>
  </r>
  <r>
    <n v="762"/>
    <x v="41"/>
    <s v="WHATS"/>
    <n v="85087"/>
    <n v="2126.6"/>
    <m/>
    <m/>
    <m/>
    <x v="284"/>
    <m/>
  </r>
  <r>
    <n v="2911"/>
    <x v="15"/>
    <s v="WHATS"/>
    <s v="85011/100839"/>
    <n v="1801.11"/>
    <m/>
    <m/>
    <m/>
    <x v="284"/>
    <m/>
  </r>
  <r>
    <n v="762"/>
    <x v="41"/>
    <s v="WHATS"/>
    <n v="82142"/>
    <m/>
    <m/>
    <n v="2259.6"/>
    <m/>
    <x v="284"/>
    <m/>
  </r>
  <r>
    <n v="1206"/>
    <x v="33"/>
    <s v="WHATS"/>
    <n v="85156"/>
    <n v="929.01"/>
    <m/>
    <m/>
    <m/>
    <x v="285"/>
    <m/>
  </r>
  <r>
    <n v="412"/>
    <x v="90"/>
    <s v="WHATS"/>
    <s v="100848/85155"/>
    <n v="1912.9"/>
    <m/>
    <m/>
    <m/>
    <x v="285"/>
    <m/>
  </r>
  <r>
    <n v="3475"/>
    <x v="59"/>
    <s v="WHATS"/>
    <n v="84795"/>
    <n v="1177.8"/>
    <m/>
    <m/>
    <m/>
    <x v="285"/>
    <m/>
  </r>
  <r>
    <n v="311"/>
    <x v="46"/>
    <s v="WHATS"/>
    <n v="84980"/>
    <n v="1069.75"/>
    <m/>
    <m/>
    <m/>
    <x v="285"/>
    <m/>
  </r>
  <r>
    <n v="741"/>
    <x v="85"/>
    <s v="WHATS"/>
    <n v="85161"/>
    <n v="947.9"/>
    <m/>
    <m/>
    <m/>
    <x v="285"/>
    <m/>
  </r>
  <r>
    <n v="905"/>
    <x v="72"/>
    <s v="TEL"/>
    <s v="100877/85275"/>
    <n v="1107.77"/>
    <m/>
    <m/>
    <m/>
    <x v="286"/>
    <m/>
  </r>
  <r>
    <n v="3153"/>
    <x v="12"/>
    <s v="WHATS"/>
    <n v="85281"/>
    <n v="1271.3699999999999"/>
    <m/>
    <m/>
    <m/>
    <x v="287"/>
    <m/>
  </r>
  <r>
    <n v="762"/>
    <x v="41"/>
    <s v="EMAIL"/>
    <n v="85087"/>
    <n v="834"/>
    <m/>
    <m/>
    <m/>
    <x v="287"/>
    <m/>
  </r>
  <r>
    <n v="50219"/>
    <x v="14"/>
    <s v="WHATS"/>
    <s v="85182/100856"/>
    <n v="3477.91"/>
    <m/>
    <m/>
    <m/>
    <x v="287"/>
    <m/>
  </r>
  <r>
    <n v="1623"/>
    <x v="57"/>
    <s v="WHATS"/>
    <n v="85163"/>
    <n v="937.86"/>
    <m/>
    <m/>
    <m/>
    <x v="287"/>
    <m/>
  </r>
  <r>
    <n v="823"/>
    <x v="17"/>
    <s v="WHATS"/>
    <s v="85261/84995"/>
    <n v="2896"/>
    <m/>
    <m/>
    <m/>
    <x v="287"/>
    <m/>
  </r>
  <r>
    <n v="516"/>
    <x v="11"/>
    <s v="WHATS"/>
    <n v="82693"/>
    <n v="4440"/>
    <m/>
    <m/>
    <m/>
    <x v="287"/>
    <m/>
  </r>
  <r>
    <n v="784"/>
    <x v="13"/>
    <s v="WHATS"/>
    <n v="82715"/>
    <n v="4191.79"/>
    <m/>
    <m/>
    <m/>
    <x v="287"/>
    <m/>
  </r>
  <r>
    <n v="432"/>
    <x v="43"/>
    <s v="WHATS"/>
    <n v="85288"/>
    <n v="3926.25"/>
    <m/>
    <m/>
    <m/>
    <x v="287"/>
    <m/>
  </r>
  <r>
    <n v="822"/>
    <x v="66"/>
    <s v="WHATS"/>
    <s v="85230/85198/100861"/>
    <n v="4131.95"/>
    <m/>
    <m/>
    <m/>
    <x v="287"/>
    <m/>
  </r>
  <r>
    <n v="704"/>
    <x v="49"/>
    <s v="WHATS"/>
    <n v="85297"/>
    <n v="976.95"/>
    <m/>
    <m/>
    <m/>
    <x v="287"/>
    <m/>
  </r>
  <r>
    <n v="2022"/>
    <x v="28"/>
    <s v="WHATS"/>
    <n v="85317"/>
    <n v="1684.38"/>
    <m/>
    <m/>
    <m/>
    <x v="286"/>
    <m/>
  </r>
  <r>
    <n v="50554"/>
    <x v="20"/>
    <s v="WHATS"/>
    <s v="85305/100887"/>
    <n v="3211.9"/>
    <m/>
    <m/>
    <m/>
    <x v="286"/>
    <m/>
  </r>
  <r>
    <n v="1652"/>
    <x v="61"/>
    <s v="WHATS"/>
    <s v="85331/100827"/>
    <n v="578.95000000000005"/>
    <m/>
    <m/>
    <m/>
    <x v="286"/>
    <m/>
  </r>
  <r>
    <n v="1788"/>
    <x v="91"/>
    <s v="WHATS"/>
    <n v="85291"/>
    <n v="298.3"/>
    <m/>
    <m/>
    <m/>
    <x v="286"/>
    <m/>
  </r>
  <r>
    <n v="575"/>
    <x v="45"/>
    <s v="WHATS"/>
    <s v="85274/100876"/>
    <n v="741.18"/>
    <m/>
    <m/>
    <m/>
    <x v="286"/>
    <m/>
  </r>
  <r>
    <n v="3194"/>
    <x v="18"/>
    <s v="WHATS"/>
    <n v="85263"/>
    <n v="2677.4"/>
    <m/>
    <m/>
    <m/>
    <x v="286"/>
    <m/>
  </r>
  <r>
    <n v="690"/>
    <x v="19"/>
    <s v="WHATS"/>
    <s v="85375/100896"/>
    <n v="1678.75"/>
    <m/>
    <m/>
    <m/>
    <x v="288"/>
    <m/>
  </r>
  <r>
    <n v="784"/>
    <x v="13"/>
    <s v="WHATS"/>
    <n v="85398"/>
    <n v="1791"/>
    <m/>
    <m/>
    <m/>
    <x v="288"/>
    <m/>
  </r>
  <r>
    <n v="784"/>
    <x v="13"/>
    <s v="WHATS"/>
    <n v="85439"/>
    <n v="147.4"/>
    <m/>
    <m/>
    <m/>
    <x v="288"/>
    <m/>
  </r>
  <r>
    <n v="762"/>
    <x v="41"/>
    <s v="WHATS"/>
    <s v="85469/85470"/>
    <n v="2560.7800000000002"/>
    <m/>
    <m/>
    <m/>
    <x v="289"/>
    <m/>
  </r>
  <r>
    <n v="475"/>
    <x v="23"/>
    <s v="EMAIL"/>
    <s v="85429/84898/85035/100906"/>
    <n v="5967.72"/>
    <m/>
    <m/>
    <m/>
    <x v="289"/>
    <m/>
  </r>
  <r>
    <n v="762"/>
    <x v="41"/>
    <s v="WHATS"/>
    <s v="85469/85470"/>
    <n v="2560.7800000000002"/>
    <m/>
    <m/>
    <m/>
    <x v="289"/>
    <m/>
  </r>
  <r>
    <n v="432"/>
    <x v="43"/>
    <s v="WHATS"/>
    <s v="100907/85292"/>
    <n v="4053.71"/>
    <m/>
    <m/>
    <m/>
    <x v="289"/>
    <m/>
  </r>
  <r>
    <n v="51175"/>
    <x v="79"/>
    <s v="WHATS"/>
    <s v="100918/85518"/>
    <n v="1715.9"/>
    <m/>
    <m/>
    <m/>
    <x v="289"/>
    <m/>
  </r>
  <r>
    <n v="2022"/>
    <x v="28"/>
    <s v="WHATS"/>
    <n v="84743"/>
    <n v="6760"/>
    <m/>
    <m/>
    <m/>
    <x v="290"/>
    <m/>
  </r>
  <r>
    <n v="784"/>
    <x v="13"/>
    <s v="WHATS"/>
    <n v="85439"/>
    <n v="222"/>
    <m/>
    <m/>
    <m/>
    <x v="291"/>
    <m/>
  </r>
  <r>
    <n v="50418"/>
    <x v="35"/>
    <s v="WHATS"/>
    <n v="85453"/>
    <n v="1070.1500000000001"/>
    <m/>
    <m/>
    <m/>
    <x v="291"/>
    <m/>
  </r>
  <r>
    <n v="500005"/>
    <x v="102"/>
    <s v="WHATS"/>
    <n v="84852"/>
    <n v="1781.4"/>
    <m/>
    <m/>
    <m/>
    <x v="292"/>
    <m/>
  </r>
  <r>
    <n v="1164"/>
    <x v="58"/>
    <s v="WHATS"/>
    <s v="85544/100926"/>
    <n v="2595.08"/>
    <m/>
    <m/>
    <m/>
    <x v="292"/>
    <m/>
  </r>
  <r>
    <n v="2415"/>
    <x v="63"/>
    <s v="WHATS"/>
    <n v="84755"/>
    <n v="1584"/>
    <m/>
    <m/>
    <m/>
    <x v="292"/>
    <m/>
  </r>
  <r>
    <n v="1533"/>
    <x v="50"/>
    <s v="WHATS"/>
    <n v="85551"/>
    <n v="1254.95"/>
    <m/>
    <m/>
    <m/>
    <x v="292"/>
    <m/>
  </r>
  <r>
    <n v="2415"/>
    <x v="63"/>
    <s v="WHATS"/>
    <n v="84755"/>
    <n v="1584"/>
    <m/>
    <m/>
    <m/>
    <x v="292"/>
    <m/>
  </r>
  <r>
    <n v="3190"/>
    <x v="60"/>
    <s v="WHATS"/>
    <n v="85582"/>
    <n v="766.2"/>
    <m/>
    <m/>
    <m/>
    <x v="292"/>
    <m/>
  </r>
  <r>
    <n v="618"/>
    <x v="26"/>
    <s v="WHATS"/>
    <s v="85260/100930"/>
    <n v="3000.2"/>
    <m/>
    <m/>
    <m/>
    <x v="290"/>
    <m/>
  </r>
  <r>
    <n v="1971"/>
    <x v="29"/>
    <s v="WHATS"/>
    <s v="100940/100567"/>
    <n v="152.85"/>
    <m/>
    <m/>
    <m/>
    <x v="290"/>
    <m/>
  </r>
  <r>
    <n v="1788"/>
    <x v="91"/>
    <s v="WHATS"/>
    <n v="85291"/>
    <n v="888"/>
    <m/>
    <m/>
    <m/>
    <x v="290"/>
    <m/>
  </r>
  <r>
    <n v="311"/>
    <x v="46"/>
    <s v="WHATS"/>
    <n v="85642"/>
    <n v="1497.5"/>
    <m/>
    <m/>
    <m/>
    <x v="290"/>
    <m/>
  </r>
  <r>
    <n v="746"/>
    <x v="3"/>
    <s v="WHATS"/>
    <n v="85341"/>
    <n v="939.97"/>
    <m/>
    <m/>
    <m/>
    <x v="290"/>
    <m/>
  </r>
  <r>
    <n v="724"/>
    <x v="42"/>
    <s v="WHATS"/>
    <s v="100943/85636"/>
    <n v="302.14999999999998"/>
    <m/>
    <m/>
    <m/>
    <x v="290"/>
    <m/>
  </r>
  <r>
    <n v="2415"/>
    <x v="63"/>
    <s v="WHATS"/>
    <s v="100946/85645"/>
    <n v="1382.38"/>
    <m/>
    <m/>
    <m/>
    <x v="290"/>
    <m/>
  </r>
  <r>
    <n v="325"/>
    <x v="97"/>
    <s v="WHATS"/>
    <n v="85709"/>
    <n v="1134.9000000000001"/>
    <m/>
    <m/>
    <m/>
    <x v="293"/>
    <m/>
  </r>
  <r>
    <n v="1016"/>
    <x v="101"/>
    <s v="WHATS"/>
    <n v="85711"/>
    <n v="3334.3"/>
    <m/>
    <m/>
    <m/>
    <x v="293"/>
    <m/>
  </r>
  <r>
    <n v="500005"/>
    <x v="102"/>
    <s v="EMAIL"/>
    <n v="84852"/>
    <n v="796.6"/>
    <m/>
    <m/>
    <m/>
    <x v="293"/>
    <m/>
  </r>
  <r>
    <n v="3475"/>
    <x v="59"/>
    <s v="WHATS"/>
    <s v="84795/85232"/>
    <n v="158.9"/>
    <m/>
    <m/>
    <m/>
    <x v="293"/>
    <m/>
  </r>
  <r>
    <n v="3017"/>
    <x v="62"/>
    <s v="WHATS"/>
    <n v="85741"/>
    <n v="1040.9000000000001"/>
    <m/>
    <m/>
    <m/>
    <x v="294"/>
    <m/>
  </r>
  <r>
    <n v="663"/>
    <x v="116"/>
    <s v="WHATS"/>
    <s v="85742/100974"/>
    <n v="727.95"/>
    <m/>
    <m/>
    <m/>
    <x v="294"/>
    <m/>
  </r>
  <r>
    <n v="50418"/>
    <x v="35"/>
    <s v="WHATS"/>
    <n v="85749"/>
    <n v="3614.65"/>
    <m/>
    <m/>
    <m/>
    <x v="294"/>
    <m/>
  </r>
  <r>
    <n v="3018"/>
    <x v="64"/>
    <s v="WHATS"/>
    <s v="85778/100981"/>
    <n v="852.86"/>
    <m/>
    <m/>
    <m/>
    <x v="295"/>
    <m/>
  </r>
  <r>
    <n v="1206"/>
    <x v="33"/>
    <s v="WHATS"/>
    <n v="85780"/>
    <n v="3346.2"/>
    <m/>
    <m/>
    <m/>
    <x v="295"/>
    <m/>
  </r>
  <r>
    <n v="2572"/>
    <x v="115"/>
    <s v="WHATS"/>
    <n v="85790"/>
    <n v="2130"/>
    <m/>
    <m/>
    <m/>
    <x v="295"/>
    <m/>
  </r>
  <r>
    <n v="3077"/>
    <x v="10"/>
    <s v="WHATS"/>
    <n v="85801"/>
    <n v="929.26"/>
    <m/>
    <m/>
    <m/>
    <x v="295"/>
    <m/>
  </r>
  <r>
    <n v="746"/>
    <x v="3"/>
    <s v="WHATS"/>
    <n v="85024"/>
    <n v="4177.5600000000004"/>
    <m/>
    <m/>
    <m/>
    <x v="295"/>
    <m/>
  </r>
  <r>
    <n v="1493"/>
    <x v="21"/>
    <s v="TEL"/>
    <n v="85809"/>
    <n v="2191.27"/>
    <m/>
    <m/>
    <m/>
    <x v="295"/>
    <m/>
  </r>
  <r>
    <n v="761"/>
    <x v="24"/>
    <s v="WHATS"/>
    <s v="100810/85379"/>
    <n v="2104.1999999999998"/>
    <m/>
    <m/>
    <m/>
    <x v="296"/>
    <m/>
  </r>
  <r>
    <n v="325"/>
    <x v="97"/>
    <s v="WHATS"/>
    <n v="100961"/>
    <n v="255.35"/>
    <m/>
    <m/>
    <m/>
    <x v="296"/>
    <m/>
  </r>
  <r>
    <n v="761"/>
    <x v="24"/>
    <s v="WHATS"/>
    <n v="85840"/>
    <n v="296"/>
    <m/>
    <m/>
    <m/>
    <x v="296"/>
    <m/>
  </r>
  <r>
    <n v="2980"/>
    <x v="40"/>
    <s v="WHATS"/>
    <s v="85495/84936/100921"/>
    <n v="828.62"/>
    <m/>
    <m/>
    <m/>
    <x v="296"/>
    <m/>
  </r>
  <r>
    <n v="311"/>
    <x v="46"/>
    <s v="WHATS"/>
    <s v="85834/85831/100985"/>
    <n v="1308.8"/>
    <m/>
    <m/>
    <m/>
    <x v="296"/>
    <m/>
  </r>
  <r>
    <n v="516"/>
    <x v="11"/>
    <s v="EMAIL"/>
    <n v="85463"/>
    <n v="8301.7900000000009"/>
    <m/>
    <m/>
    <m/>
    <x v="296"/>
    <m/>
  </r>
  <r>
    <n v="575"/>
    <x v="45"/>
    <s v="EMAIL"/>
    <s v="85390/100965/100343"/>
    <n v="681.28"/>
    <m/>
    <m/>
    <m/>
    <x v="296"/>
    <m/>
  </r>
  <r>
    <n v="50576"/>
    <x v="37"/>
    <s v="WHATS"/>
    <s v="85681 /100952"/>
    <n v="1172.5"/>
    <m/>
    <m/>
    <m/>
    <x v="296"/>
    <m/>
  </r>
  <r>
    <n v="1842"/>
    <x v="47"/>
    <s v="WHATS"/>
    <s v="85513/100987"/>
    <n v="725.58"/>
    <m/>
    <m/>
    <m/>
    <x v="296"/>
    <m/>
  </r>
  <r>
    <n v="572"/>
    <x v="51"/>
    <s v="WHATS"/>
    <n v="85864"/>
    <n v="1558.15"/>
    <m/>
    <m/>
    <m/>
    <x v="296"/>
    <m/>
  </r>
  <r>
    <n v="1813"/>
    <x v="48"/>
    <s v="WHATS"/>
    <n v="85818"/>
    <n v="1583.2"/>
    <m/>
    <m/>
    <m/>
    <x v="296"/>
    <m/>
  </r>
  <r>
    <n v="960"/>
    <x v="30"/>
    <s v="WHATS"/>
    <s v="85865/100989"/>
    <n v="1087.28"/>
    <m/>
    <m/>
    <m/>
    <x v="296"/>
    <m/>
  </r>
  <r>
    <n v="1240"/>
    <x v="25"/>
    <s v="WHATS"/>
    <n v="85732"/>
    <n v="1440.45"/>
    <m/>
    <m/>
    <m/>
    <x v="297"/>
    <m/>
  </r>
  <r>
    <n v="687"/>
    <x v="16"/>
    <s v="WHATS"/>
    <n v="85894"/>
    <n v="4669.8"/>
    <m/>
    <m/>
    <m/>
    <x v="297"/>
    <m/>
  </r>
  <r>
    <n v="1164"/>
    <x v="58"/>
    <s v="WHATS"/>
    <s v="100991/85565"/>
    <n v="231.04"/>
    <m/>
    <m/>
    <m/>
    <x v="297"/>
    <m/>
  </r>
  <r>
    <n v="2022"/>
    <x v="28"/>
    <s v="WHATS"/>
    <s v="85896/85869"/>
    <n v="2182.5700000000002"/>
    <m/>
    <m/>
    <m/>
    <x v="297"/>
    <m/>
  </r>
  <r>
    <n v="1502"/>
    <x v="76"/>
    <s v="EMAIL"/>
    <n v="85867"/>
    <n v="3202.7"/>
    <m/>
    <m/>
    <m/>
    <x v="297"/>
    <m/>
  </r>
  <r>
    <n v="50961"/>
    <x v="109"/>
    <s v="WHATS"/>
    <n v="85887"/>
    <n v="377.8"/>
    <m/>
    <m/>
    <m/>
    <x v="297"/>
    <m/>
  </r>
  <r>
    <n v="687"/>
    <x v="16"/>
    <s v="WHATS"/>
    <n v="85894"/>
    <n v="6382.2"/>
    <m/>
    <m/>
    <m/>
    <x v="297"/>
    <m/>
  </r>
  <r>
    <n v="1122"/>
    <x v="87"/>
    <s v="EMAIL"/>
    <s v="85911/100994"/>
    <n v="1510"/>
    <m/>
    <m/>
    <m/>
    <x v="297"/>
    <m/>
  </r>
  <r>
    <n v="905"/>
    <x v="72"/>
    <s v="TEL"/>
    <s v="85362/101001"/>
    <n v="750.5"/>
    <m/>
    <m/>
    <m/>
    <x v="298"/>
    <m/>
  </r>
  <r>
    <n v="772"/>
    <x v="71"/>
    <s v="WHATS"/>
    <s v="85940/101004"/>
    <n v="1796.75"/>
    <m/>
    <m/>
    <m/>
    <x v="298"/>
    <m/>
  </r>
  <r>
    <n v="480"/>
    <x v="39"/>
    <s v="WHATS"/>
    <s v="85934/100998"/>
    <n v="1739.9"/>
    <m/>
    <m/>
    <m/>
    <x v="298"/>
    <m/>
  </r>
  <r>
    <n v="474"/>
    <x v="98"/>
    <s v="WHATS"/>
    <s v="85740/100972"/>
    <n v="937.1"/>
    <m/>
    <m/>
    <m/>
    <x v="298"/>
    <m/>
  </r>
  <r>
    <n v="475"/>
    <x v="23"/>
    <s v="WHATS"/>
    <n v="85712"/>
    <n v="9340"/>
    <m/>
    <m/>
    <m/>
    <x v="298"/>
    <m/>
  </r>
  <r>
    <n v="620"/>
    <x v="69"/>
    <s v="WHATS"/>
    <s v="85954/101005"/>
    <n v="587.29999999999995"/>
    <m/>
    <m/>
    <m/>
    <x v="298"/>
    <m/>
  </r>
  <r>
    <n v="905"/>
    <x v="72"/>
    <s v="WHATS"/>
    <n v="85899"/>
    <n v="778"/>
    <m/>
    <m/>
    <m/>
    <x v="297"/>
    <m/>
  </r>
  <r>
    <n v="1989"/>
    <x v="67"/>
    <s v="TEL"/>
    <s v="85109/85913"/>
    <n v="826.73"/>
    <m/>
    <m/>
    <m/>
    <x v="298"/>
    <m/>
  </r>
  <r>
    <n v="690"/>
    <x v="19"/>
    <s v="WHATS"/>
    <n v="85107"/>
    <n v="189"/>
    <m/>
    <m/>
    <m/>
    <x v="298"/>
    <m/>
  </r>
  <r>
    <n v="50554"/>
    <x v="20"/>
    <s v="WHATS"/>
    <n v="85108"/>
    <n v="189"/>
    <m/>
    <m/>
    <m/>
    <x v="298"/>
    <m/>
  </r>
  <r>
    <n v="1026"/>
    <x v="7"/>
    <s v="WHATS"/>
    <n v="85771"/>
    <n v="1094"/>
    <m/>
    <m/>
    <m/>
    <x v="298"/>
    <m/>
  </r>
  <r>
    <n v="2198"/>
    <x v="92"/>
    <s v="WHATS"/>
    <n v="85967"/>
    <n v="3649"/>
    <m/>
    <m/>
    <m/>
    <x v="298"/>
    <m/>
  </r>
  <r>
    <n v="1616"/>
    <x v="83"/>
    <s v="WHATS"/>
    <s v="86171/85634"/>
    <n v="1940"/>
    <m/>
    <m/>
    <m/>
    <x v="298"/>
    <m/>
  </r>
  <r>
    <n v="2022"/>
    <x v="28"/>
    <s v="WHATS"/>
    <n v="85984"/>
    <n v="7996.05"/>
    <m/>
    <m/>
    <m/>
    <x v="298"/>
    <m/>
  </r>
  <r>
    <n v="784"/>
    <x v="13"/>
    <s v="WHATS"/>
    <n v="85997"/>
    <n v="291.7"/>
    <m/>
    <m/>
    <m/>
    <x v="299"/>
    <m/>
  </r>
  <r>
    <n v="1971"/>
    <x v="29"/>
    <s v="WHATS"/>
    <n v="86001"/>
    <n v="507"/>
    <m/>
    <m/>
    <m/>
    <x v="299"/>
    <m/>
  </r>
  <r>
    <n v="2415"/>
    <x v="63"/>
    <s v="WHATS"/>
    <n v="85931"/>
    <n v="499.6"/>
    <m/>
    <m/>
    <m/>
    <x v="299"/>
    <m/>
  </r>
  <r>
    <n v="50576"/>
    <x v="37"/>
    <s v="WHATS"/>
    <n v="86013"/>
    <n v="1030"/>
    <m/>
    <m/>
    <m/>
    <x v="300"/>
    <m/>
  </r>
  <r>
    <n v="3017"/>
    <x v="62"/>
    <s v="WHATS"/>
    <n v="76060"/>
    <n v="180.4"/>
    <m/>
    <m/>
    <m/>
    <x v="300"/>
    <m/>
  </r>
  <r>
    <n v="50219"/>
    <x v="14"/>
    <s v="WHATS"/>
    <n v="86065"/>
    <n v="1725"/>
    <m/>
    <m/>
    <m/>
    <x v="300"/>
    <m/>
  </r>
  <r>
    <n v="500243"/>
    <x v="110"/>
    <s v="WHATS"/>
    <n v="85964"/>
    <n v="1508.56"/>
    <m/>
    <m/>
    <m/>
    <x v="300"/>
    <m/>
  </r>
  <r>
    <n v="475"/>
    <x v="23"/>
    <s v="EMAIL"/>
    <s v="83640/84898/101023/85712"/>
    <n v="16483.580000000002"/>
    <m/>
    <m/>
    <m/>
    <x v="300"/>
    <m/>
  </r>
  <r>
    <n v="1813"/>
    <x v="48"/>
    <s v="WHATS"/>
    <n v="86022"/>
    <n v="886.75"/>
    <m/>
    <m/>
    <m/>
    <x v="300"/>
    <m/>
  </r>
  <r>
    <n v="572"/>
    <x v="51"/>
    <s v="WHATS"/>
    <s v="84753/85864"/>
    <n v="1876.85"/>
    <m/>
    <m/>
    <m/>
    <x v="300"/>
    <m/>
  </r>
  <r>
    <n v="618"/>
    <x v="26"/>
    <s v="EMAIL"/>
    <n v="86113"/>
    <n v="1216"/>
    <m/>
    <m/>
    <m/>
    <x v="301"/>
    <m/>
  </r>
  <r>
    <n v="1905"/>
    <x v="107"/>
    <s v="WHATS"/>
    <n v="85899"/>
    <n v="774"/>
    <m/>
    <m/>
    <m/>
    <x v="301"/>
    <m/>
  </r>
  <r>
    <n v="581"/>
    <x v="74"/>
    <s v="WHATS"/>
    <n v="86134"/>
    <n v="778"/>
    <m/>
    <m/>
    <m/>
    <x v="301"/>
    <m/>
  </r>
  <r>
    <n v="1533"/>
    <x v="50"/>
    <s v="WHATS"/>
    <n v="86147"/>
    <n v="970"/>
    <m/>
    <m/>
    <m/>
    <x v="301"/>
    <m/>
  </r>
  <r>
    <n v="761"/>
    <x v="24"/>
    <s v="WHATS"/>
    <s v="101033/86184"/>
    <n v="1373.15"/>
    <m/>
    <m/>
    <m/>
    <x v="301"/>
    <m/>
  </r>
  <r>
    <n v="2955"/>
    <x v="82"/>
    <s v="WHATS"/>
    <s v="    "/>
    <n v="1602.6"/>
    <m/>
    <m/>
    <m/>
    <x v="301"/>
    <m/>
  </r>
  <r>
    <n v="1164"/>
    <x v="58"/>
    <s v="WHATS"/>
    <n v="86114"/>
    <n v="778"/>
    <m/>
    <m/>
    <m/>
    <x v="301"/>
    <m/>
  </r>
  <r>
    <n v="1493"/>
    <x v="21"/>
    <s v="WHATS"/>
    <n v="86161"/>
    <n v="718.6"/>
    <m/>
    <m/>
    <m/>
    <x v="301"/>
    <m/>
  </r>
  <r>
    <n v="906"/>
    <x v="27"/>
    <s v="WHATS"/>
    <s v="101032/86167"/>
    <n v="4857.01"/>
    <m/>
    <m/>
    <m/>
    <x v="301"/>
    <m/>
  </r>
  <r>
    <n v="874"/>
    <x v="53"/>
    <s v="WHATS"/>
    <s v="86204/84891"/>
    <n v="624.66"/>
    <m/>
    <m/>
    <m/>
    <x v="302"/>
    <m/>
  </r>
  <r>
    <n v="2198"/>
    <x v="92"/>
    <s v="WHATS"/>
    <n v="85967"/>
    <n v="4247.76"/>
    <m/>
    <m/>
    <m/>
    <x v="302"/>
    <m/>
  </r>
  <r>
    <n v="3017"/>
    <x v="62"/>
    <s v="WHATS"/>
    <n v="86224"/>
    <n v="1003.66"/>
    <m/>
    <m/>
    <m/>
    <x v="302"/>
    <m/>
  </r>
  <r>
    <n v="2198"/>
    <x v="92"/>
    <s v="WHATS"/>
    <n v="85967"/>
    <n v="3713.76"/>
    <m/>
    <m/>
    <m/>
    <x v="302"/>
    <m/>
  </r>
  <r>
    <n v="2702"/>
    <x v="73"/>
    <s v="WHATS"/>
    <n v="86261"/>
    <n v="1287"/>
    <m/>
    <m/>
    <m/>
    <x v="303"/>
    <m/>
  </r>
  <r>
    <n v="50426"/>
    <x v="96"/>
    <s v="WHATS"/>
    <n v="86265"/>
    <n v="3250"/>
    <m/>
    <m/>
    <m/>
    <x v="303"/>
    <m/>
  </r>
  <r>
    <n v="2022"/>
    <x v="28"/>
    <s v="WHATS"/>
    <n v="86280"/>
    <n v="2028.3"/>
    <m/>
    <m/>
    <m/>
    <x v="303"/>
    <m/>
  </r>
  <r>
    <n v="516"/>
    <x v="11"/>
    <s v="WHATS"/>
    <n v="85643"/>
    <n v="182.5"/>
    <m/>
    <m/>
    <m/>
    <x v="303"/>
    <m/>
  </r>
  <r>
    <n v="3017"/>
    <x v="62"/>
    <s v="WHATS"/>
    <n v="86320"/>
    <n v="250"/>
    <m/>
    <m/>
    <m/>
    <x v="304"/>
    <m/>
  </r>
  <r>
    <n v="1533"/>
    <x v="50"/>
    <s v="WHATS"/>
    <n v="86312"/>
    <n v="1167"/>
    <m/>
    <m/>
    <m/>
    <x v="304"/>
    <m/>
  </r>
  <r>
    <n v="3194"/>
    <x v="18"/>
    <s v="WHATS"/>
    <n v="86381"/>
    <n v="4169.55"/>
    <m/>
    <m/>
    <m/>
    <x v="305"/>
    <m/>
  </r>
  <r>
    <n v="2911"/>
    <x v="15"/>
    <s v="WHATS"/>
    <s v="86385/85011/101077"/>
    <n v="2153.7800000000002"/>
    <m/>
    <m/>
    <m/>
    <x v="305"/>
    <m/>
  </r>
  <r>
    <n v="1989"/>
    <x v="67"/>
    <s v="WHATS"/>
    <n v="86376"/>
    <n v="1556"/>
    <m/>
    <m/>
    <m/>
    <x v="305"/>
    <m/>
  </r>
  <r>
    <n v="1026"/>
    <x v="7"/>
    <s v="WHATS"/>
    <n v="86376"/>
    <n v="1036.8800000000001"/>
    <m/>
    <m/>
    <m/>
    <x v="305"/>
    <m/>
  </r>
  <r>
    <n v="3153"/>
    <x v="12"/>
    <s v="WHATS"/>
    <n v="86418"/>
    <n v="2266.6799999999998"/>
    <m/>
    <m/>
    <m/>
    <x v="306"/>
    <m/>
  </r>
  <r>
    <n v="663"/>
    <x v="116"/>
    <s v="WHATS"/>
    <s v="86267/101053"/>
    <n v="776.18"/>
    <m/>
    <m/>
    <m/>
    <x v="306"/>
    <m/>
  </r>
  <r>
    <n v="475"/>
    <x v="23"/>
    <s v="EMAIL"/>
    <n v="85712"/>
    <n v="1578.8"/>
    <m/>
    <m/>
    <m/>
    <x v="306"/>
    <m/>
  </r>
  <r>
    <n v="746"/>
    <x v="3"/>
    <s v="TEL"/>
    <s v="86437/101096"/>
    <n v="4374.37"/>
    <m/>
    <m/>
    <m/>
    <x v="306"/>
    <m/>
  </r>
  <r>
    <n v="731"/>
    <x v="4"/>
    <s v="WHATS"/>
    <n v="86436"/>
    <n v="778"/>
    <m/>
    <m/>
    <m/>
    <x v="306"/>
    <m/>
  </r>
  <r>
    <n v="784"/>
    <x v="13"/>
    <s v="EMAIL"/>
    <s v="84955/86446"/>
    <n v="4181"/>
    <m/>
    <m/>
    <m/>
    <x v="306"/>
    <m/>
  </r>
  <r>
    <n v="2163"/>
    <x v="36"/>
    <s v="TEL"/>
    <n v="86455"/>
    <n v="3013.98"/>
    <m/>
    <m/>
    <m/>
    <x v="306"/>
    <m/>
  </r>
  <r>
    <n v="50465"/>
    <x v="96"/>
    <s v="WHATS"/>
    <n v="86457"/>
    <n v="498"/>
    <m/>
    <m/>
    <m/>
    <x v="306"/>
    <m/>
  </r>
  <r>
    <n v="432"/>
    <x v="43"/>
    <s v="WHATS"/>
    <n v="86428"/>
    <n v="1627.04"/>
    <m/>
    <m/>
    <m/>
    <x v="306"/>
    <m/>
  </r>
  <r>
    <n v="2022"/>
    <x v="28"/>
    <s v="WHATS"/>
    <s v="86280/85984"/>
    <n v="8072.05"/>
    <m/>
    <m/>
    <m/>
    <x v="306"/>
    <m/>
  </r>
  <r>
    <n v="171"/>
    <x v="70"/>
    <s v="WHATS"/>
    <n v="85302"/>
    <n v="1576.96"/>
    <m/>
    <m/>
    <m/>
    <x v="306"/>
    <m/>
  </r>
  <r>
    <n v="311"/>
    <x v="46"/>
    <s v="WHATS"/>
    <s v="85642/86404"/>
    <n v="1133.5"/>
    <m/>
    <m/>
    <m/>
    <x v="306"/>
    <m/>
  </r>
  <r>
    <n v="784"/>
    <x v="13"/>
    <s v="WHATS"/>
    <s v="84995/86446"/>
    <n v="3003.86"/>
    <m/>
    <m/>
    <m/>
    <x v="306"/>
    <m/>
  </r>
  <r>
    <n v="50465"/>
    <x v="96"/>
    <s v="WHATS"/>
    <n v="86457"/>
    <n v="498"/>
    <m/>
    <m/>
    <m/>
    <x v="306"/>
    <m/>
  </r>
  <r>
    <n v="2702"/>
    <x v="73"/>
    <s v="WHATS"/>
    <n v="85230"/>
    <n v="1622.4"/>
    <m/>
    <m/>
    <m/>
    <x v="306"/>
    <m/>
  </r>
  <r>
    <n v="1989"/>
    <x v="67"/>
    <s v="WHATS"/>
    <n v="86203"/>
    <n v="616.03"/>
    <m/>
    <m/>
    <m/>
    <x v="306"/>
    <s v="soro programação"/>
  </r>
  <r>
    <n v="50554"/>
    <x v="20"/>
    <s v="WHATS"/>
    <n v="86213"/>
    <n v="189"/>
    <m/>
    <m/>
    <m/>
    <x v="306"/>
    <s v="soro programação"/>
  </r>
  <r>
    <n v="690"/>
    <x v="19"/>
    <s v="WHATS"/>
    <s v="86838/86202"/>
    <n v="295.3"/>
    <m/>
    <m/>
    <m/>
    <x v="306"/>
    <s v="soro programação"/>
  </r>
  <r>
    <n v="50418"/>
    <x v="35"/>
    <s v="WHATS"/>
    <n v="86475"/>
    <n v="2977.05"/>
    <m/>
    <m/>
    <m/>
    <x v="307"/>
    <m/>
  </r>
  <r>
    <n v="50554"/>
    <x v="20"/>
    <s v="WHATS"/>
    <s v="86213/86483/101104"/>
    <n v="5019.37"/>
    <m/>
    <m/>
    <m/>
    <x v="307"/>
    <m/>
  </r>
  <r>
    <n v="475"/>
    <x v="23"/>
    <s v="WHATS"/>
    <n v="86480"/>
    <n v="4102.3500000000004"/>
    <m/>
    <m/>
    <m/>
    <x v="307"/>
    <m/>
  </r>
  <r>
    <n v="1533"/>
    <x v="50"/>
    <s v="WHATS"/>
    <n v="86492"/>
    <n v="278.7"/>
    <m/>
    <m/>
    <m/>
    <x v="307"/>
    <m/>
  </r>
  <r>
    <n v="197"/>
    <x v="99"/>
    <s v="WHATS"/>
    <n v="86493"/>
    <n v="808.2"/>
    <m/>
    <m/>
    <m/>
    <x v="307"/>
    <m/>
  </r>
  <r>
    <n v="761"/>
    <x v="24"/>
    <s v="WHATS"/>
    <s v="86311/101048"/>
    <n v="1563.83"/>
    <m/>
    <m/>
    <m/>
    <x v="307"/>
    <m/>
  </r>
  <r>
    <n v="2022"/>
    <x v="28"/>
    <s v="WHATS"/>
    <n v="86280"/>
    <n v="332.72"/>
    <m/>
    <m/>
    <m/>
    <x v="307"/>
    <m/>
  </r>
  <r>
    <n v="50219"/>
    <x v="14"/>
    <s v="WHATS"/>
    <n v="86530"/>
    <n v="1548.5"/>
    <m/>
    <m/>
    <m/>
    <x v="307"/>
    <m/>
  </r>
  <r>
    <n v="500434"/>
    <x v="126"/>
    <s v="WHATS"/>
    <n v="86538"/>
    <n v="347.88"/>
    <m/>
    <m/>
    <m/>
    <x v="308"/>
    <m/>
  </r>
  <r>
    <n v="761"/>
    <x v="24"/>
    <s v="WHATS"/>
    <n v="85379"/>
    <n v="1563.83"/>
    <m/>
    <m/>
    <m/>
    <x v="308"/>
    <m/>
  </r>
  <r>
    <n v="432"/>
    <x v="43"/>
    <s v="WHATS"/>
    <s v="86428/101090"/>
    <n v="649.79999999999995"/>
    <m/>
    <m/>
    <m/>
    <x v="308"/>
    <m/>
  </r>
  <r>
    <n v="1726"/>
    <x v="34"/>
    <s v="EMAIL"/>
    <n v="86568"/>
    <n v="213"/>
    <m/>
    <m/>
    <m/>
    <x v="308"/>
    <m/>
  </r>
  <r>
    <n v="761"/>
    <x v="24"/>
    <s v="WHATS"/>
    <n v="85379"/>
    <n v="771.8"/>
    <m/>
    <m/>
    <m/>
    <x v="308"/>
    <m/>
  </r>
  <r>
    <n v="762"/>
    <x v="41"/>
    <s v="EMAIL"/>
    <s v="86546/86548"/>
    <n v="2202.4"/>
    <m/>
    <m/>
    <m/>
    <x v="309"/>
    <m/>
  </r>
  <r>
    <n v="2702"/>
    <x v="73"/>
    <s v="WHATS"/>
    <n v="86261"/>
    <n v="1622.4"/>
    <m/>
    <m/>
    <m/>
    <x v="309"/>
    <m/>
  </r>
  <r>
    <n v="50219"/>
    <x v="14"/>
    <s v="WHATS"/>
    <n v="86591"/>
    <n v="283.79000000000002"/>
    <m/>
    <m/>
    <m/>
    <x v="309"/>
    <m/>
  </r>
  <r>
    <n v="516"/>
    <x v="11"/>
    <s v="WHATS"/>
    <n v="766505"/>
    <n v="246.15"/>
    <m/>
    <m/>
    <m/>
    <x v="309"/>
    <m/>
  </r>
  <r>
    <n v="1026"/>
    <x v="7"/>
    <s v="WHATS"/>
    <n v="86621"/>
    <n v="1167"/>
    <m/>
    <m/>
    <m/>
    <x v="309"/>
    <m/>
  </r>
  <r>
    <n v="50558"/>
    <x v="2"/>
    <s v="EMAIL"/>
    <n v="76620"/>
    <n v="3674.4"/>
    <m/>
    <m/>
    <m/>
    <x v="310"/>
    <m/>
  </r>
  <r>
    <n v="690"/>
    <x v="19"/>
    <s v="WHATS"/>
    <s v="86241/101071"/>
    <n v="1462.65"/>
    <m/>
    <m/>
    <m/>
    <x v="310"/>
    <m/>
  </r>
  <r>
    <n v="618"/>
    <x v="26"/>
    <s v="WHATS"/>
    <n v="86658"/>
    <n v="4229.1499999999996"/>
    <m/>
    <m/>
    <m/>
    <x v="310"/>
    <m/>
  </r>
  <r>
    <n v="2415"/>
    <x v="63"/>
    <s v="WHATS"/>
    <n v="86619"/>
    <n v="3325.78"/>
    <m/>
    <m/>
    <m/>
    <x v="310"/>
    <m/>
  </r>
  <r>
    <n v="3475"/>
    <x v="59"/>
    <s v="WHATS"/>
    <n v="86445"/>
    <n v="213.7"/>
    <m/>
    <m/>
    <m/>
    <x v="310"/>
    <m/>
  </r>
  <r>
    <n v="761"/>
    <x v="24"/>
    <s v="WHATS"/>
    <s v="86672/10132"/>
    <n v="415.2"/>
    <m/>
    <m/>
    <m/>
    <x v="311"/>
    <m/>
  </r>
  <r>
    <n v="746"/>
    <x v="3"/>
    <s v="WHATS"/>
    <n v="86706"/>
    <n v="39.799999999999997"/>
    <m/>
    <m/>
    <m/>
    <x v="311"/>
    <m/>
  </r>
  <r>
    <n v="874"/>
    <x v="53"/>
    <s v="WHATS"/>
    <s v="86204/86703"/>
    <n v="3596.4"/>
    <m/>
    <m/>
    <m/>
    <x v="311"/>
    <m/>
  </r>
  <r>
    <n v="1122"/>
    <x v="87"/>
    <s v="EMAIL"/>
    <n v="86717"/>
    <n v="2180"/>
    <m/>
    <m/>
    <m/>
    <x v="311"/>
    <m/>
  </r>
  <r>
    <n v="475"/>
    <x v="23"/>
    <s v="WHATS"/>
    <s v="10102/86480"/>
    <n v="11035.82"/>
    <m/>
    <m/>
    <m/>
    <x v="311"/>
    <m/>
  </r>
  <r>
    <n v="50554"/>
    <x v="20"/>
    <s v="WHATS"/>
    <n v="86730"/>
    <n v="78.7"/>
    <m/>
    <m/>
    <m/>
    <x v="311"/>
    <m/>
  </r>
  <r>
    <n v="1788"/>
    <x v="91"/>
    <s v="WHATS"/>
    <n v="86738"/>
    <n v="162.5"/>
    <m/>
    <m/>
    <m/>
    <x v="311"/>
    <m/>
  </r>
  <r>
    <n v="762"/>
    <x v="41"/>
    <s v="WHATS"/>
    <n v="86744"/>
    <n v="5832.6"/>
    <m/>
    <m/>
    <m/>
    <x v="311"/>
    <m/>
  </r>
  <r>
    <n v="197"/>
    <x v="99"/>
    <s v="WHATS"/>
    <n v="86493"/>
    <n v="1635.4"/>
    <m/>
    <m/>
    <m/>
    <x v="312"/>
    <m/>
  </r>
  <r>
    <n v="3475"/>
    <x v="59"/>
    <s v="WHATS"/>
    <s v="86445/86763"/>
    <n v="538.20000000000005"/>
    <m/>
    <m/>
    <m/>
    <x v="312"/>
    <m/>
  </r>
  <r>
    <n v="50310"/>
    <x v="108"/>
    <s v="WHATS"/>
    <n v="101148"/>
    <n v="356.2"/>
    <m/>
    <m/>
    <m/>
    <x v="312"/>
    <m/>
  </r>
  <r>
    <n v="463"/>
    <x v="32"/>
    <s v="WHATS"/>
    <n v="86451"/>
    <n v="1256"/>
    <m/>
    <m/>
    <m/>
    <x v="312"/>
    <m/>
  </r>
  <r>
    <n v="1493"/>
    <x v="21"/>
    <s v="WHATS"/>
    <n v="86773"/>
    <n v="1763.72"/>
    <m/>
    <m/>
    <m/>
    <x v="312"/>
    <m/>
  </r>
  <r>
    <n v="761"/>
    <x v="24"/>
    <s v="WHATS"/>
    <n v="86774"/>
    <n v="444"/>
    <m/>
    <m/>
    <m/>
    <x v="312"/>
    <m/>
  </r>
  <r>
    <n v="50219"/>
    <x v="14"/>
    <s v="WHATS"/>
    <n v="86776"/>
    <n v="488.4"/>
    <m/>
    <m/>
    <m/>
    <x v="312"/>
    <m/>
  </r>
  <r>
    <n v="823"/>
    <x v="17"/>
    <s v="WHATS"/>
    <s v="86793/101154"/>
    <n v="9010.9"/>
    <m/>
    <m/>
    <m/>
    <x v="313"/>
    <m/>
  </r>
  <r>
    <n v="500149"/>
    <x v="94"/>
    <s v="WHATS"/>
    <s v="86786/101046"/>
    <n v="2993.6"/>
    <m/>
    <m/>
    <m/>
    <x v="313"/>
    <m/>
  </r>
  <r>
    <n v="412"/>
    <x v="90"/>
    <s v="WHATS"/>
    <s v="86718/101157"/>
    <n v="1065.5999999999999"/>
    <m/>
    <m/>
    <m/>
    <x v="313"/>
    <m/>
  </r>
  <r>
    <n v="171"/>
    <x v="70"/>
    <s v="WHATS"/>
    <n v="86780"/>
    <n v="1444.2"/>
    <m/>
    <m/>
    <m/>
    <x v="313"/>
    <m/>
  </r>
  <r>
    <n v="50418"/>
    <x v="35"/>
    <s v="WHATS"/>
    <n v="86834"/>
    <n v="5772.6"/>
    <m/>
    <m/>
    <m/>
    <x v="313"/>
    <m/>
  </r>
  <r>
    <n v="822"/>
    <x v="66"/>
    <s v="WHATS"/>
    <n v="86837"/>
    <n v="1467.8"/>
    <m/>
    <m/>
    <m/>
    <x v="313"/>
    <m/>
  </r>
  <r>
    <n v="1905"/>
    <x v="107"/>
    <s v="WHATS"/>
    <n v="86675"/>
    <n v="585.54"/>
    <m/>
    <m/>
    <m/>
    <x v="314"/>
    <m/>
  </r>
  <r>
    <n v="731"/>
    <x v="4"/>
    <s v="WHATS"/>
    <n v="86859"/>
    <n v="778"/>
    <m/>
    <m/>
    <m/>
    <x v="314"/>
    <m/>
  </r>
  <r>
    <n v="687"/>
    <x v="16"/>
    <s v="WHATS"/>
    <s v="101160/86716"/>
    <n v="777.75"/>
    <m/>
    <m/>
    <m/>
    <x v="314"/>
    <m/>
  </r>
  <r>
    <n v="704"/>
    <x v="49"/>
    <s v="TEL"/>
    <s v="10130/86670"/>
    <n v="987.23"/>
    <m/>
    <m/>
    <m/>
    <x v="315"/>
    <m/>
  </r>
  <r>
    <n v="1164"/>
    <x v="58"/>
    <s v="WHATS"/>
    <s v="84792/86641"/>
    <n v="1130.73"/>
    <m/>
    <m/>
    <m/>
    <x v="315"/>
    <m/>
  </r>
  <r>
    <n v="705"/>
    <x v="1"/>
    <s v="WHATS"/>
    <s v="101169/86853"/>
    <n v="1100.72"/>
    <m/>
    <m/>
    <m/>
    <x v="315"/>
    <m/>
  </r>
  <r>
    <n v="1652"/>
    <x v="61"/>
    <s v="TEL"/>
    <s v="86736/101145"/>
    <n v="1061.69"/>
    <m/>
    <m/>
    <m/>
    <x v="316"/>
    <m/>
  </r>
  <r>
    <n v="480"/>
    <x v="39"/>
    <s v="WHATS"/>
    <n v="86923"/>
    <n v="3685.15"/>
    <m/>
    <m/>
    <m/>
    <x v="316"/>
    <m/>
  </r>
  <r>
    <n v="761"/>
    <x v="24"/>
    <s v="WHATS"/>
    <n v="86926"/>
    <n v="1971.27"/>
    <m/>
    <m/>
    <m/>
    <x v="316"/>
    <m/>
  </r>
  <r>
    <n v="2980"/>
    <x v="40"/>
    <s v="WHATS"/>
    <s v="86705/101138"/>
    <n v="961.23"/>
    <m/>
    <m/>
    <m/>
    <x v="317"/>
    <m/>
  </r>
  <r>
    <n v="1533"/>
    <x v="50"/>
    <s v="WHATS"/>
    <s v="86957/101190"/>
    <n v="1379.55"/>
    <m/>
    <m/>
    <m/>
    <x v="317"/>
    <m/>
  </r>
  <r>
    <n v="325"/>
    <x v="97"/>
    <s v="WHATS"/>
    <s v="86964/101192"/>
    <n v="4182.1499999999996"/>
    <m/>
    <m/>
    <m/>
    <x v="317"/>
    <m/>
  </r>
  <r>
    <n v="906"/>
    <x v="27"/>
    <s v="WHATS"/>
    <n v="86976"/>
    <n v="1254"/>
    <m/>
    <m/>
    <m/>
    <x v="317"/>
    <m/>
  </r>
  <r>
    <n v="516"/>
    <x v="11"/>
    <s v="EMAIL"/>
    <s v="86299/86709"/>
    <n v="10883.92"/>
    <m/>
    <m/>
    <m/>
    <x v="317"/>
    <m/>
  </r>
  <r>
    <n v="50936"/>
    <x v="93"/>
    <s v="WHATS"/>
    <n v="86991"/>
    <n v="877.2"/>
    <m/>
    <m/>
    <m/>
    <x v="317"/>
    <m/>
  </r>
  <r>
    <n v="705"/>
    <x v="1"/>
    <s v="WHATS"/>
    <n v="86996"/>
    <n v="119.8"/>
    <m/>
    <m/>
    <m/>
    <x v="318"/>
    <m/>
  </r>
  <r>
    <n v="311"/>
    <x v="46"/>
    <s v="WHATS"/>
    <n v="87006"/>
    <n v="1090"/>
    <m/>
    <m/>
    <m/>
    <x v="318"/>
    <m/>
  </r>
  <r>
    <n v="475"/>
    <x v="23"/>
    <s v="EMAIL"/>
    <s v="86782/86388/101167/101102"/>
    <n v="7398.24"/>
    <m/>
    <m/>
    <m/>
    <x v="319"/>
    <m/>
  </r>
  <r>
    <n v="572"/>
    <x v="51"/>
    <s v="WHATS"/>
    <n v="86935"/>
    <n v="684.99"/>
    <m/>
    <m/>
    <m/>
    <x v="319"/>
    <m/>
  </r>
  <r>
    <n v="50310"/>
    <x v="108"/>
    <s v="WHATS"/>
    <n v="101148"/>
    <n v="356.2"/>
    <m/>
    <m/>
    <m/>
    <x v="319"/>
    <m/>
  </r>
  <r>
    <n v="708"/>
    <x v="56"/>
    <s v="WHATS"/>
    <n v="86588"/>
    <n v="2274"/>
    <m/>
    <m/>
    <m/>
    <x v="319"/>
    <m/>
  </r>
  <r>
    <n v="1164"/>
    <x v="58"/>
    <s v="WHATS"/>
    <s v="87043/101198"/>
    <n v="621.04"/>
    <m/>
    <m/>
    <m/>
    <x v="319"/>
    <m/>
  </r>
  <r>
    <n v="50185"/>
    <x v="105"/>
    <s v="WHATS"/>
    <n v="87046"/>
    <n v="671"/>
    <m/>
    <m/>
    <m/>
    <x v="319"/>
    <m/>
  </r>
  <r>
    <n v="1493"/>
    <x v="21"/>
    <s v="WHATS"/>
    <n v="86888"/>
    <n v="268"/>
    <m/>
    <m/>
    <m/>
    <x v="319"/>
    <m/>
  </r>
  <r>
    <n v="500243"/>
    <x v="110"/>
    <s v="WHATS"/>
    <n v="87050"/>
    <n v="1203.5999999999999"/>
    <m/>
    <m/>
    <m/>
    <x v="319"/>
    <m/>
  </r>
  <r>
    <n v="762"/>
    <x v="41"/>
    <s v="EMAIL"/>
    <n v="87054"/>
    <n v="2076.1999999999998"/>
    <m/>
    <m/>
    <m/>
    <x v="319"/>
    <m/>
  </r>
  <r>
    <n v="1533"/>
    <x v="50"/>
    <s v="WHATS"/>
    <n v="87051"/>
    <n v="930"/>
    <m/>
    <m/>
    <m/>
    <x v="319"/>
    <m/>
  </r>
  <r>
    <n v="960"/>
    <x v="30"/>
    <s v="WHATS"/>
    <s v="87064/101202"/>
    <n v="1854.73"/>
    <m/>
    <m/>
    <m/>
    <x v="320"/>
    <m/>
  </r>
  <r>
    <n v="50312"/>
    <x v="86"/>
    <s v="WHATS"/>
    <n v="101148"/>
    <n v="356.2"/>
    <m/>
    <m/>
    <m/>
    <x v="319"/>
    <m/>
  </r>
  <r>
    <n v="51042"/>
    <x v="106"/>
    <s v="WHATS"/>
    <s v="101203/87078"/>
    <n v="428.1"/>
    <m/>
    <m/>
    <m/>
    <x v="319"/>
    <m/>
  </r>
  <r>
    <n v="1813"/>
    <x v="48"/>
    <s v="WHATS"/>
    <n v="87088"/>
    <n v="1201.7"/>
    <m/>
    <m/>
    <m/>
    <x v="319"/>
    <m/>
  </r>
  <r>
    <n v="2415"/>
    <x v="63"/>
    <s v="WHATS"/>
    <s v="101143/86965"/>
    <n v="537.5"/>
    <m/>
    <m/>
    <m/>
    <x v="319"/>
    <m/>
  </r>
  <r>
    <n v="463"/>
    <x v="32"/>
    <s v="WHATS"/>
    <n v="87090"/>
    <n v="714.33"/>
    <m/>
    <m/>
    <m/>
    <x v="319"/>
    <m/>
  </r>
  <r>
    <n v="50576"/>
    <x v="37"/>
    <s v="WHATS"/>
    <s v="87098/101210"/>
    <n v="1850.54"/>
    <m/>
    <m/>
    <m/>
    <x v="320"/>
    <m/>
  </r>
  <r>
    <n v="761"/>
    <x v="24"/>
    <s v="WHATS"/>
    <s v="87109/101212"/>
    <n v="1352.3"/>
    <m/>
    <m/>
    <m/>
    <x v="320"/>
    <m/>
  </r>
  <r>
    <n v="822"/>
    <x v="66"/>
    <s v="WHATS"/>
    <n v="86837"/>
    <n v="1205"/>
    <m/>
    <m/>
    <m/>
    <x v="320"/>
    <m/>
  </r>
  <r>
    <n v="2752"/>
    <x v="120"/>
    <s v="WHATS"/>
    <n v="87107"/>
    <n v="872.54"/>
    <m/>
    <m/>
    <m/>
    <x v="320"/>
    <m/>
  </r>
  <r>
    <n v="1788"/>
    <x v="91"/>
    <s v="WHATS"/>
    <n v="871119"/>
    <n v="330.2"/>
    <m/>
    <m/>
    <m/>
    <x v="320"/>
    <m/>
  </r>
  <r>
    <n v="906"/>
    <x v="27"/>
    <s v="WHATS"/>
    <s v="87100/101218"/>
    <n v="1894.73"/>
    <m/>
    <m/>
    <m/>
    <x v="320"/>
    <m/>
  </r>
  <r>
    <n v="1623"/>
    <x v="57"/>
    <s v="WHATS"/>
    <n v="87426"/>
    <n v="1403.65"/>
    <m/>
    <m/>
    <m/>
    <x v="321"/>
    <m/>
  </r>
  <r>
    <n v="823"/>
    <x v="17"/>
    <s v="WHATS"/>
    <n v="87388"/>
    <n v="364"/>
    <m/>
    <m/>
    <m/>
    <x v="321"/>
    <m/>
  </r>
  <r>
    <n v="2980"/>
    <x v="40"/>
    <s v="WHATS"/>
    <s v="87399/86705/101270"/>
    <n v="1234.48"/>
    <m/>
    <m/>
    <m/>
    <x v="321"/>
    <m/>
  </r>
  <r>
    <n v="1041"/>
    <x v="78"/>
    <s v="WHATS"/>
    <n v="87414"/>
    <n v="876.3"/>
    <m/>
    <m/>
    <m/>
    <x v="321"/>
    <m/>
  </r>
  <r>
    <n v="784"/>
    <x v="13"/>
    <s v="WHATS"/>
    <n v="87375"/>
    <n v="1278.5999999999999"/>
    <m/>
    <m/>
    <m/>
    <x v="321"/>
    <m/>
  </r>
  <r>
    <n v="3194"/>
    <x v="18"/>
    <s v="WHATS"/>
    <n v="87419"/>
    <n v="1470.1"/>
    <m/>
    <m/>
    <m/>
    <x v="321"/>
    <m/>
  </r>
  <r>
    <n v="1206"/>
    <x v="33"/>
    <s v="WHATS"/>
    <n v="87450"/>
    <n v="867.86"/>
    <m/>
    <m/>
    <m/>
    <x v="321"/>
    <m/>
  </r>
  <r>
    <n v="50554"/>
    <x v="20"/>
    <s v="WHATS"/>
    <s v="87167/101279"/>
    <n v="3082.18"/>
    <m/>
    <m/>
    <m/>
    <x v="322"/>
    <m/>
  </r>
  <r>
    <n v="1623"/>
    <x v="57"/>
    <s v="WHATS"/>
    <n v="87426"/>
    <n v="708.05"/>
    <m/>
    <m/>
    <m/>
    <x v="322"/>
    <m/>
  </r>
  <r>
    <n v="663"/>
    <x v="116"/>
    <s v="WHATS"/>
    <s v="87448/101278"/>
    <n v="1165.95"/>
    <m/>
    <m/>
    <m/>
    <x v="322"/>
    <m/>
  </r>
  <r>
    <n v="1122"/>
    <x v="87"/>
    <s v="WHATS"/>
    <n v="86990"/>
    <n v="889"/>
    <m/>
    <m/>
    <m/>
    <x v="323"/>
    <m/>
  </r>
  <r>
    <n v="2980"/>
    <x v="40"/>
    <s v="WHATS"/>
    <s v="87399/86705/101270"/>
    <n v="1099.5899999999999"/>
    <m/>
    <m/>
    <m/>
    <x v="323"/>
    <m/>
  </r>
  <r>
    <n v="746"/>
    <x v="3"/>
    <s v="WHATS"/>
    <s v="87433/101277"/>
    <n v="2506.89"/>
    <m/>
    <m/>
    <m/>
    <x v="323"/>
    <m/>
  </r>
  <r>
    <n v="1164"/>
    <x v="58"/>
    <s v="WHATS"/>
    <n v="87501"/>
    <n v="2173.7800000000002"/>
    <m/>
    <m/>
    <m/>
    <x v="323"/>
    <m/>
  </r>
  <r>
    <n v="1652"/>
    <x v="61"/>
    <s v="WHATS"/>
    <s v="87508/101292"/>
    <n v="622.5"/>
    <m/>
    <m/>
    <m/>
    <x v="323"/>
    <m/>
  </r>
  <r>
    <n v="475"/>
    <x v="23"/>
    <s v="EMAIL"/>
    <s v="85712/87409/86480/101298"/>
    <n v="10414.31"/>
    <m/>
    <m/>
    <m/>
    <x v="323"/>
    <m/>
  </r>
  <r>
    <n v="690"/>
    <x v="19"/>
    <s v="WHATS"/>
    <s v="101163/87166"/>
    <n v="1649.05"/>
    <m/>
    <m/>
    <m/>
    <x v="323"/>
    <m/>
  </r>
  <r>
    <n v="50558"/>
    <x v="2"/>
    <s v="EMAIL"/>
    <s v="86831/86620"/>
    <n v="3290.9"/>
    <m/>
    <m/>
    <m/>
    <x v="323"/>
    <m/>
  </r>
  <r>
    <n v="581"/>
    <x v="74"/>
    <s v="WHATS"/>
    <n v="101274"/>
    <n v="2019.49"/>
    <m/>
    <m/>
    <m/>
    <x v="324"/>
    <m/>
  </r>
  <r>
    <n v="784"/>
    <x v="13"/>
    <s v="WHATS"/>
    <s v="87375/87564"/>
    <n v="1554.6"/>
    <m/>
    <m/>
    <m/>
    <x v="324"/>
    <m/>
  </r>
  <r>
    <n v="761"/>
    <x v="24"/>
    <s v="WHATS"/>
    <s v="87113/101305"/>
    <n v="1151.7"/>
    <m/>
    <m/>
    <m/>
    <x v="324"/>
    <m/>
  </r>
  <r>
    <n v="50418"/>
    <x v="35"/>
    <s v="WHATS"/>
    <n v="87602"/>
    <n v="4953.2"/>
    <m/>
    <m/>
    <m/>
    <x v="325"/>
    <m/>
  </r>
  <r>
    <n v="1534"/>
    <x v="104"/>
    <s v="WHATS"/>
    <n v="87429"/>
    <n v="1610.44"/>
    <m/>
    <m/>
    <m/>
    <x v="325"/>
    <m/>
  </r>
  <r>
    <n v="500149"/>
    <x v="94"/>
    <s v="WHATS"/>
    <n v="87630"/>
    <n v="1378.4"/>
    <m/>
    <m/>
    <m/>
    <x v="325"/>
    <m/>
  </r>
  <r>
    <n v="1122"/>
    <x v="87"/>
    <s v="WHATS"/>
    <n v="87691"/>
    <n v="3563.8"/>
    <m/>
    <m/>
    <m/>
    <x v="326"/>
    <m/>
  </r>
  <r>
    <n v="906"/>
    <x v="27"/>
    <s v="WHATS"/>
    <n v="87670"/>
    <n v="615.88"/>
    <m/>
    <m/>
    <m/>
    <x v="326"/>
    <m/>
  </r>
  <r>
    <n v="3492"/>
    <x v="132"/>
    <s v="WHATS"/>
    <n v="87774"/>
    <n v="299.7"/>
    <m/>
    <m/>
    <m/>
    <x v="327"/>
    <m/>
  </r>
  <r>
    <n v="2702"/>
    <x v="73"/>
    <s v="WHATS"/>
    <s v="87755/87762"/>
    <n v="2244.58"/>
    <m/>
    <m/>
    <m/>
    <x v="327"/>
    <m/>
  </r>
  <r>
    <n v="3018"/>
    <x v="64"/>
    <s v="EMAIL"/>
    <n v="101244"/>
    <n v="189.95"/>
    <m/>
    <m/>
    <m/>
    <x v="328"/>
    <m/>
  </r>
  <r>
    <n v="1971"/>
    <x v="29"/>
    <s v="WHATS"/>
    <s v="101338/87725"/>
    <n v="230.14"/>
    <m/>
    <m/>
    <m/>
    <x v="328"/>
    <m/>
  </r>
  <r>
    <n v="50861"/>
    <x v="133"/>
    <s v="WHATS"/>
    <n v="87721"/>
    <n v="1282.3"/>
    <m/>
    <m/>
    <m/>
    <x v="328"/>
    <m/>
  </r>
  <r>
    <n v="1493"/>
    <x v="21"/>
    <s v="TEL"/>
    <n v="87726"/>
    <n v="1856.92"/>
    <m/>
    <m/>
    <m/>
    <x v="328"/>
    <m/>
  </r>
  <r>
    <n v="834"/>
    <x v="0"/>
    <s v="WHATS"/>
    <n v="87732"/>
    <n v="2076.86"/>
    <m/>
    <m/>
    <m/>
    <x v="328"/>
    <m/>
  </r>
  <r>
    <n v="432"/>
    <x v="43"/>
    <s v="WHATS"/>
    <s v="101337/87724"/>
    <n v="3814.57"/>
    <m/>
    <m/>
    <m/>
    <x v="328"/>
    <m/>
  </r>
  <r>
    <n v="1927"/>
    <x v="0"/>
    <s v="WHATS"/>
    <n v="87743"/>
    <n v="2128.4"/>
    <m/>
    <m/>
    <m/>
    <x v="328"/>
    <m/>
  </r>
  <r>
    <n v="500243"/>
    <x v="110"/>
    <s v="WHATS"/>
    <n v="87759"/>
    <n v="1211.21"/>
    <m/>
    <m/>
    <m/>
    <x v="328"/>
    <m/>
  </r>
  <r>
    <n v="475"/>
    <x v="23"/>
    <s v="WHATS"/>
    <s v="87700/85062"/>
    <n v="958.92"/>
    <m/>
    <m/>
    <m/>
    <x v="328"/>
    <m/>
  </r>
  <r>
    <n v="572"/>
    <x v="51"/>
    <s v="WHATS"/>
    <n v="87760"/>
    <n v="723.78"/>
    <m/>
    <m/>
    <m/>
    <x v="327"/>
    <m/>
  </r>
  <r>
    <n v="463"/>
    <x v="32"/>
    <s v="WHATS"/>
    <s v="87785/87090"/>
    <n v="2387.15"/>
    <m/>
    <m/>
    <m/>
    <x v="327"/>
    <m/>
  </r>
  <r>
    <n v="1164"/>
    <x v="58"/>
    <s v="WHATS"/>
    <s v="101346/87525"/>
    <n v="720.1"/>
    <m/>
    <m/>
    <m/>
    <x v="327"/>
    <m/>
  </r>
  <r>
    <n v="772"/>
    <x v="71"/>
    <s v="WHATS"/>
    <s v="87801/101350"/>
    <n v="910.01"/>
    <m/>
    <m/>
    <m/>
    <x v="327"/>
    <m/>
  </r>
  <r>
    <n v="3077"/>
    <x v="10"/>
    <s v="WHATS"/>
    <s v="87699/101330"/>
    <n v="1285.04"/>
    <m/>
    <m/>
    <m/>
    <x v="327"/>
    <m/>
  </r>
  <r>
    <n v="2022"/>
    <x v="28"/>
    <s v="WHATS"/>
    <n v="87804"/>
    <n v="468"/>
    <m/>
    <m/>
    <m/>
    <x v="327"/>
    <m/>
  </r>
  <r>
    <n v="3019"/>
    <x v="132"/>
    <s v="WHATS"/>
    <n v="87807"/>
    <n v="854.5"/>
    <m/>
    <m/>
    <m/>
    <x v="327"/>
    <m/>
  </r>
  <r>
    <n v="2596"/>
    <x v="0"/>
    <s v="WHATS"/>
    <n v="87816"/>
    <n v="375.05"/>
    <m/>
    <m/>
    <m/>
    <x v="329"/>
    <m/>
  </r>
  <r>
    <n v="1989"/>
    <x v="67"/>
    <s v="WHATS"/>
    <n v="87168"/>
    <n v="735.73"/>
    <m/>
    <m/>
    <m/>
    <x v="329"/>
    <m/>
  </r>
  <r>
    <n v="690"/>
    <x v="19"/>
    <s v="WHATS"/>
    <s v="87606/87166"/>
    <n v="653.5"/>
    <m/>
    <m/>
    <m/>
    <x v="329"/>
    <m/>
  </r>
  <r>
    <n v="50554"/>
    <x v="20"/>
    <s v="WHATS"/>
    <n v="87797"/>
    <n v="170"/>
    <m/>
    <m/>
    <m/>
    <x v="329"/>
    <m/>
  </r>
  <r>
    <n v="784"/>
    <x v="13"/>
    <s v="WHATS"/>
    <n v="87823"/>
    <n v="1791"/>
    <m/>
    <m/>
    <m/>
    <x v="329"/>
    <m/>
  </r>
  <r>
    <n v="960"/>
    <x v="30"/>
    <s v="WHATS"/>
    <n v="87826"/>
    <n v="375.15"/>
    <m/>
    <m/>
    <m/>
    <x v="329"/>
    <m/>
  </r>
  <r>
    <n v="832"/>
    <x v="55"/>
    <s v="WHATS"/>
    <n v="87827"/>
    <n v="10022.82"/>
    <m/>
    <m/>
    <m/>
    <x v="329"/>
    <m/>
  </r>
  <r>
    <n v="50465"/>
    <x v="96"/>
    <s v="WHATS"/>
    <n v="87830"/>
    <n v="856.58"/>
    <m/>
    <m/>
    <m/>
    <x v="329"/>
    <m/>
  </r>
  <r>
    <n v="432"/>
    <x v="43"/>
    <s v="WHATS"/>
    <n v="87842"/>
    <n v="310"/>
    <m/>
    <m/>
    <m/>
    <x v="329"/>
    <m/>
  </r>
  <r>
    <n v="822"/>
    <x v="66"/>
    <s v="WHATS"/>
    <s v="87832/101360"/>
    <n v="2422.9"/>
    <m/>
    <m/>
    <m/>
    <x v="329"/>
    <m/>
  </r>
  <r>
    <n v="50576"/>
    <x v="37"/>
    <s v="WHATS"/>
    <n v="87864"/>
    <n v="518.20000000000005"/>
    <m/>
    <m/>
    <m/>
    <x v="330"/>
    <m/>
  </r>
  <r>
    <n v="2415"/>
    <x v="63"/>
    <s v="WHATS"/>
    <n v="87761"/>
    <n v="898.8"/>
    <m/>
    <m/>
    <m/>
    <x v="330"/>
    <m/>
  </r>
  <r>
    <n v="50986"/>
    <x v="0"/>
    <s v="WHATS"/>
    <n v="87884"/>
    <n v="5000"/>
    <m/>
    <m/>
    <m/>
    <x v="330"/>
    <m/>
  </r>
  <r>
    <n v="412"/>
    <x v="90"/>
    <s v="WHATS"/>
    <n v="87881"/>
    <n v="1384.45"/>
    <m/>
    <m/>
    <m/>
    <x v="331"/>
    <m/>
  </r>
  <r>
    <n v="725"/>
    <x v="65"/>
    <s v="WHATS"/>
    <n v="87867"/>
    <n v="1592.19"/>
    <m/>
    <m/>
    <m/>
    <x v="331"/>
    <m/>
  </r>
  <r>
    <n v="762"/>
    <x v="41"/>
    <s v="WHATS"/>
    <n v="88237"/>
    <n v="987.55"/>
    <m/>
    <m/>
    <m/>
    <x v="331"/>
    <m/>
  </r>
  <r>
    <n v="1056"/>
    <x v="0"/>
    <s v="WHATS"/>
    <n v="87896"/>
    <n v="1518"/>
    <m/>
    <m/>
    <m/>
    <x v="331"/>
    <m/>
  </r>
  <r>
    <n v="2596"/>
    <x v="0"/>
    <s v="WHATS"/>
    <n v="87895"/>
    <n v="226.7"/>
    <m/>
    <m/>
    <m/>
    <x v="332"/>
    <m/>
  </r>
  <r>
    <n v="1750"/>
    <x v="0"/>
    <s v="WHATS"/>
    <n v="87928"/>
    <n v="1790.8"/>
    <m/>
    <m/>
    <m/>
    <x v="332"/>
    <m/>
  </r>
  <r>
    <n v="516"/>
    <x v="11"/>
    <s v="WHATS"/>
    <s v="87930/86709"/>
    <n v="10684.4"/>
    <m/>
    <m/>
    <m/>
    <x v="332"/>
    <m/>
  </r>
  <r>
    <n v="480"/>
    <x v="39"/>
    <s v="WHATS"/>
    <s v="87855/101364"/>
    <n v="1671.45"/>
    <m/>
    <m/>
    <m/>
    <x v="332"/>
    <m/>
  </r>
  <r>
    <n v="2199"/>
    <x v="132"/>
    <s v="EMAIL"/>
    <s v="101356/101362/ 87834"/>
    <n v="2040.75"/>
    <m/>
    <m/>
    <m/>
    <x v="332"/>
    <m/>
  </r>
  <r>
    <n v="618"/>
    <x v="26"/>
    <s v="WHATS"/>
    <n v="87963"/>
    <n v="1044"/>
    <m/>
    <m/>
    <m/>
    <x v="332"/>
    <m/>
  </r>
  <r>
    <n v="311"/>
    <x v="46"/>
    <s v="WHATS"/>
    <n v="87965"/>
    <n v="996"/>
    <m/>
    <m/>
    <m/>
    <x v="332"/>
    <m/>
  </r>
  <r>
    <n v="1813"/>
    <x v="48"/>
    <s v="WHATS"/>
    <n v="87950"/>
    <n v="1058.3"/>
    <m/>
    <m/>
    <m/>
    <x v="333"/>
    <m/>
  </r>
  <r>
    <n v="960"/>
    <x v="30"/>
    <s v="WHATS"/>
    <s v="101357/87882"/>
    <n v="184.48"/>
    <m/>
    <m/>
    <m/>
    <x v="332"/>
    <m/>
  </r>
  <r>
    <n v="761"/>
    <x v="24"/>
    <s v="WHATS"/>
    <s v="87772/86926/87113/101318"/>
    <n v="562.16"/>
    <m/>
    <m/>
    <m/>
    <x v="333"/>
    <m/>
  </r>
  <r>
    <n v="1147"/>
    <x v="68"/>
    <s v="WHATS"/>
    <s v="87922/101382"/>
    <n v="836.22"/>
    <m/>
    <m/>
    <m/>
    <x v="333"/>
    <m/>
  </r>
  <r>
    <n v="874"/>
    <x v="53"/>
    <s v="WHATS"/>
    <s v="87991/87454"/>
    <n v="3828.88"/>
    <m/>
    <m/>
    <m/>
    <x v="333"/>
    <m/>
  </r>
  <r>
    <n v="2955"/>
    <x v="82"/>
    <s v="WHATS"/>
    <n v="88005"/>
    <n v="1356.75"/>
    <m/>
    <m/>
    <m/>
    <x v="333"/>
    <m/>
  </r>
  <r>
    <n v="2596"/>
    <x v="0"/>
    <s v="WHATS"/>
    <n v="88009"/>
    <n v="145.6"/>
    <m/>
    <m/>
    <m/>
    <x v="333"/>
    <m/>
  </r>
  <r>
    <n v="412"/>
    <x v="90"/>
    <s v="WHATS"/>
    <n v="88016"/>
    <n v="235.88"/>
    <m/>
    <m/>
    <m/>
    <x v="333"/>
    <m/>
  </r>
  <r>
    <n v="325"/>
    <x v="97"/>
    <s v="WHATS"/>
    <s v="88021/101394"/>
    <n v="1281.3"/>
    <m/>
    <m/>
    <m/>
    <x v="333"/>
    <m/>
  </r>
  <r>
    <n v="1533"/>
    <x v="50"/>
    <s v="WHATS"/>
    <s v="87932/101374"/>
    <n v="283.14999999999998"/>
    <m/>
    <m/>
    <m/>
    <x v="334"/>
    <m/>
  </r>
  <r>
    <n v="822"/>
    <x v="66"/>
    <s v="WHATS"/>
    <n v="88037"/>
    <n v="257.38"/>
    <m/>
    <m/>
    <m/>
    <x v="334"/>
    <m/>
  </r>
  <r>
    <n v="1026"/>
    <x v="7"/>
    <s v="WHATS"/>
    <n v="88039"/>
    <n v="2707.07"/>
    <m/>
    <m/>
    <m/>
    <x v="334"/>
    <m/>
  </r>
  <r>
    <n v="1927"/>
    <x v="0"/>
    <s v="WHATS"/>
    <n v="88040"/>
    <n v="138.5"/>
    <m/>
    <m/>
    <m/>
    <x v="334"/>
    <m/>
  </r>
  <r>
    <n v="463"/>
    <x v="32"/>
    <s v="WHATS"/>
    <n v="88047"/>
    <n v="627.48"/>
    <m/>
    <m/>
    <m/>
    <x v="335"/>
    <m/>
  </r>
  <r>
    <n v="834"/>
    <x v="0"/>
    <s v="WHATS"/>
    <s v="88077/88078"/>
    <n v="4102.6899999999996"/>
    <m/>
    <m/>
    <m/>
    <x v="335"/>
    <m/>
  </r>
  <r>
    <n v="2911"/>
    <x v="15"/>
    <s v="WHATS"/>
    <s v="88072/101402"/>
    <n v="1457.65"/>
    <m/>
    <m/>
    <m/>
    <x v="335"/>
    <m/>
  </r>
  <r>
    <n v="50558"/>
    <x v="2"/>
    <s v="WHATS"/>
    <n v="88084"/>
    <n v="920"/>
    <m/>
    <m/>
    <m/>
    <x v="335"/>
    <m/>
  </r>
  <r>
    <n v="1623"/>
    <x v="57"/>
    <s v="WHATS"/>
    <n v="88123"/>
    <n v="1748.8"/>
    <m/>
    <m/>
    <m/>
    <x v="336"/>
    <m/>
  </r>
  <r>
    <n v="50219"/>
    <x v="14"/>
    <s v="WHATS"/>
    <n v="88116"/>
    <n v="218"/>
    <m/>
    <m/>
    <m/>
    <x v="336"/>
    <m/>
  </r>
  <r>
    <n v="1788"/>
    <x v="91"/>
    <s v="WHATS"/>
    <n v="88126"/>
    <n v="1199.3"/>
    <m/>
    <m/>
    <m/>
    <x v="336"/>
    <m/>
  </r>
  <r>
    <n v="1842"/>
    <x v="47"/>
    <s v="WHATS"/>
    <n v="88136"/>
    <n v="414"/>
    <m/>
    <m/>
    <m/>
    <x v="336"/>
    <m/>
  </r>
  <r>
    <n v="434"/>
    <x v="134"/>
    <s v="WHATS"/>
    <n v="88140"/>
    <n v="1526.89"/>
    <m/>
    <m/>
    <m/>
    <x v="336"/>
    <m/>
  </r>
  <r>
    <n v="1240"/>
    <x v="25"/>
    <s v="WHATS"/>
    <n v="88135"/>
    <n v="2450.21"/>
    <m/>
    <m/>
    <m/>
    <x v="336"/>
    <m/>
  </r>
  <r>
    <n v="1090"/>
    <x v="0"/>
    <s v="WHATS"/>
    <n v="88150"/>
    <n v="557.79999999999995"/>
    <m/>
    <m/>
    <m/>
    <x v="337"/>
    <m/>
  </r>
  <r>
    <n v="500243"/>
    <x v="110"/>
    <s v="WHATS"/>
    <n v="87993"/>
    <n v="1029.04"/>
    <m/>
    <m/>
    <m/>
    <x v="337"/>
    <m/>
  </r>
  <r>
    <n v="823"/>
    <x v="17"/>
    <s v="EMAIL"/>
    <n v="87934"/>
    <n v="2279.4499999999998"/>
    <m/>
    <m/>
    <m/>
    <x v="337"/>
    <m/>
  </r>
  <r>
    <n v="1502"/>
    <x v="76"/>
    <s v="WHATS"/>
    <n v="88157"/>
    <n v="3457.88"/>
    <m/>
    <m/>
    <m/>
    <x v="337"/>
    <m/>
  </r>
  <r>
    <n v="1854"/>
    <x v="0"/>
    <s v="WHATS"/>
    <n v="88159"/>
    <n v="417.71"/>
    <m/>
    <m/>
    <m/>
    <x v="337"/>
    <m/>
  </r>
  <r>
    <n v="2980"/>
    <x v="40"/>
    <s v="EMAIL"/>
    <s v="88111/101409"/>
    <n v="757.31"/>
    <m/>
    <m/>
    <m/>
    <x v="337"/>
    <m/>
  </r>
  <r>
    <n v="980"/>
    <x v="80"/>
    <s v="WHATS"/>
    <n v="87612"/>
    <n v="939.2"/>
    <m/>
    <m/>
    <m/>
    <x v="337"/>
    <m/>
  </r>
  <r>
    <n v="50554"/>
    <x v="20"/>
    <s v="WHATS"/>
    <s v="87167/881/85/101419"/>
    <n v="845"/>
    <m/>
    <m/>
    <m/>
    <x v="338"/>
    <m/>
  </r>
  <r>
    <n v="1147"/>
    <x v="68"/>
    <s v="WHATS"/>
    <n v="88205"/>
    <n v="568.6"/>
    <m/>
    <m/>
    <m/>
    <x v="338"/>
    <m/>
  </r>
  <r>
    <n v="475"/>
    <x v="23"/>
    <s v="WHATS"/>
    <s v="88186/101343"/>
    <n v="11863.36"/>
    <m/>
    <m/>
    <m/>
    <x v="338"/>
    <m/>
  </r>
  <r>
    <n v="1164"/>
    <x v="58"/>
    <s v="WHATS"/>
    <s v="101421/88196"/>
    <n v="321.77999999999997"/>
    <m/>
    <m/>
    <m/>
    <x v="338"/>
    <m/>
  </r>
  <r>
    <n v="311"/>
    <x v="46"/>
    <s v="WHATS"/>
    <s v="88203/88204/101377"/>
    <n v="2324.0100000000002"/>
    <m/>
    <m/>
    <m/>
    <x v="338"/>
    <m/>
  </r>
  <r>
    <n v="834"/>
    <x v="0"/>
    <s v="WHATS"/>
    <n v="88219"/>
    <n v="98"/>
    <m/>
    <m/>
    <m/>
    <x v="338"/>
    <m/>
  </r>
  <r>
    <n v="1493"/>
    <x v="21"/>
    <s v="WHATS"/>
    <n v="88226"/>
    <n v="1833.18"/>
    <m/>
    <m/>
    <m/>
    <x v="338"/>
    <m/>
  </r>
  <r>
    <n v="761"/>
    <x v="24"/>
    <s v="WHATS"/>
    <n v="88210"/>
    <n v="1578"/>
    <m/>
    <m/>
    <m/>
    <x v="338"/>
    <m/>
  </r>
  <r>
    <n v="50185"/>
    <x v="105"/>
    <s v="WHATS"/>
    <n v="88233"/>
    <n v="255.8"/>
    <m/>
    <m/>
    <m/>
    <x v="338"/>
    <m/>
  </r>
  <r>
    <n v="50291"/>
    <x v="0"/>
    <s v="WHATS"/>
    <n v="88246"/>
    <n v="471.61"/>
    <m/>
    <m/>
    <m/>
    <x v="338"/>
    <m/>
  </r>
  <r>
    <n v="1652"/>
    <x v="61"/>
    <s v="WHATS"/>
    <s v="87750/101434"/>
    <n v="1322.95"/>
    <m/>
    <m/>
    <m/>
    <x v="339"/>
    <m/>
  </r>
  <r>
    <n v="2022"/>
    <x v="28"/>
    <s v="WHATS"/>
    <n v="88117"/>
    <n v="1373.52"/>
    <m/>
    <m/>
    <m/>
    <x v="340"/>
    <m/>
  </r>
  <r>
    <n v="618"/>
    <x v="26"/>
    <s v="WHATS"/>
    <n v="88292"/>
    <n v="4015.6"/>
    <m/>
    <m/>
    <m/>
    <x v="340"/>
    <m/>
  </r>
  <r>
    <n v="2199"/>
    <x v="132"/>
    <s v="WHATS"/>
    <s v="88261/87834/88193"/>
    <n v="657.8"/>
    <m/>
    <m/>
    <m/>
    <x v="340"/>
    <m/>
  </r>
  <r>
    <n v="50418"/>
    <x v="35"/>
    <s v="WHATS"/>
    <n v="88305"/>
    <n v="3294.1"/>
    <m/>
    <m/>
    <m/>
    <x v="340"/>
    <m/>
  </r>
  <r>
    <n v="3017"/>
    <x v="62"/>
    <s v="WHATS"/>
    <n v="88311"/>
    <n v="1811.63"/>
    <m/>
    <m/>
    <m/>
    <x v="340"/>
    <m/>
  </r>
  <r>
    <n v="687"/>
    <x v="16"/>
    <s v="WHATS"/>
    <n v="88293"/>
    <n v="730"/>
    <m/>
    <m/>
    <m/>
    <x v="340"/>
    <m/>
  </r>
  <r>
    <n v="2702"/>
    <x v="73"/>
    <s v="WHATS"/>
    <n v="88315"/>
    <n v="1036"/>
    <m/>
    <m/>
    <m/>
    <x v="340"/>
    <m/>
  </r>
  <r>
    <n v="1493"/>
    <x v="21"/>
    <s v="WHATS"/>
    <n v="88329"/>
    <m/>
    <m/>
    <n v="7200"/>
    <m/>
    <x v="19"/>
    <m/>
  </r>
  <r>
    <n v="500005"/>
    <x v="102"/>
    <s v="WHATS"/>
    <n v="87916"/>
    <m/>
    <m/>
    <n v="9747.81"/>
    <m/>
    <x v="19"/>
    <m/>
  </r>
  <r>
    <n v="834"/>
    <x v="0"/>
    <s v="WHATS"/>
    <n v="88250"/>
    <n v="170"/>
    <m/>
    <m/>
    <m/>
    <x v="19"/>
    <m/>
  </r>
  <r>
    <n v="474"/>
    <x v="98"/>
    <s v="EMAIL"/>
    <s v="88346/101455"/>
    <n v="1368.84"/>
    <m/>
    <m/>
    <m/>
    <x v="19"/>
    <m/>
  </r>
  <r>
    <n v="832"/>
    <x v="55"/>
    <s v="WHATS"/>
    <n v="87827"/>
    <n v="2526"/>
    <m/>
    <m/>
    <m/>
    <x v="19"/>
    <m/>
  </r>
  <r>
    <n v="412"/>
    <x v="90"/>
    <s v="WHATS"/>
    <s v="101459/88355"/>
    <n v="470"/>
    <m/>
    <m/>
    <m/>
    <x v="19"/>
    <m/>
  </r>
  <r>
    <n v="2163"/>
    <x v="36"/>
    <s v="TEL"/>
    <n v="88230"/>
    <n v="2215"/>
    <m/>
    <m/>
    <m/>
    <x v="19"/>
    <m/>
  </r>
  <r>
    <n v="746"/>
    <x v="3"/>
    <s v="TEL"/>
    <s v="88384/87433/101462"/>
    <n v="5283.94"/>
    <m/>
    <m/>
    <m/>
    <x v="19"/>
    <m/>
  </r>
  <r>
    <n v="704"/>
    <x v="49"/>
    <s v="TEL"/>
    <s v="101464/88393"/>
    <n v="1218.31"/>
    <m/>
    <m/>
    <m/>
    <x v="341"/>
    <m/>
  </r>
  <r>
    <n v="3153"/>
    <x v="12"/>
    <s v="WHATS"/>
    <n v="88402"/>
    <n v="1318.3"/>
    <m/>
    <m/>
    <m/>
    <x v="341"/>
    <m/>
  </r>
  <r>
    <n v="50576"/>
    <x v="37"/>
    <s v="WHATS"/>
    <s v="88406/87864"/>
    <n v="777.95"/>
    <m/>
    <m/>
    <m/>
    <x v="341"/>
    <m/>
  </r>
  <r>
    <n v="784"/>
    <x v="13"/>
    <s v="WHATS"/>
    <n v="88493"/>
    <n v="3894"/>
    <m/>
    <m/>
    <m/>
    <x v="342"/>
    <m/>
  </r>
  <r>
    <n v="311"/>
    <x v="46"/>
    <s v="WHATS"/>
    <n v="88489"/>
    <n v="1288.8499999999999"/>
    <m/>
    <m/>
    <m/>
    <x v="342"/>
    <m/>
  </r>
  <r>
    <n v="52"/>
    <x v="135"/>
    <s v="EMAIL"/>
    <n v="88287"/>
    <n v="928.85"/>
    <m/>
    <m/>
    <m/>
    <x v="342"/>
    <m/>
  </r>
  <r>
    <n v="50554"/>
    <x v="20"/>
    <s v="WHATS"/>
    <s v="88495/101220"/>
    <n v="5369.19"/>
    <m/>
    <m/>
    <m/>
    <x v="342"/>
    <m/>
  </r>
  <r>
    <n v="1164"/>
    <x v="58"/>
    <s v="WHATS"/>
    <s v="88481/101486"/>
    <n v="869.61"/>
    <m/>
    <m/>
    <m/>
    <x v="342"/>
    <m/>
  </r>
  <r>
    <n v="762"/>
    <x v="41"/>
    <s v="EMAIL"/>
    <n v="88504"/>
    <n v="1477.15"/>
    <m/>
    <m/>
    <m/>
    <x v="342"/>
    <m/>
  </r>
  <r>
    <n v="905"/>
    <x v="72"/>
    <s v="EMAIL"/>
    <s v="88436/101472"/>
    <n v="827.09"/>
    <m/>
    <m/>
    <m/>
    <x v="343"/>
    <m/>
  </r>
  <r>
    <n v="3153"/>
    <x v="12"/>
    <s v="WHATS"/>
    <n v="88402"/>
    <n v="1204.9000000000001"/>
    <m/>
    <m/>
    <m/>
    <x v="343"/>
    <m/>
  </r>
  <r>
    <n v="500243"/>
    <x v="110"/>
    <s v="WHATS"/>
    <n v="101473"/>
    <n v="229.2"/>
    <m/>
    <m/>
    <m/>
    <x v="343"/>
    <m/>
  </r>
  <r>
    <n v="784"/>
    <x v="13"/>
    <s v="WHATS"/>
    <n v="88440"/>
    <n v="2853.56"/>
    <m/>
    <m/>
    <m/>
    <x v="343"/>
    <m/>
  </r>
  <r>
    <n v="906"/>
    <x v="27"/>
    <s v="WHATS"/>
    <s v="88446/101476"/>
    <n v="1886.26"/>
    <m/>
    <m/>
    <m/>
    <x v="343"/>
    <m/>
  </r>
  <r>
    <n v="2415"/>
    <x v="63"/>
    <s v="WHATS"/>
    <n v="101458"/>
    <n v="622"/>
    <m/>
    <m/>
    <m/>
    <x v="343"/>
    <m/>
  </r>
  <r>
    <n v="618"/>
    <x v="26"/>
    <s v="WHATS"/>
    <s v="101491/85785"/>
    <n v="1902.05"/>
    <m/>
    <m/>
    <m/>
    <x v="343"/>
    <m/>
  </r>
  <r>
    <n v="2199"/>
    <x v="132"/>
    <s v="WHATS"/>
    <n v="101356"/>
    <n v="207.9"/>
    <m/>
    <m/>
    <m/>
    <x v="342"/>
    <m/>
  </r>
  <r>
    <n v="1026"/>
    <x v="7"/>
    <s v="WHATS"/>
    <n v="88526"/>
    <n v="2389"/>
    <m/>
    <m/>
    <m/>
    <x v="342"/>
    <m/>
  </r>
  <r>
    <n v="475"/>
    <x v="23"/>
    <s v="WHATS"/>
    <s v="101343/88186"/>
    <n v="505.8"/>
    <m/>
    <m/>
    <m/>
    <x v="344"/>
    <m/>
  </r>
  <r>
    <n v="9063"/>
    <x v="22"/>
    <s v="WHATS"/>
    <n v="88530"/>
    <n v="404.4"/>
    <m/>
    <m/>
    <m/>
    <x v="344"/>
    <m/>
  </r>
  <r>
    <n v="575"/>
    <x v="45"/>
    <s v="WHATS"/>
    <n v="88544"/>
    <n v="714.94"/>
    <m/>
    <m/>
    <m/>
    <x v="344"/>
    <m/>
  </r>
  <r>
    <n v="2702"/>
    <x v="73"/>
    <s v="WHATS"/>
    <s v="88563/88564"/>
    <n v="472"/>
    <m/>
    <m/>
    <m/>
    <x v="344"/>
    <m/>
  </r>
  <r>
    <n v="761"/>
    <x v="24"/>
    <s v="WHATS"/>
    <s v="88367/87113/101424"/>
    <n v="487.74"/>
    <m/>
    <m/>
    <m/>
    <x v="344"/>
    <m/>
  </r>
  <r>
    <n v="1206"/>
    <x v="33"/>
    <s v="TEL"/>
    <n v="88587"/>
    <n v="1425.94"/>
    <m/>
    <m/>
    <m/>
    <x v="344"/>
    <m/>
  </r>
  <r>
    <n v="724"/>
    <x v="42"/>
    <s v="WHATS"/>
    <s v="88593/101509"/>
    <n v="596.27"/>
    <m/>
    <m/>
    <m/>
    <x v="344"/>
    <m/>
  </r>
  <r>
    <n v="690"/>
    <x v="19"/>
    <s v="WHATS"/>
    <s v="88589/10133"/>
    <n v="2529.44"/>
    <m/>
    <m/>
    <m/>
    <x v="345"/>
    <m/>
  </r>
  <r>
    <n v="1122"/>
    <x v="87"/>
    <s v="EMAIL"/>
    <n v="88484"/>
    <n v="2547.9"/>
    <m/>
    <m/>
    <m/>
    <x v="345"/>
    <m/>
  </r>
  <r>
    <n v="3475"/>
    <x v="59"/>
    <s v="WHATS"/>
    <n v="88360"/>
    <n v="544.79999999999995"/>
    <m/>
    <m/>
    <m/>
    <x v="345"/>
    <m/>
  </r>
  <r>
    <n v="572"/>
    <x v="51"/>
    <s v="WHATS"/>
    <n v="88570"/>
    <n v="220.25"/>
    <m/>
    <m/>
    <m/>
    <x v="345"/>
    <m/>
  </r>
  <r>
    <n v="3194"/>
    <x v="18"/>
    <s v="WHATS"/>
    <n v="88624"/>
    <n v="882"/>
    <m/>
    <m/>
    <m/>
    <x v="346"/>
    <m/>
  </r>
  <r>
    <n v="906"/>
    <x v="27"/>
    <s v="WHATS"/>
    <n v="88446"/>
    <n v="45"/>
    <m/>
    <m/>
    <m/>
    <x v="346"/>
    <m/>
  </r>
  <r>
    <n v="197"/>
    <x v="99"/>
    <s v="WHATS"/>
    <n v="88299"/>
    <n v="1780"/>
    <m/>
    <m/>
    <m/>
    <x v="346"/>
    <m/>
  </r>
  <r>
    <n v="1026"/>
    <x v="7"/>
    <s v="WHATS"/>
    <n v="88636"/>
    <n v="3010.68"/>
    <m/>
    <m/>
    <m/>
    <x v="346"/>
    <m/>
  </r>
  <r>
    <n v="746"/>
    <x v="3"/>
    <s v="WHATS"/>
    <n v="88649"/>
    <n v="164.5"/>
    <m/>
    <m/>
    <m/>
    <x v="346"/>
    <m/>
  </r>
  <r>
    <n v="1813"/>
    <x v="48"/>
    <s v="WHATS"/>
    <n v="88621"/>
    <n v="1165.8499999999999"/>
    <m/>
    <m/>
    <m/>
    <x v="346"/>
    <m/>
  </r>
  <r>
    <n v="1616"/>
    <x v="83"/>
    <s v="WHATS"/>
    <n v="88642"/>
    <n v="778.65"/>
    <m/>
    <m/>
    <m/>
    <x v="346"/>
    <m/>
  </r>
  <r>
    <n v="50219"/>
    <x v="14"/>
    <s v="WHATS"/>
    <s v="88334/101452"/>
    <n v="989.47"/>
    <m/>
    <m/>
    <m/>
    <x v="347"/>
    <m/>
  </r>
  <r>
    <n v="50554"/>
    <x v="20"/>
    <s v="WHATS"/>
    <n v="88192"/>
    <n v="189"/>
    <m/>
    <m/>
    <m/>
    <x v="347"/>
    <m/>
  </r>
  <r>
    <n v="1989"/>
    <x v="67"/>
    <s v="WHATS"/>
    <s v="88191/88687"/>
    <n v="965.2"/>
    <m/>
    <m/>
    <m/>
    <x v="347"/>
    <m/>
  </r>
  <r>
    <n v="761"/>
    <x v="24"/>
    <s v="WHATS"/>
    <n v="88693"/>
    <n v="1769.75"/>
    <m/>
    <m/>
    <m/>
    <x v="347"/>
    <m/>
  </r>
  <r>
    <n v="500005"/>
    <x v="102"/>
    <s v="WHATS"/>
    <n v="88699"/>
    <m/>
    <m/>
    <n v="6100"/>
    <m/>
    <x v="348"/>
    <m/>
  </r>
  <r>
    <n v="412"/>
    <x v="90"/>
    <s v="WHATS"/>
    <n v="88721"/>
    <n v="72.5"/>
    <m/>
    <m/>
    <m/>
    <x v="348"/>
    <m/>
  </r>
  <r>
    <n v="1652"/>
    <x v="61"/>
    <s v="WHATS"/>
    <s v="88729/101434"/>
    <n v="360.48"/>
    <m/>
    <m/>
    <m/>
    <x v="348"/>
    <m/>
  </r>
  <r>
    <n v="762"/>
    <x v="41"/>
    <s v="WHATS"/>
    <n v="88667"/>
    <n v="5256.1"/>
    <m/>
    <m/>
    <m/>
    <x v="348"/>
    <m/>
  </r>
  <r>
    <n v="960"/>
    <x v="30"/>
    <s v="WHATS"/>
    <s v="101546/88776"/>
    <n v="882.02"/>
    <m/>
    <m/>
    <m/>
    <x v="348"/>
    <m/>
  </r>
  <r>
    <n v="500149"/>
    <x v="94"/>
    <s v="WHATS"/>
    <s v="101332/101162/88789"/>
    <n v="1044.4000000000001"/>
    <m/>
    <m/>
    <m/>
    <x v="349"/>
    <m/>
  </r>
  <r>
    <n v="834"/>
    <x v="0"/>
    <s v="WHATS"/>
    <n v="88077"/>
    <n v="600.03"/>
    <m/>
    <m/>
    <m/>
    <x v="349"/>
    <m/>
  </r>
  <r>
    <n v="708"/>
    <x v="56"/>
    <s v="WHATS"/>
    <n v="88800"/>
    <n v="2030"/>
    <m/>
    <m/>
    <m/>
    <x v="350"/>
    <m/>
  </r>
  <r>
    <n v="50558"/>
    <x v="2"/>
    <s v="WHATS"/>
    <n v="88084"/>
    <n v="702.9"/>
    <m/>
    <m/>
    <m/>
    <x v="351"/>
    <m/>
  </r>
  <r>
    <n v="1164"/>
    <x v="58"/>
    <s v="WHATS"/>
    <n v="88825"/>
    <n v="2127.65"/>
    <m/>
    <m/>
    <m/>
    <x v="351"/>
    <m/>
  </r>
  <r>
    <n v="50219"/>
    <x v="14"/>
    <s v="WHATS"/>
    <s v="101531/88827"/>
    <n v="551.04999999999995"/>
    <m/>
    <m/>
    <m/>
    <x v="351"/>
    <m/>
  </r>
  <r>
    <n v="50576"/>
    <x v="37"/>
    <s v="WHATS"/>
    <n v="88840"/>
    <n v="1026.3"/>
    <m/>
    <m/>
    <m/>
    <x v="351"/>
    <m/>
  </r>
  <r>
    <n v="50558"/>
    <x v="2"/>
    <s v="WHATS"/>
    <n v="88822"/>
    <n v="2300"/>
    <m/>
    <m/>
    <m/>
    <x v="352"/>
    <m/>
  </r>
  <r>
    <n v="311"/>
    <x v="46"/>
    <s v="WHATS"/>
    <n v="88851"/>
    <n v="1487.62"/>
    <m/>
    <m/>
    <m/>
    <x v="351"/>
    <m/>
  </r>
  <r>
    <n v="311"/>
    <x v="46"/>
    <s v="WHATS"/>
    <n v="88203"/>
    <n v="175"/>
    <m/>
    <m/>
    <m/>
    <x v="351"/>
    <m/>
  </r>
  <r>
    <n v="761"/>
    <x v="24"/>
    <s v="WHATS"/>
    <s v="88832/101528"/>
    <n v="781.54"/>
    <m/>
    <m/>
    <m/>
    <x v="351"/>
    <m/>
  </r>
  <r>
    <n v="1026"/>
    <x v="7"/>
    <s v="WHATS"/>
    <n v="88861"/>
    <n v="170"/>
    <m/>
    <m/>
    <m/>
    <x v="351"/>
    <m/>
  </r>
  <r>
    <n v="705"/>
    <x v="1"/>
    <s v="WHATS"/>
    <n v="101564"/>
    <n v="1161.0999999999999"/>
    <m/>
    <m/>
    <m/>
    <x v="353"/>
    <m/>
  </r>
  <r>
    <n v="823"/>
    <x v="17"/>
    <s v="WHATS"/>
    <s v="8884/101567"/>
    <n v="3126.65"/>
    <m/>
    <m/>
    <m/>
    <x v="353"/>
    <m/>
  </r>
  <r>
    <n v="50465"/>
    <x v="96"/>
    <s v="WHATS"/>
    <n v="88895"/>
    <n v="476"/>
    <m/>
    <m/>
    <m/>
    <x v="353"/>
    <m/>
  </r>
  <r>
    <n v="705"/>
    <x v="1"/>
    <s v="WHATS"/>
    <s v="101564/88896"/>
    <n v="2369.25"/>
    <m/>
    <m/>
    <m/>
    <x v="353"/>
    <m/>
  </r>
  <r>
    <n v="516"/>
    <x v="11"/>
    <s v="EMAIL"/>
    <n v="88103"/>
    <n v="13031.94"/>
    <m/>
    <m/>
    <m/>
    <x v="353"/>
    <m/>
  </r>
  <r>
    <n v="475"/>
    <x v="23"/>
    <s v="EMAIL"/>
    <s v="88852 /88186/101570"/>
    <n v="9374.08"/>
    <m/>
    <m/>
    <m/>
    <x v="353"/>
    <m/>
  </r>
  <r>
    <n v="784"/>
    <x v="13"/>
    <s v="WHATS"/>
    <n v="88674"/>
    <n v="98.7"/>
    <m/>
    <m/>
    <m/>
    <x v="353"/>
    <m/>
  </r>
  <r>
    <n v="50418"/>
    <x v="35"/>
    <s v="WHATS"/>
    <n v="88915"/>
    <n v="115.6"/>
    <m/>
    <m/>
    <m/>
    <x v="353"/>
    <m/>
  </r>
  <r>
    <n v="325"/>
    <x v="97"/>
    <s v="WHATS"/>
    <s v="88916/101572"/>
    <n v="736.3"/>
    <m/>
    <m/>
    <m/>
    <x v="353"/>
    <m/>
  </r>
  <r>
    <n v="50418"/>
    <x v="35"/>
    <s v="WHATS"/>
    <s v="88915/88305"/>
    <n v="966"/>
    <m/>
    <m/>
    <m/>
    <x v="353"/>
    <m/>
  </r>
  <r>
    <n v="690"/>
    <x v="19"/>
    <s v="WHATS"/>
    <n v="101580"/>
    <m/>
    <m/>
    <n v="4100"/>
    <m/>
    <x v="353"/>
    <m/>
  </r>
  <r>
    <n v="2022"/>
    <x v="28"/>
    <s v="WHATS"/>
    <n v="88920"/>
    <n v="573"/>
    <m/>
    <m/>
    <m/>
    <x v="354"/>
    <m/>
  </r>
  <r>
    <n v="50185"/>
    <x v="105"/>
    <s v="WHATS"/>
    <n v="88942"/>
    <n v="399"/>
    <m/>
    <m/>
    <m/>
    <x v="354"/>
    <m/>
  </r>
  <r>
    <n v="620"/>
    <x v="69"/>
    <s v="WHATS"/>
    <n v="88923"/>
    <n v="1624.84"/>
    <m/>
    <m/>
    <m/>
    <x v="354"/>
    <m/>
  </r>
  <r>
    <n v="432"/>
    <x v="43"/>
    <s v="WHATS"/>
    <s v="88869/101563"/>
    <n v="1693.96"/>
    <m/>
    <m/>
    <m/>
    <x v="355"/>
    <m/>
  </r>
  <r>
    <n v="2911"/>
    <x v="15"/>
    <s v="WHATS"/>
    <s v="101597/88986"/>
    <n v="3084.95"/>
    <m/>
    <m/>
    <m/>
    <x v="352"/>
    <m/>
  </r>
  <r>
    <n v="746"/>
    <x v="3"/>
    <s v="WHATS"/>
    <n v="88984"/>
    <n v="106.09"/>
    <m/>
    <m/>
    <m/>
    <x v="356"/>
    <m/>
  </r>
  <r>
    <n v="620"/>
    <x v="69"/>
    <s v="WHATS"/>
    <s v="101579/88999"/>
    <n v="327.8"/>
    <m/>
    <m/>
    <m/>
    <x v="355"/>
    <m/>
  </r>
  <r>
    <n v="2572"/>
    <x v="115"/>
    <s v="WHATS"/>
    <n v="89046"/>
    <n v="549.79999999999995"/>
    <m/>
    <m/>
    <m/>
    <x v="355"/>
    <m/>
  </r>
  <r>
    <n v="475"/>
    <x v="23"/>
    <s v="WHATS"/>
    <s v="88951/88852/101570"/>
    <n v="6233.06"/>
    <m/>
    <m/>
    <m/>
    <x v="352"/>
    <m/>
  </r>
  <r>
    <n v="432"/>
    <x v="43"/>
    <s v="WHATS"/>
    <n v="89069"/>
    <n v="157.5"/>
    <m/>
    <m/>
    <m/>
    <x v="352"/>
    <m/>
  </r>
  <r>
    <n v="761"/>
    <x v="24"/>
    <s v="WHATS"/>
    <s v="89090/101603"/>
    <n v="934"/>
    <m/>
    <m/>
    <m/>
    <x v="352"/>
    <m/>
  </r>
  <r>
    <n v="311"/>
    <x v="46"/>
    <s v="WHATS"/>
    <s v="88203/89049"/>
    <n v="675.5"/>
    <m/>
    <m/>
    <m/>
    <x v="352"/>
    <m/>
  </r>
  <r>
    <n v="500243"/>
    <x v="110"/>
    <s v="WHATS"/>
    <n v="89158"/>
    <n v="621.52"/>
    <m/>
    <m/>
    <m/>
    <x v="357"/>
    <m/>
  </r>
  <r>
    <n v="905"/>
    <x v="72"/>
    <s v="WHATS"/>
    <n v="82790"/>
    <n v="3307.2"/>
    <m/>
    <m/>
    <m/>
    <x v="358"/>
    <m/>
  </r>
  <r>
    <n v="822"/>
    <x v="66"/>
    <s v="EMAIL"/>
    <s v="101610/88680/89116"/>
    <n v="1327.4"/>
    <m/>
    <m/>
    <m/>
    <x v="358"/>
    <m/>
  </r>
  <r>
    <n v="50554"/>
    <x v="20"/>
    <s v="WHATS"/>
    <s v="89201/89174"/>
    <n v="1073"/>
    <m/>
    <m/>
    <m/>
    <x v="359"/>
    <m/>
  </r>
  <r>
    <n v="663"/>
    <x v="116"/>
    <s v="WHATS"/>
    <s v="101322/101631/89230"/>
    <n v="3398.9"/>
    <m/>
    <m/>
    <m/>
    <x v="359"/>
    <m/>
  </r>
  <r>
    <n v="463"/>
    <x v="32"/>
    <s v="WHATS"/>
    <n v="89246"/>
    <n v="1375"/>
    <m/>
    <m/>
    <m/>
    <x v="359"/>
    <m/>
  </r>
  <r>
    <n v="2980"/>
    <x v="40"/>
    <s v="WHATS"/>
    <s v="89241/88111/101633"/>
    <n v="1183.67"/>
    <m/>
    <m/>
    <m/>
    <x v="359"/>
    <m/>
  </r>
  <r>
    <n v="3017"/>
    <x v="62"/>
    <s v="WHATS"/>
    <s v="89253/88311"/>
    <n v="1458.24"/>
    <m/>
    <m/>
    <m/>
    <x v="359"/>
    <m/>
  </r>
  <r>
    <n v="2415"/>
    <x v="63"/>
    <s v="WHATS"/>
    <s v="89248/101634"/>
    <n v="766.86"/>
    <m/>
    <m/>
    <m/>
    <x v="359"/>
    <m/>
  </r>
  <r>
    <n v="325"/>
    <x v="97"/>
    <s v="WHATS"/>
    <n v="89094"/>
    <n v="366.7"/>
    <m/>
    <m/>
    <m/>
    <x v="360"/>
    <m/>
  </r>
  <r>
    <n v="618"/>
    <x v="26"/>
    <s v="WHATS"/>
    <s v="88513/101519"/>
    <n v="299.48"/>
    <m/>
    <m/>
    <m/>
    <x v="360"/>
    <m/>
  </r>
  <r>
    <n v="2955"/>
    <x v="82"/>
    <s v="WHATS"/>
    <n v="89292"/>
    <n v="3960.03"/>
    <m/>
    <m/>
    <m/>
    <x v="360"/>
    <m/>
  </r>
  <r>
    <n v="784"/>
    <x v="13"/>
    <s v="WHATS"/>
    <n v="89298"/>
    <n v="10334.25"/>
    <m/>
    <m/>
    <m/>
    <x v="360"/>
    <m/>
  </r>
  <r>
    <n v="874"/>
    <x v="53"/>
    <s v="WHATS"/>
    <n v="89340"/>
    <n v="459.21"/>
    <m/>
    <m/>
    <m/>
    <x v="20"/>
    <m/>
  </r>
  <r>
    <n v="772"/>
    <x v="71"/>
    <s v="WHATS"/>
    <n v="89376"/>
    <n v="1823.14"/>
    <m/>
    <m/>
    <m/>
    <x v="20"/>
    <m/>
  </r>
  <r>
    <n v="480"/>
    <x v="39"/>
    <s v="WHATS"/>
    <n v="89372"/>
    <n v="1492.2"/>
    <m/>
    <m/>
    <m/>
    <x v="20"/>
    <m/>
  </r>
  <r>
    <n v="3153"/>
    <x v="12"/>
    <s v="WHATS"/>
    <n v="89319"/>
    <n v="3625.08"/>
    <m/>
    <m/>
    <m/>
    <x v="20"/>
    <m/>
  </r>
  <r>
    <n v="2022"/>
    <x v="28"/>
    <s v="WHATS"/>
    <n v="89318"/>
    <n v="969.24"/>
    <m/>
    <m/>
    <m/>
    <x v="20"/>
    <m/>
  </r>
  <r>
    <n v="1533"/>
    <x v="50"/>
    <s v="WHATS"/>
    <s v="89392/101657"/>
    <n v="1176.1099999999999"/>
    <m/>
    <m/>
    <m/>
    <x v="361"/>
    <m/>
  </r>
  <r>
    <n v="784"/>
    <x v="13"/>
    <s v="WHATS"/>
    <n v="89408"/>
    <n v="3760.26"/>
    <m/>
    <m/>
    <m/>
    <x v="361"/>
    <m/>
  </r>
  <r>
    <n v="50219"/>
    <x v="14"/>
    <s v="WHATS"/>
    <s v="89422/101655"/>
    <n v="1628.45"/>
    <m/>
    <m/>
    <m/>
    <x v="361"/>
    <m/>
  </r>
  <r>
    <n v="572"/>
    <x v="51"/>
    <s v="WHATS"/>
    <n v="89431"/>
    <n v="511.91"/>
    <m/>
    <m/>
    <m/>
    <x v="361"/>
    <m/>
  </r>
  <r>
    <n v="50418"/>
    <x v="35"/>
    <s v="WHATS"/>
    <n v="89445"/>
    <n v="2985.8"/>
    <m/>
    <m/>
    <m/>
    <x v="361"/>
    <m/>
  </r>
  <r>
    <n v="1971"/>
    <x v="29"/>
    <s v="WHATS"/>
    <s v="89458/101670"/>
    <n v="689.95"/>
    <m/>
    <m/>
    <m/>
    <x v="362"/>
    <m/>
  </r>
  <r>
    <n v="500005"/>
    <x v="102"/>
    <s v="WHATS"/>
    <s v="89414/101662/101661"/>
    <n v="3620.55"/>
    <m/>
    <m/>
    <m/>
    <x v="362"/>
    <m/>
  </r>
  <r>
    <n v="3077"/>
    <x v="10"/>
    <s v="WHATS"/>
    <n v="89477"/>
    <n v="1352.74"/>
    <m/>
    <m/>
    <m/>
    <x v="362"/>
    <m/>
  </r>
  <r>
    <n v="171"/>
    <x v="70"/>
    <s v="WHATS"/>
    <n v="89289"/>
    <n v="2469"/>
    <m/>
    <m/>
    <m/>
    <x v="362"/>
    <m/>
  </r>
  <r>
    <s v=" 51074"/>
    <x v="136"/>
    <s v="WHATS"/>
    <n v="89485"/>
    <n v="4650"/>
    <m/>
    <m/>
    <m/>
    <x v="362"/>
    <m/>
  </r>
  <r>
    <n v="1164"/>
    <x v="58"/>
    <s v="WHATS"/>
    <s v="88825/89497/101677"/>
    <n v="841.6"/>
    <m/>
    <m/>
    <m/>
    <x v="363"/>
    <m/>
  </r>
  <r>
    <n v="906"/>
    <x v="27"/>
    <s v="WHATS"/>
    <s v="89519/101682"/>
    <n v="1616.44"/>
    <m/>
    <m/>
    <m/>
    <x v="363"/>
    <m/>
  </r>
  <r>
    <n v="690"/>
    <x v="19"/>
    <s v="WHATS"/>
    <s v="89528/101532"/>
    <n v="2029.6"/>
    <m/>
    <m/>
    <m/>
    <x v="363"/>
    <m/>
  </r>
  <r>
    <n v="500726"/>
    <x v="137"/>
    <s v="WHATS"/>
    <n v="89523"/>
    <n v="630"/>
    <m/>
    <m/>
    <m/>
    <x v="363"/>
    <m/>
  </r>
  <r>
    <n v="50554"/>
    <x v="20"/>
    <s v="WHATS"/>
    <s v="89531/101530"/>
    <n v="8814.5300000000007"/>
    <m/>
    <m/>
    <m/>
    <x v="364"/>
    <m/>
  </r>
  <r>
    <n v="3245"/>
    <x v="95"/>
    <s v="WHATS"/>
    <n v="89548"/>
    <n v="4049.85"/>
    <m/>
    <m/>
    <m/>
    <x v="364"/>
    <m/>
  </r>
  <r>
    <n v="761"/>
    <x v="24"/>
    <s v="WHATS"/>
    <n v="89144"/>
    <n v="27663.45"/>
    <m/>
    <m/>
    <m/>
    <x v="364"/>
    <m/>
  </r>
  <r>
    <n v="432"/>
    <x v="43"/>
    <s v="WHATS"/>
    <n v="101693"/>
    <n v="472.08"/>
    <m/>
    <m/>
    <m/>
    <x v="364"/>
    <m/>
  </r>
  <r>
    <n v="3194"/>
    <x v="18"/>
    <s v="WHATS"/>
    <n v="89559"/>
    <n v="925.4"/>
    <m/>
    <m/>
    <m/>
    <x v="365"/>
    <m/>
  </r>
  <r>
    <n v="1016"/>
    <x v="101"/>
    <s v="WHATS"/>
    <n v="1016"/>
    <n v="4960.8"/>
    <m/>
    <m/>
    <m/>
    <x v="365"/>
    <m/>
  </r>
  <r>
    <n v="1206"/>
    <x v="33"/>
    <s v="WHATS"/>
    <n v="89584"/>
    <n v="693.36"/>
    <m/>
    <m/>
    <m/>
    <x v="365"/>
    <m/>
  </r>
  <r>
    <n v="1493"/>
    <x v="21"/>
    <s v="WHATS"/>
    <n v="89591"/>
    <n v="2167.25"/>
    <m/>
    <m/>
    <m/>
    <x v="365"/>
    <m/>
  </r>
  <r>
    <n v="50558"/>
    <x v="2"/>
    <s v="WHATS"/>
    <n v="89187"/>
    <n v="1868"/>
    <m/>
    <m/>
    <m/>
    <x v="365"/>
    <m/>
  </r>
  <r>
    <n v="2415"/>
    <x v="63"/>
    <s v="WHATS"/>
    <n v="89248"/>
    <n v="1334.6"/>
    <m/>
    <m/>
    <m/>
    <x v="365"/>
    <m/>
  </r>
  <r>
    <n v="1813"/>
    <x v="48"/>
    <s v="WHATS"/>
    <n v="89602"/>
    <n v="1401.4"/>
    <m/>
    <m/>
    <m/>
    <x v="365"/>
    <m/>
  </r>
  <r>
    <n v="746"/>
    <x v="3"/>
    <s v="WHATS"/>
    <s v="89240/101616"/>
    <n v="4635.58"/>
    <m/>
    <m/>
    <m/>
    <x v="365"/>
    <m/>
  </r>
  <r>
    <n v="2022"/>
    <x v="28"/>
    <s v="WHATS"/>
    <n v="89430"/>
    <n v="879.2"/>
    <m/>
    <m/>
    <m/>
    <x v="365"/>
    <m/>
  </r>
  <r>
    <n v="725"/>
    <x v="65"/>
    <s v="WHATS"/>
    <n v="89629"/>
    <n v="1081.78"/>
    <m/>
    <m/>
    <m/>
    <x v="366"/>
    <m/>
  </r>
  <r>
    <n v="50576"/>
    <x v="37"/>
    <s v="WHATS"/>
    <s v="89320/101673"/>
    <n v="2571.3000000000002"/>
    <m/>
    <m/>
    <m/>
    <x v="367"/>
    <m/>
  </r>
  <r>
    <n v="2415"/>
    <x v="63"/>
    <s v="WHATS"/>
    <n v="89682"/>
    <n v="1089"/>
    <m/>
    <m/>
    <m/>
    <x v="367"/>
    <m/>
  </r>
  <r>
    <n v="50554"/>
    <x v="20"/>
    <s v="WHATS"/>
    <n v="88974"/>
    <n v="189"/>
    <m/>
    <m/>
    <m/>
    <x v="367"/>
    <m/>
  </r>
  <r>
    <n v="1989"/>
    <x v="67"/>
    <s v="WHATS"/>
    <n v="88857"/>
    <n v="616.03"/>
    <m/>
    <m/>
    <m/>
    <x v="367"/>
    <m/>
  </r>
  <r>
    <n v="784"/>
    <x v="13"/>
    <s v="WHATS"/>
    <n v="89690"/>
    <n v="89.25"/>
    <m/>
    <m/>
    <m/>
    <x v="367"/>
    <m/>
  </r>
  <r>
    <n v="3017"/>
    <x v="62"/>
    <s v="WHATS"/>
    <n v="89694"/>
    <n v="2134.7199999999998"/>
    <m/>
    <m/>
    <m/>
    <x v="367"/>
    <m/>
  </r>
  <r>
    <n v="1240"/>
    <x v="25"/>
    <s v="WHATS"/>
    <n v="89601"/>
    <n v="2622.12"/>
    <m/>
    <m/>
    <m/>
    <x v="367"/>
    <m/>
  </r>
  <r>
    <n v="1058"/>
    <x v="5"/>
    <s v="WHATS"/>
    <n v="89688"/>
    <n v="1890"/>
    <m/>
    <m/>
    <m/>
    <x v="367"/>
    <m/>
  </r>
  <r>
    <n v="1533"/>
    <x v="50"/>
    <s v="WHATS"/>
    <n v="89628"/>
    <n v="1033"/>
    <m/>
    <m/>
    <m/>
    <x v="367"/>
    <m/>
  </r>
  <r>
    <n v="3405"/>
    <x v="111"/>
    <s v="WHATS"/>
    <n v="88992"/>
    <n v="429.3"/>
    <m/>
    <m/>
    <m/>
    <x v="367"/>
    <m/>
  </r>
  <r>
    <n v="50465"/>
    <x v="96"/>
    <s v="WHATS"/>
    <n v="89710"/>
    <n v="1199"/>
    <m/>
    <m/>
    <m/>
    <x v="367"/>
    <m/>
  </r>
  <r>
    <n v="171"/>
    <x v="70"/>
    <s v="WHATS"/>
    <n v="89727"/>
    <n v="1609.4"/>
    <m/>
    <m/>
    <m/>
    <x v="368"/>
    <m/>
  </r>
  <r>
    <n v="311"/>
    <x v="46"/>
    <s v="WHATS"/>
    <n v="101732"/>
    <n v="238.96"/>
    <m/>
    <m/>
    <m/>
    <x v="369"/>
    <m/>
  </r>
  <r>
    <n v="1623"/>
    <x v="57"/>
    <s v="WHATS"/>
    <n v="89759"/>
    <n v="1012.52"/>
    <m/>
    <m/>
    <m/>
    <x v="369"/>
    <m/>
  </r>
  <r>
    <n v="690"/>
    <x v="19"/>
    <s v="WHATS"/>
    <n v="89616"/>
    <n v="630.4"/>
    <m/>
    <m/>
    <m/>
    <x v="370"/>
    <m/>
  </r>
  <r>
    <n v="1533"/>
    <x v="50"/>
    <s v="WHATS"/>
    <n v="89789"/>
    <n v="1024.5999999999999"/>
    <m/>
    <m/>
    <m/>
    <x v="370"/>
    <m/>
  </r>
  <r>
    <n v="50185"/>
    <x v="105"/>
    <s v="WHATS"/>
    <n v="89800"/>
    <n v="719.75"/>
    <m/>
    <m/>
    <m/>
    <x v="370"/>
    <m/>
  </r>
  <r>
    <n v="500752"/>
    <x v="35"/>
    <s v="WHATS"/>
    <n v="89785"/>
    <n v="455.08"/>
    <m/>
    <m/>
    <m/>
    <x v="370"/>
    <m/>
  </r>
  <r>
    <n v="575"/>
    <x v="45"/>
    <s v="WHATS"/>
    <s v="89804/101495"/>
    <n v="241.62"/>
    <m/>
    <m/>
    <m/>
    <x v="370"/>
    <m/>
  </r>
  <r>
    <n v="784"/>
    <x v="13"/>
    <s v="WHATS"/>
    <n v="89844"/>
    <n v="58.13"/>
    <m/>
    <m/>
    <m/>
    <x v="371"/>
    <m/>
  </r>
  <r>
    <n v="762"/>
    <x v="41"/>
    <s v="WHATS"/>
    <n v="89820"/>
    <n v="4244.05"/>
    <m/>
    <m/>
    <m/>
    <x v="371"/>
    <m/>
  </r>
  <r>
    <n v="762"/>
    <x v="41"/>
    <s v="WHATS"/>
    <n v="89835"/>
    <n v="5641.7"/>
    <m/>
    <m/>
    <m/>
    <x v="371"/>
    <m/>
  </r>
  <r>
    <n v="724"/>
    <x v="42"/>
    <s v="WHATS"/>
    <n v="89831"/>
    <n v="418.82"/>
    <m/>
    <m/>
    <m/>
    <x v="371"/>
    <m/>
  </r>
  <r>
    <n v="2022"/>
    <x v="28"/>
    <s v="WHATS"/>
    <n v="89874"/>
    <n v="217.3"/>
    <m/>
    <m/>
    <m/>
    <x v="371"/>
    <m/>
  </r>
  <r>
    <n v="823"/>
    <x v="17"/>
    <s v="WHATS"/>
    <s v="88967/101749"/>
    <n v="1946.98"/>
    <m/>
    <m/>
    <m/>
    <x v="371"/>
    <m/>
  </r>
  <r>
    <n v="50465"/>
    <x v="96"/>
    <s v="WHATS"/>
    <n v="89885"/>
    <n v="76.5"/>
    <m/>
    <m/>
    <m/>
    <x v="372"/>
    <m/>
  </r>
  <r>
    <n v="50465"/>
    <x v="96"/>
    <s v="WHATS"/>
    <n v="101737"/>
    <n v="250"/>
    <m/>
    <m/>
    <m/>
    <x v="372"/>
    <m/>
  </r>
  <r>
    <n v="2022"/>
    <x v="28"/>
    <s v="WHATS"/>
    <n v="89890"/>
    <n v="8113.8"/>
    <m/>
    <m/>
    <m/>
    <x v="372"/>
    <m/>
  </r>
  <r>
    <n v="705"/>
    <x v="1"/>
    <s v="WHATS"/>
    <n v="89884"/>
    <n v="1523.36"/>
    <m/>
    <m/>
    <m/>
    <x v="372"/>
    <m/>
  </r>
  <r>
    <n v="708"/>
    <x v="56"/>
    <s v="WHATS"/>
    <n v="89892"/>
    <n v="2030"/>
    <m/>
    <m/>
    <m/>
    <x v="372"/>
    <m/>
  </r>
  <r>
    <n v="475"/>
    <x v="23"/>
    <s v="WHATS"/>
    <s v="89901/101757"/>
    <n v="3430.68"/>
    <m/>
    <m/>
    <m/>
    <x v="372"/>
    <m/>
  </r>
  <r>
    <n v="475"/>
    <x v="23"/>
    <s v="EMAIL"/>
    <n v="89209101723"/>
    <n v="13177.51"/>
    <m/>
    <m/>
    <m/>
    <x v="372"/>
    <m/>
  </r>
  <r>
    <n v="480"/>
    <x v="39"/>
    <s v="WHATS"/>
    <s v="89911/101762"/>
    <n v="2871.68"/>
    <m/>
    <m/>
    <m/>
    <x v="372"/>
    <m/>
  </r>
  <r>
    <n v="516"/>
    <x v="11"/>
    <s v="WHATS"/>
    <n v="89914"/>
    <n v="12421.05"/>
    <m/>
    <m/>
    <m/>
    <x v="373"/>
    <m/>
  </r>
  <r>
    <n v="761"/>
    <x v="24"/>
    <s v="WHATS"/>
    <s v="89828/89922/101745"/>
    <n v="1542.05"/>
    <m/>
    <m/>
    <m/>
    <x v="373"/>
    <m/>
  </r>
  <r>
    <n v="874"/>
    <x v="53"/>
    <s v="WHATS"/>
    <n v="89937"/>
    <n v="6949.1"/>
    <m/>
    <m/>
    <m/>
    <x v="373"/>
    <m/>
  </r>
  <r>
    <n v="1164"/>
    <x v="58"/>
    <s v="WHATS"/>
    <n v="89805"/>
    <n v="1340.91"/>
    <m/>
    <m/>
    <m/>
    <x v="373"/>
    <m/>
  </r>
  <r>
    <n v="500243"/>
    <x v="110"/>
    <s v="WHATS"/>
    <n v="89957"/>
    <n v="2431.16"/>
    <m/>
    <m/>
    <m/>
    <x v="373"/>
    <m/>
  </r>
  <r>
    <n v="2763"/>
    <x v="68"/>
    <s v="PLATAFORMA"/>
    <s v="101774/89973"/>
    <n v="484.1"/>
    <m/>
    <m/>
    <m/>
    <x v="374"/>
    <m/>
  </r>
  <r>
    <n v="1371"/>
    <x v="119"/>
    <s v="WHATS"/>
    <n v="89981"/>
    <n v="1074"/>
    <m/>
    <m/>
    <m/>
    <x v="374"/>
    <m/>
  </r>
  <r>
    <n v="761"/>
    <x v="24"/>
    <s v="WHATS"/>
    <n v="90005"/>
    <n v="14169.64"/>
    <m/>
    <m/>
    <m/>
    <x v="375"/>
    <m/>
  </r>
  <r>
    <n v="50418"/>
    <x v="35"/>
    <s v="WHATS"/>
    <n v="89998"/>
    <n v="699"/>
    <m/>
    <m/>
    <m/>
    <x v="375"/>
    <m/>
  </r>
  <r>
    <n v="746"/>
    <x v="3"/>
    <s v="WHATS"/>
    <n v="101731"/>
    <n v="82.95"/>
    <m/>
    <m/>
    <m/>
    <x v="375"/>
    <m/>
  </r>
  <r>
    <n v="475"/>
    <x v="23"/>
    <s v="WHATS"/>
    <n v="101773"/>
    <n v="206.47"/>
    <m/>
    <m/>
    <m/>
    <x v="375"/>
    <m/>
  </r>
  <r>
    <n v="2415"/>
    <x v="63"/>
    <s v="WHATS"/>
    <s v="89948/101768"/>
    <n v="455.6"/>
    <m/>
    <m/>
    <m/>
    <x v="376"/>
    <m/>
  </r>
  <r>
    <n v="2022"/>
    <x v="28"/>
    <s v="WHATS"/>
    <n v="90049"/>
    <n v="686.58"/>
    <m/>
    <m/>
    <m/>
    <x v="376"/>
    <m/>
  </r>
  <r>
    <n v="687"/>
    <x v="16"/>
    <s v="WHATS"/>
    <n v="90055"/>
    <n v="591.5"/>
    <m/>
    <m/>
    <m/>
    <x v="376"/>
    <m/>
  </r>
  <r>
    <n v="50558"/>
    <x v="2"/>
    <s v="WHATS"/>
    <n v="89713"/>
    <n v="3125.24"/>
    <m/>
    <m/>
    <m/>
    <x v="376"/>
    <m/>
  </r>
  <r>
    <n v="50961"/>
    <x v="109"/>
    <s v="WHATS"/>
    <n v="89950"/>
    <n v="444.1"/>
    <m/>
    <m/>
    <m/>
    <x v="376"/>
    <m/>
  </r>
  <r>
    <n v="325"/>
    <x v="97"/>
    <s v="WHATS"/>
    <s v="90053/101792"/>
    <n v="1851.75"/>
    <m/>
    <m/>
    <m/>
    <x v="376"/>
    <m/>
  </r>
  <r>
    <n v="1026"/>
    <x v="7"/>
    <s v="TEL"/>
    <n v="90078"/>
    <n v="2632.11"/>
    <m/>
    <m/>
    <m/>
    <x v="376"/>
    <m/>
  </r>
  <r>
    <n v="51061"/>
    <x v="138"/>
    <s v="PLATAFORMA"/>
    <n v="90089"/>
    <n v="860"/>
    <m/>
    <m/>
    <m/>
    <x v="377"/>
    <m/>
  </r>
  <r>
    <n v="1493"/>
    <x v="21"/>
    <s v="TEL"/>
    <n v="90100"/>
    <n v="1297.82"/>
    <m/>
    <m/>
    <m/>
    <x v="377"/>
    <m/>
  </r>
  <r>
    <n v="620"/>
    <x v="69"/>
    <s v="WHATS"/>
    <s v="90103/101800"/>
    <n v="889.75"/>
    <m/>
    <m/>
    <m/>
    <x v="377"/>
    <m/>
  </r>
  <r>
    <n v="1533"/>
    <x v="50"/>
    <s v="WHATS"/>
    <n v="90095"/>
    <n v="204.8"/>
    <m/>
    <m/>
    <m/>
    <x v="377"/>
    <m/>
  </r>
  <r>
    <n v="690"/>
    <x v="19"/>
    <s v="WHATS"/>
    <n v="89838"/>
    <n v="257"/>
    <m/>
    <m/>
    <m/>
    <x v="377"/>
    <m/>
  </r>
  <r>
    <n v="50465"/>
    <x v="96"/>
    <s v="WHATS"/>
    <n v="90117"/>
    <n v="789.8"/>
    <m/>
    <m/>
    <m/>
    <x v="377"/>
    <m/>
  </r>
  <r>
    <n v="3557"/>
    <x v="139"/>
    <s v="PLATAFORMA"/>
    <n v="90120"/>
    <n v="4800"/>
    <m/>
    <m/>
    <m/>
    <x v="377"/>
    <m/>
  </r>
  <r>
    <n v="432"/>
    <x v="43"/>
    <s v="WHATS"/>
    <n v="90142"/>
    <n v="3307.2"/>
    <m/>
    <m/>
    <m/>
    <x v="378"/>
    <m/>
  </r>
  <r>
    <n v="2181"/>
    <x v="0"/>
    <s v="WHATS"/>
    <n v="90144"/>
    <n v="40"/>
    <m/>
    <m/>
    <m/>
    <x v="378"/>
    <m/>
  </r>
  <r>
    <n v="2199"/>
    <x v="132"/>
    <s v="WHATS"/>
    <s v="89839/89875/90090"/>
    <n v="1001"/>
    <m/>
    <m/>
    <m/>
    <x v="378"/>
    <m/>
  </r>
  <r>
    <n v="434"/>
    <x v="134"/>
    <s v="WHATS"/>
    <n v="90163"/>
    <n v="1192.4000000000001"/>
    <m/>
    <m/>
    <m/>
    <x v="378"/>
    <m/>
  </r>
  <r>
    <n v="1493"/>
    <x v="21"/>
    <s v="WHATS"/>
    <n v="90184"/>
    <n v="578"/>
    <m/>
    <m/>
    <m/>
    <x v="378"/>
    <m/>
  </r>
  <r>
    <n v="2022"/>
    <x v="28"/>
    <s v="WHATS"/>
    <n v="90183"/>
    <n v="1689.26"/>
    <m/>
    <m/>
    <m/>
    <x v="378"/>
    <m/>
  </r>
  <r>
    <n v="980"/>
    <x v="80"/>
    <s v="WHATS"/>
    <n v="90187"/>
    <n v="1068"/>
    <m/>
    <m/>
    <m/>
    <x v="378"/>
    <m/>
  </r>
  <r>
    <n v="50769"/>
    <x v="140"/>
    <s v="WHATS"/>
    <n v="90182"/>
    <n v="364"/>
    <m/>
    <m/>
    <m/>
    <x v="378"/>
    <m/>
  </r>
  <r>
    <n v="50554"/>
    <x v="20"/>
    <s v="WHATS"/>
    <n v="90198"/>
    <n v="264"/>
    <m/>
    <m/>
    <m/>
    <x v="378"/>
    <m/>
  </r>
  <r>
    <n v="2572"/>
    <x v="115"/>
    <s v="TEL"/>
    <n v="90208"/>
    <n v="2700"/>
    <m/>
    <m/>
    <m/>
    <x v="378"/>
    <m/>
  </r>
  <r>
    <n v="2980"/>
    <x v="40"/>
    <s v="WHATS"/>
    <n v="90214"/>
    <n v="1339.69"/>
    <m/>
    <m/>
    <m/>
    <x v="379"/>
    <m/>
  </r>
  <r>
    <n v="1371"/>
    <x v="119"/>
    <s v="WHATS"/>
    <n v="90244"/>
    <n v="1650"/>
    <m/>
    <m/>
    <m/>
    <x v="379"/>
    <m/>
  </r>
  <r>
    <n v="475"/>
    <x v="23"/>
    <s v="EMAIL"/>
    <n v="90204"/>
    <n v="7652"/>
    <m/>
    <m/>
    <m/>
    <x v="379"/>
    <m/>
  </r>
  <r>
    <n v="581"/>
    <x v="74"/>
    <s v="WHATS"/>
    <s v="101787/90026"/>
    <n v="1594.87"/>
    <m/>
    <m/>
    <m/>
    <x v="380"/>
    <m/>
  </r>
  <r>
    <n v="2397"/>
    <x v="6"/>
    <s v="WHATS"/>
    <n v="90082"/>
    <n v="1079.58"/>
    <m/>
    <m/>
    <m/>
    <x v="380"/>
    <m/>
  </r>
  <r>
    <n v="311"/>
    <x v="46"/>
    <s v="WHATS"/>
    <n v="101807"/>
    <n v="238.96"/>
    <m/>
    <m/>
    <m/>
    <x v="380"/>
    <m/>
  </r>
  <r>
    <n v="463"/>
    <x v="32"/>
    <s v="WHATS"/>
    <n v="90259"/>
    <n v="1006.96"/>
    <m/>
    <m/>
    <m/>
    <x v="380"/>
    <m/>
  </r>
  <r>
    <n v="618"/>
    <x v="26"/>
    <s v="WHATS"/>
    <s v="90299/101826"/>
    <n v="4884.78"/>
    <m/>
    <m/>
    <m/>
    <x v="380"/>
    <m/>
  </r>
  <r>
    <n v="761"/>
    <x v="24"/>
    <s v="WHATS"/>
    <s v="101823/90283"/>
    <n v="23820.959999999999"/>
    <m/>
    <m/>
    <m/>
    <x v="380"/>
    <m/>
  </r>
  <r>
    <n v="50576"/>
    <x v="37"/>
    <s v="WHATS"/>
    <n v="90317"/>
    <n v="2461.4"/>
    <m/>
    <m/>
    <m/>
    <x v="380"/>
    <m/>
  </r>
  <r>
    <n v="500772"/>
    <x v="141"/>
    <s v="WHATS"/>
    <n v="90308"/>
    <n v="1225.8"/>
    <m/>
    <m/>
    <m/>
    <x v="380"/>
    <m/>
  </r>
  <r>
    <n v="663"/>
    <x v="116"/>
    <s v="WHATS"/>
    <s v="90294/101827"/>
    <n v="3349.49"/>
    <m/>
    <m/>
    <m/>
    <x v="21"/>
    <m/>
  </r>
  <r>
    <n v="500005"/>
    <x v="102"/>
    <s v="WHATS"/>
    <n v="90331"/>
    <m/>
    <m/>
    <n v="3000"/>
    <m/>
    <x v="21"/>
    <m/>
  </r>
  <r>
    <n v="311"/>
    <x v="46"/>
    <s v="WHATS"/>
    <s v="90341/101807"/>
    <n v="664.72"/>
    <m/>
    <m/>
    <m/>
    <x v="21"/>
    <m/>
  </r>
  <r>
    <n v="2911"/>
    <x v="15"/>
    <s v="WHATS"/>
    <s v="90345/101836"/>
    <n v="3331.01"/>
    <m/>
    <m/>
    <m/>
    <x v="21"/>
    <m/>
  </r>
  <r>
    <n v="618"/>
    <x v="26"/>
    <s v="WHATS"/>
    <n v="90351"/>
    <n v="465"/>
    <m/>
    <m/>
    <m/>
    <x v="21"/>
    <m/>
  </r>
  <r>
    <n v="50861"/>
    <x v="133"/>
    <s v="WHATS"/>
    <n v="90364"/>
    <n v="889.4"/>
    <m/>
    <m/>
    <m/>
    <x v="21"/>
    <m/>
  </r>
  <r>
    <n v="572"/>
    <x v="51"/>
    <s v="WHATS"/>
    <n v="90375"/>
    <n v="440.73"/>
    <m/>
    <m/>
    <m/>
    <x v="381"/>
    <m/>
  </r>
  <r>
    <n v="2397"/>
    <x v="6"/>
    <s v="WHATS"/>
    <n v="90381"/>
    <n v="446.86"/>
    <m/>
    <m/>
    <m/>
    <x v="381"/>
    <m/>
  </r>
  <r>
    <n v="1164"/>
    <x v="58"/>
    <s v="WHATS"/>
    <s v="90384/89805/101842"/>
    <n v="1945.47"/>
    <m/>
    <m/>
    <m/>
    <x v="381"/>
    <m/>
  </r>
  <r>
    <n v="725"/>
    <x v="65"/>
    <s v="WHATS"/>
    <n v="90395"/>
    <n v="288.95"/>
    <m/>
    <m/>
    <m/>
    <x v="381"/>
    <m/>
  </r>
  <r>
    <n v="1533"/>
    <x v="50"/>
    <s v="WHATS"/>
    <n v="90444"/>
    <n v="547.54999999999995"/>
    <m/>
    <m/>
    <m/>
    <x v="382"/>
    <m/>
  </r>
  <r>
    <n v="705"/>
    <x v="1"/>
    <s v="WHATS"/>
    <n v="90321"/>
    <n v="379"/>
    <m/>
    <m/>
    <m/>
    <x v="382"/>
    <m/>
  </r>
  <r>
    <n v="50558"/>
    <x v="2"/>
    <s v="WHATS"/>
    <n v="90057"/>
    <n v="2335"/>
    <m/>
    <m/>
    <m/>
    <x v="382"/>
    <m/>
  </r>
  <r>
    <n v="784"/>
    <x v="13"/>
    <s v="WHATS"/>
    <n v="90397"/>
    <n v="3156.67"/>
    <m/>
    <m/>
    <m/>
    <x v="382"/>
    <m/>
  </r>
  <r>
    <n v="772"/>
    <x v="71"/>
    <s v="WHATS"/>
    <n v="90451"/>
    <n v="1670.52"/>
    <m/>
    <m/>
    <m/>
    <x v="382"/>
    <m/>
  </r>
  <r>
    <n v="3557"/>
    <x v="139"/>
    <s v="WHATS"/>
    <n v="90464"/>
    <n v="254.8"/>
    <m/>
    <m/>
    <m/>
    <x v="382"/>
    <m/>
  </r>
  <r>
    <n v="761"/>
    <x v="24"/>
    <s v="WHATS"/>
    <n v="90283"/>
    <n v="1242.2"/>
    <m/>
    <m/>
    <m/>
    <x v="383"/>
    <m/>
  </r>
  <r>
    <n v="822"/>
    <x v="66"/>
    <s v="WHATS"/>
    <s v="101860/90481"/>
    <n v="2194.5"/>
    <m/>
    <m/>
    <m/>
    <x v="383"/>
    <m/>
  </r>
  <r>
    <n v="50219"/>
    <x v="14"/>
    <s v="WHATS"/>
    <s v="90391/101861"/>
    <n v="2050.15"/>
    <m/>
    <m/>
    <m/>
    <x v="383"/>
    <m/>
  </r>
  <r>
    <n v="1122"/>
    <x v="87"/>
    <s v="WHATS"/>
    <n v="90486"/>
    <n v="1555.55"/>
    <m/>
    <m/>
    <m/>
    <x v="383"/>
    <m/>
  </r>
  <r>
    <n v="1493"/>
    <x v="21"/>
    <s v="WHATS"/>
    <n v="90514"/>
    <n v="519.5"/>
    <m/>
    <m/>
    <m/>
    <x v="383"/>
    <m/>
  </r>
  <r>
    <n v="2022"/>
    <x v="28"/>
    <s v="WHATS"/>
    <s v="90183/90538"/>
    <n v="387.64"/>
    <m/>
    <m/>
    <m/>
    <x v="383"/>
    <m/>
  </r>
  <r>
    <n v="325"/>
    <x v="97"/>
    <s v="WHATS"/>
    <s v="90545/101872"/>
    <n v="571.4"/>
    <m/>
    <m/>
    <m/>
    <x v="384"/>
    <m/>
  </r>
  <r>
    <n v="906"/>
    <x v="27"/>
    <s v="WHATS"/>
    <s v="90557/101857"/>
    <n v="6038.82"/>
    <m/>
    <m/>
    <m/>
    <x v="384"/>
    <m/>
  </r>
  <r>
    <n v="690"/>
    <x v="19"/>
    <s v="WHATS"/>
    <s v="90546/101875"/>
    <n v="2116.0500000000002"/>
    <m/>
    <m/>
    <m/>
    <x v="384"/>
    <m/>
  </r>
  <r>
    <n v="2415"/>
    <x v="63"/>
    <s v="WHATS"/>
    <s v="90562/101877"/>
    <n v="352.29"/>
    <m/>
    <m/>
    <m/>
    <x v="384"/>
    <m/>
  </r>
  <r>
    <n v="1989"/>
    <x v="67"/>
    <s v="WHATS"/>
    <n v="89956"/>
    <n v="616.03"/>
    <m/>
    <m/>
    <m/>
    <x v="384"/>
    <m/>
  </r>
  <r>
    <n v="412"/>
    <x v="90"/>
    <s v="WHATS"/>
    <n v="90632"/>
    <n v="84"/>
    <m/>
    <m/>
    <m/>
    <x v="385"/>
    <m/>
  </r>
  <r>
    <n v="762"/>
    <x v="41"/>
    <s v="EMAIL"/>
    <n v="90628"/>
    <n v="1584.9"/>
    <m/>
    <m/>
    <m/>
    <x v="385"/>
    <m/>
  </r>
  <r>
    <n v="408"/>
    <x v="142"/>
    <s v="EMAIL"/>
    <n v="90634"/>
    <n v="2351.56"/>
    <m/>
    <m/>
    <m/>
    <x v="385"/>
    <m/>
  </r>
  <r>
    <n v="1493"/>
    <x v="21"/>
    <s v="WHATS"/>
    <n v="90625"/>
    <n v="551.86"/>
    <m/>
    <m/>
    <m/>
    <x v="385"/>
    <m/>
  </r>
  <r>
    <n v="1164"/>
    <x v="58"/>
    <s v="WHATS"/>
    <s v="90655/101895"/>
    <n v="465.18"/>
    <m/>
    <m/>
    <m/>
    <x v="386"/>
    <m/>
  </r>
  <r>
    <n v="704"/>
    <x v="49"/>
    <s v="WHATS"/>
    <s v="90454/101854"/>
    <n v="1824.69"/>
    <m/>
    <m/>
    <m/>
    <x v="385"/>
    <m/>
  </r>
  <r>
    <n v="1813"/>
    <x v="48"/>
    <s v="WHATS"/>
    <n v="90619"/>
    <n v="1271.74"/>
    <m/>
    <m/>
    <m/>
    <x v="385"/>
    <m/>
  </r>
  <r>
    <n v="412"/>
    <x v="90"/>
    <s v="WHATS"/>
    <n v="90632"/>
    <n v="84"/>
    <m/>
    <m/>
    <m/>
    <x v="385"/>
    <m/>
  </r>
  <r>
    <n v="50554"/>
    <x v="20"/>
    <s v="WHATS"/>
    <s v="101882/89976/89955"/>
    <n v="4796.3599999999997"/>
    <m/>
    <m/>
    <m/>
    <x v="385"/>
    <m/>
  </r>
  <r>
    <n v="3194"/>
    <x v="18"/>
    <s v="WHATS"/>
    <n v="90539"/>
    <n v="380.2"/>
    <m/>
    <m/>
    <m/>
    <x v="385"/>
    <m/>
  </r>
  <r>
    <n v="746"/>
    <x v="3"/>
    <s v="WHATS"/>
    <s v="90416/101849"/>
    <n v="608.03"/>
    <m/>
    <m/>
    <m/>
    <x v="386"/>
    <m/>
  </r>
  <r>
    <n v="2022"/>
    <x v="28"/>
    <s v="WHATS"/>
    <n v="89890"/>
    <n v="7687.8"/>
    <m/>
    <m/>
    <m/>
    <x v="386"/>
    <m/>
  </r>
  <r>
    <n v="50465"/>
    <x v="96"/>
    <s v="WHATS"/>
    <n v="90564"/>
    <n v="445.5"/>
    <m/>
    <m/>
    <m/>
    <x v="386"/>
    <m/>
  </r>
  <r>
    <n v="772"/>
    <x v="71"/>
    <s v="WHATS"/>
    <n v="90688"/>
    <n v="187.65"/>
    <m/>
    <m/>
    <m/>
    <x v="386"/>
    <m/>
  </r>
  <r>
    <n v="3017"/>
    <x v="62"/>
    <s v="WHATS"/>
    <n v="90691"/>
    <n v="1483.66"/>
    <m/>
    <m/>
    <m/>
    <x v="386"/>
    <m/>
  </r>
  <r>
    <n v="1206"/>
    <x v="33"/>
    <s v="WHATS"/>
    <n v="90713"/>
    <n v="1510.68"/>
    <m/>
    <m/>
    <m/>
    <x v="386"/>
    <m/>
  </r>
  <r>
    <n v="1026"/>
    <x v="7"/>
    <s v="WHATS"/>
    <s v="90150/90078"/>
    <n v="2114"/>
    <m/>
    <m/>
    <m/>
    <x v="387"/>
    <m/>
  </r>
  <r>
    <n v="1623"/>
    <x v="57"/>
    <s v="WHATS"/>
    <n v="90720"/>
    <n v="300.45"/>
    <m/>
    <m/>
    <m/>
    <x v="387"/>
    <m/>
  </r>
  <r>
    <n v="3153"/>
    <x v="12"/>
    <s v="WHATS"/>
    <s v="90352/101839"/>
    <n v="1811.54"/>
    <m/>
    <m/>
    <m/>
    <x v="387"/>
    <m/>
  </r>
  <r>
    <n v="2199"/>
    <x v="132"/>
    <s v="WHATS"/>
    <s v="90737/90565/101910"/>
    <n v="596.70000000000005"/>
    <m/>
    <m/>
    <m/>
    <x v="387"/>
    <m/>
  </r>
  <r>
    <n v="50728"/>
    <x v="84"/>
    <s v="WHATS"/>
    <n v="90742"/>
    <n v="1550"/>
    <m/>
    <m/>
    <m/>
    <x v="387"/>
    <m/>
  </r>
  <r>
    <n v="50558"/>
    <x v="2"/>
    <s v="WHATS"/>
    <n v="90764"/>
    <n v="5716"/>
    <m/>
    <m/>
    <m/>
    <x v="388"/>
    <m/>
  </r>
  <r>
    <n v="960"/>
    <x v="30"/>
    <s v="WHATS"/>
    <s v="90584/101883"/>
    <n v="1394.57"/>
    <m/>
    <m/>
    <m/>
    <x v="388"/>
    <m/>
  </r>
  <r>
    <n v="761"/>
    <x v="24"/>
    <s v="WHATS"/>
    <s v="90283/90782/90005/101873"/>
    <n v="4672.33"/>
    <m/>
    <m/>
    <m/>
    <x v="388"/>
    <m/>
  </r>
  <r>
    <n v="500005"/>
    <x v="102"/>
    <s v="WHATS"/>
    <n v="90789"/>
    <n v="3016.17"/>
    <m/>
    <m/>
    <m/>
    <x v="388"/>
    <m/>
  </r>
  <r>
    <n v="575"/>
    <x v="45"/>
    <s v="WHATS"/>
    <n v="90767"/>
    <n v="745.2"/>
    <m/>
    <m/>
    <m/>
    <x v="388"/>
    <m/>
  </r>
  <r>
    <n v="500772"/>
    <x v="141"/>
    <s v="WHATS"/>
    <s v="90308/90643"/>
    <n v="749.4"/>
    <m/>
    <m/>
    <m/>
    <x v="389"/>
    <m/>
  </r>
  <r>
    <n v="3018"/>
    <x v="64"/>
    <s v="WHATS"/>
    <n v="90340"/>
    <n v="1068.27"/>
    <m/>
    <m/>
    <m/>
    <x v="389"/>
    <m/>
  </r>
  <r>
    <n v="1493"/>
    <x v="21"/>
    <s v="WHATS"/>
    <n v="90625"/>
    <n v="734"/>
    <m/>
    <m/>
    <m/>
    <x v="389"/>
    <m/>
  </r>
  <r>
    <n v="51061"/>
    <x v="138"/>
    <s v="WHATS"/>
    <n v="90814"/>
    <n v="1581.4"/>
    <m/>
    <m/>
    <m/>
    <x v="389"/>
    <m/>
  </r>
  <r>
    <n v="2415"/>
    <x v="63"/>
    <s v="WHATS"/>
    <n v="90817"/>
    <n v="1098.8"/>
    <m/>
    <m/>
    <m/>
    <x v="389"/>
    <m/>
  </r>
  <r>
    <n v="1533"/>
    <x v="50"/>
    <s v="WHATS"/>
    <n v="90854"/>
    <n v="726.8"/>
    <m/>
    <m/>
    <m/>
    <x v="390"/>
    <m/>
  </r>
  <r>
    <n v="960"/>
    <x v="30"/>
    <s v="WHATS"/>
    <n v="90884"/>
    <n v="730"/>
    <m/>
    <m/>
    <m/>
    <x v="391"/>
    <m/>
  </r>
  <r>
    <n v="50465"/>
    <x v="96"/>
    <s v="WHATS"/>
    <n v="90806"/>
    <n v="485.66"/>
    <m/>
    <m/>
    <m/>
    <x v="391"/>
    <m/>
  </r>
  <r>
    <n v="3475"/>
    <x v="59"/>
    <s v="WHATS"/>
    <n v="90469"/>
    <n v="270.95"/>
    <m/>
    <m/>
    <m/>
    <x v="391"/>
    <m/>
  </r>
  <r>
    <n v="690"/>
    <x v="19"/>
    <s v="WHATS"/>
    <s v="90703/101902"/>
    <n v="139"/>
    <m/>
    <m/>
    <m/>
    <x v="391"/>
    <m/>
  </r>
  <r>
    <n v="50554"/>
    <x v="20"/>
    <s v="WHATS"/>
    <s v="90704/101903"/>
    <n v="645"/>
    <m/>
    <m/>
    <m/>
    <x v="391"/>
    <m/>
  </r>
  <r>
    <n v="3557"/>
    <x v="139"/>
    <s v="WHATS"/>
    <n v="90907"/>
    <n v="1307.7"/>
    <m/>
    <m/>
    <m/>
    <x v="391"/>
    <m/>
  </r>
  <r>
    <n v="874"/>
    <x v="53"/>
    <s v="WHATS"/>
    <n v="90918"/>
    <n v="2293.31"/>
    <m/>
    <m/>
    <m/>
    <x v="391"/>
    <m/>
  </r>
  <r>
    <n v="500243"/>
    <x v="110"/>
    <s v="WHATS"/>
    <n v="90024"/>
    <n v="1333.4"/>
    <m/>
    <m/>
    <m/>
    <x v="392"/>
    <m/>
  </r>
  <r>
    <n v="412"/>
    <x v="90"/>
    <s v="WHATS"/>
    <n v="90950"/>
    <n v="1095"/>
    <m/>
    <m/>
    <m/>
    <x v="393"/>
    <m/>
  </r>
  <r>
    <n v="475"/>
    <x v="23"/>
    <s v="WHATS"/>
    <s v="101939/90890"/>
    <n v="29927.9"/>
    <m/>
    <m/>
    <m/>
    <x v="392"/>
    <m/>
  </r>
  <r>
    <n v="311"/>
    <x v="46"/>
    <s v="WHATS"/>
    <n v="90774"/>
    <n v="2196.3000000000002"/>
    <m/>
    <m/>
    <m/>
    <x v="393"/>
    <m/>
  </r>
  <r>
    <n v="50554"/>
    <x v="20"/>
    <s v="WHATS"/>
    <n v="90956"/>
    <n v="4788"/>
    <m/>
    <m/>
    <m/>
    <x v="392"/>
    <m/>
  </r>
  <r>
    <n v="761"/>
    <x v="24"/>
    <s v="WHATS"/>
    <s v="90973/101944"/>
    <n v="11294.53"/>
    <m/>
    <m/>
    <m/>
    <x v="392"/>
    <m/>
  </r>
  <r>
    <n v="480"/>
    <x v="39"/>
    <s v="WHATS"/>
    <s v="101946/90981"/>
    <n v="1603.4"/>
    <m/>
    <m/>
    <m/>
    <x v="392"/>
    <m/>
  </r>
  <r>
    <n v="1971"/>
    <x v="29"/>
    <s v="WHATS"/>
    <n v="90972"/>
    <n v="509.85"/>
    <m/>
    <m/>
    <m/>
    <x v="392"/>
    <m/>
  </r>
  <r>
    <n v="516"/>
    <x v="11"/>
    <s v="WHATS"/>
    <n v="89952"/>
    <n v="12824.31"/>
    <m/>
    <m/>
    <m/>
    <x v="392"/>
    <m/>
  </r>
  <r>
    <n v="960"/>
    <x v="30"/>
    <s v="WHATS"/>
    <n v="90984"/>
    <n v="1074"/>
    <m/>
    <m/>
    <m/>
    <x v="392"/>
    <m/>
  </r>
  <r>
    <n v="3017"/>
    <x v="62"/>
    <s v="WHATS"/>
    <n v="90977"/>
    <n v="1716.59"/>
    <m/>
    <m/>
    <m/>
    <x v="392"/>
    <m/>
  </r>
  <r>
    <n v="2022"/>
    <x v="28"/>
    <s v="WHATS"/>
    <n v="90183"/>
    <n v="356"/>
    <m/>
    <m/>
    <m/>
    <x v="392"/>
    <m/>
  </r>
  <r>
    <n v="2163"/>
    <x v="36"/>
    <s v="WHATS"/>
    <n v="90993"/>
    <n v="1822.4"/>
    <m/>
    <m/>
    <m/>
    <x v="392"/>
    <m/>
  </r>
  <r>
    <n v="50576"/>
    <x v="37"/>
    <s v="WHATS"/>
    <n v="91020"/>
    <n v="2396.06"/>
    <m/>
    <m/>
    <m/>
    <x v="394"/>
    <m/>
  </r>
  <r>
    <n v="2199"/>
    <x v="132"/>
    <s v="PLATAFORMA"/>
    <s v="91025/90737"/>
    <n v="4138.3"/>
    <m/>
    <m/>
    <m/>
    <x v="394"/>
    <m/>
  </r>
  <r>
    <n v="50961"/>
    <x v="109"/>
    <s v="WHATS"/>
    <s v="91035/89950"/>
    <n v="542.5"/>
    <m/>
    <m/>
    <m/>
    <x v="394"/>
    <m/>
  </r>
  <r>
    <n v="905"/>
    <x v="72"/>
    <s v="WHATS"/>
    <s v="90579/101952"/>
    <n v="1055.25"/>
    <m/>
    <m/>
    <m/>
    <x v="394"/>
    <m/>
  </r>
  <r>
    <n v="434"/>
    <x v="134"/>
    <s v="WHATS"/>
    <n v="91059"/>
    <n v="1031.4000000000001"/>
    <m/>
    <m/>
    <m/>
    <x v="394"/>
    <m/>
  </r>
  <r>
    <n v="500829"/>
    <x v="143"/>
    <s v="WHATS"/>
    <n v="91085"/>
    <n v="8543.52"/>
    <m/>
    <m/>
    <m/>
    <x v="395"/>
    <m/>
  </r>
  <r>
    <n v="620"/>
    <x v="69"/>
    <s v="WHATS"/>
    <s v="91083/101964"/>
    <n v="599.92999999999995"/>
    <m/>
    <m/>
    <m/>
    <x v="395"/>
    <m/>
  </r>
  <r>
    <n v="2199"/>
    <x v="132"/>
    <s v="PLATAFORMA"/>
    <s v="91076/91076"/>
    <n v="8024.4"/>
    <m/>
    <m/>
    <m/>
    <x v="395"/>
    <m/>
  </r>
  <r>
    <n v="1502"/>
    <x v="76"/>
    <s v="WHATS"/>
    <n v="91114"/>
    <n v="4960.68"/>
    <m/>
    <m/>
    <m/>
    <x v="396"/>
    <m/>
  </r>
  <r>
    <n v="3077"/>
    <x v="10"/>
    <s v="WHATS"/>
    <s v="91011/101953"/>
    <n v="1159.99"/>
    <m/>
    <m/>
    <m/>
    <x v="396"/>
    <m/>
  </r>
  <r>
    <n v="1533"/>
    <x v="50"/>
    <s v="WHATS"/>
    <n v="91161"/>
    <n v="656"/>
    <m/>
    <m/>
    <m/>
    <x v="396"/>
    <m/>
  </r>
  <r>
    <n v="412"/>
    <x v="90"/>
    <s v="WHATS"/>
    <n v="91185"/>
    <n v="1095"/>
    <m/>
    <m/>
    <m/>
    <x v="397"/>
    <m/>
  </r>
  <r>
    <n v="687"/>
    <x v="16"/>
    <s v="WHATS"/>
    <n v="91184"/>
    <n v="5839.2"/>
    <m/>
    <m/>
    <m/>
    <x v="397"/>
    <m/>
  </r>
  <r>
    <n v="408"/>
    <x v="142"/>
    <s v="WHATS"/>
    <n v="90634"/>
    <n v="794.35"/>
    <m/>
    <m/>
    <m/>
    <x v="397"/>
    <m/>
  </r>
  <r>
    <n v="1164"/>
    <x v="58"/>
    <s v="WHATS"/>
    <s v="101993/90680"/>
    <n v="1532.04"/>
    <m/>
    <m/>
    <m/>
    <x v="397"/>
    <m/>
  </r>
  <r>
    <n v="432"/>
    <x v="43"/>
    <s v="WHATS"/>
    <n v="91231"/>
    <n v="852"/>
    <m/>
    <m/>
    <m/>
    <x v="398"/>
    <m/>
  </r>
  <r>
    <n v="2911"/>
    <x v="15"/>
    <s v="TEANS"/>
    <s v="91153/101979"/>
    <n v="1732.95"/>
    <m/>
    <m/>
    <m/>
    <x v="398"/>
    <m/>
  </r>
  <r>
    <n v="2980"/>
    <x v="40"/>
    <s v="WHATS"/>
    <n v="91250"/>
    <n v="1057.3"/>
    <m/>
    <m/>
    <m/>
    <x v="398"/>
    <m/>
  </r>
  <r>
    <n v="620"/>
    <x v="69"/>
    <s v="WHATS"/>
    <n v="90803"/>
    <n v="381.2"/>
    <m/>
    <m/>
    <m/>
    <x v="398"/>
    <m/>
  </r>
  <r>
    <n v="500829"/>
    <x v="143"/>
    <s v="WHATS"/>
    <n v="91262"/>
    <n v="6923.52"/>
    <m/>
    <m/>
    <m/>
    <x v="398"/>
    <m/>
  </r>
  <r>
    <n v="500005"/>
    <x v="102"/>
    <s v="WHATS"/>
    <n v="91275"/>
    <n v="460"/>
    <m/>
    <m/>
    <m/>
    <x v="398"/>
    <m/>
  </r>
  <r>
    <n v="475"/>
    <x v="23"/>
    <s v="WHATS"/>
    <s v="91219/90204"/>
    <n v="8194.99"/>
    <m/>
    <m/>
    <m/>
    <x v="398"/>
    <m/>
  </r>
  <r>
    <n v="761"/>
    <x v="24"/>
    <s v="WHATS"/>
    <s v="91261/101945"/>
    <n v="2822"/>
    <m/>
    <m/>
    <m/>
    <x v="398"/>
    <m/>
  </r>
  <r>
    <n v="762"/>
    <x v="41"/>
    <s v="EMAIL"/>
    <n v="91073"/>
    <n v="2666.45"/>
    <m/>
    <m/>
    <m/>
    <x v="398"/>
    <m/>
  </r>
  <r>
    <n v="874"/>
    <x v="53"/>
    <s v="WHATS"/>
    <n v="91265"/>
    <n v="6570.7"/>
    <m/>
    <m/>
    <m/>
    <x v="398"/>
    <m/>
  </r>
  <r>
    <n v="50219"/>
    <x v="14"/>
    <s v="WHATS"/>
    <n v="91287"/>
    <n v="622.5"/>
    <m/>
    <m/>
    <m/>
    <x v="398"/>
    <m/>
  </r>
  <r>
    <n v="708"/>
    <x v="56"/>
    <s v="EMAIL"/>
    <n v="91314"/>
    <n v="2030"/>
    <m/>
    <m/>
    <m/>
    <x v="399"/>
    <m/>
  </r>
  <r>
    <n v="823"/>
    <x v="17"/>
    <s v="WHATS"/>
    <s v="91305/102007"/>
    <n v="9748.7199999999993"/>
    <m/>
    <m/>
    <m/>
    <x v="399"/>
    <m/>
  </r>
  <r>
    <n v="2022"/>
    <x v="28"/>
    <s v="WHATS"/>
    <n v="91321"/>
    <n v="986.28"/>
    <m/>
    <m/>
    <m/>
    <x v="399"/>
    <m/>
  </r>
  <r>
    <n v="2415"/>
    <x v="63"/>
    <s v="WHATS"/>
    <s v="91339/102013/91292"/>
    <n v="2217.5"/>
    <m/>
    <m/>
    <m/>
    <x v="399"/>
    <m/>
  </r>
  <r>
    <n v="463"/>
    <x v="32"/>
    <s v="WHATS"/>
    <s v="91352/90259"/>
    <n v="1024"/>
    <m/>
    <m/>
    <m/>
    <x v="400"/>
    <m/>
  </r>
  <r>
    <n v="3017"/>
    <x v="62"/>
    <s v="WHATS"/>
    <n v="91356"/>
    <n v="644.9"/>
    <m/>
    <m/>
    <m/>
    <x v="400"/>
    <m/>
  </r>
  <r>
    <n v="1726"/>
    <x v="34"/>
    <s v="WHATS"/>
    <n v="91358"/>
    <n v="338"/>
    <m/>
    <m/>
    <m/>
    <x v="400"/>
    <m/>
  </r>
  <r>
    <n v="2702"/>
    <x v="73"/>
    <s v="WHATS"/>
    <n v="91385"/>
    <n v="720"/>
    <m/>
    <m/>
    <m/>
    <x v="400"/>
    <m/>
  </r>
  <r>
    <n v="2093"/>
    <x v="144"/>
    <s v="WHATS"/>
    <n v="91400"/>
    <n v="260"/>
    <m/>
    <m/>
    <m/>
    <x v="400"/>
    <m/>
  </r>
  <r>
    <n v="475"/>
    <x v="23"/>
    <s v="WHATS"/>
    <n v="90892"/>
    <n v="10098"/>
    <m/>
    <m/>
    <m/>
    <x v="400"/>
    <m/>
  </r>
  <r>
    <n v="762"/>
    <x v="41"/>
    <s v="WHATS"/>
    <n v="91073"/>
    <n v="3300"/>
    <m/>
    <m/>
    <m/>
    <x v="401"/>
    <m/>
  </r>
  <r>
    <n v="1533"/>
    <x v="50"/>
    <s v="WHATS"/>
    <n v="91413"/>
    <n v="1866"/>
    <m/>
    <m/>
    <m/>
    <x v="401"/>
    <m/>
  </r>
  <r>
    <n v="408"/>
    <x v="142"/>
    <s v="WHATS"/>
    <s v="91420/102026"/>
    <n v="6298.06"/>
    <m/>
    <m/>
    <m/>
    <x v="402"/>
    <m/>
  </r>
  <r>
    <n v="50554"/>
    <x v="20"/>
    <s v="WHATS"/>
    <n v="91423"/>
    <n v="2261.1999999999998"/>
    <m/>
    <m/>
    <m/>
    <x v="402"/>
    <m/>
  </r>
  <r>
    <n v="2702"/>
    <x v="73"/>
    <s v="WHATS"/>
    <n v="91450"/>
    <n v="1810.58"/>
    <m/>
    <m/>
    <m/>
    <x v="402"/>
    <m/>
  </r>
  <r>
    <n v="1813"/>
    <x v="48"/>
    <s v="WHATS"/>
    <n v="91451"/>
    <n v="2059.4499999999998"/>
    <m/>
    <m/>
    <m/>
    <x v="402"/>
    <m/>
  </r>
  <r>
    <n v="761"/>
    <x v="24"/>
    <s v="WHATS"/>
    <s v="91448/102022"/>
    <n v="25081.77"/>
    <m/>
    <m/>
    <m/>
    <x v="402"/>
    <m/>
  </r>
  <r>
    <n v="311"/>
    <x v="46"/>
    <s v="WHATS"/>
    <s v="91439/102028"/>
    <n v="686.15"/>
    <m/>
    <m/>
    <m/>
    <x v="402"/>
    <m/>
  </r>
  <r>
    <n v="475"/>
    <x v="23"/>
    <s v="WHATS"/>
    <n v="102021"/>
    <n v="206.47"/>
    <m/>
    <m/>
    <m/>
    <x v="402"/>
    <m/>
  </r>
  <r>
    <n v="663"/>
    <x v="116"/>
    <s v="WHATS"/>
    <s v="91428/102027"/>
    <n v="3155.94"/>
    <m/>
    <m/>
    <m/>
    <x v="402"/>
    <m/>
  </r>
  <r>
    <n v="2415"/>
    <x v="63"/>
    <s v="WHATS"/>
    <n v="91503"/>
    <n v="1712.7"/>
    <m/>
    <m/>
    <m/>
    <x v="403"/>
    <m/>
  </r>
  <r>
    <n v="50219"/>
    <x v="14"/>
    <s v="WHATS"/>
    <s v="91538/102034"/>
    <n v="1591.59"/>
    <m/>
    <m/>
    <m/>
    <x v="404"/>
    <m/>
  </r>
  <r>
    <n v="500829"/>
    <x v="143"/>
    <s v="WHATS"/>
    <n v="91534"/>
    <n v="7578.24"/>
    <m/>
    <m/>
    <m/>
    <x v="404"/>
    <m/>
  </r>
  <r>
    <n v="1989"/>
    <x v="67"/>
    <s v="WHATS"/>
    <n v="91027"/>
    <n v="616.03"/>
    <m/>
    <m/>
    <m/>
    <x v="404"/>
    <m/>
  </r>
  <r>
    <n v="50554"/>
    <x v="20"/>
    <s v="WHATS"/>
    <n v="90103"/>
    <n v="189"/>
    <m/>
    <m/>
    <m/>
    <x v="404"/>
    <m/>
  </r>
  <r>
    <n v="762"/>
    <x v="41"/>
    <s v="WHATS"/>
    <n v="91073"/>
    <n v="460"/>
    <m/>
    <m/>
    <m/>
    <x v="404"/>
    <m/>
  </r>
  <r>
    <n v="725"/>
    <x v="65"/>
    <s v="WHATS"/>
    <n v="91514"/>
    <n v="1531"/>
    <m/>
    <m/>
    <m/>
    <x v="404"/>
    <m/>
  </r>
  <r>
    <n v="784"/>
    <x v="13"/>
    <s v="WHATS"/>
    <s v="91533/90753"/>
    <n v="7572.74"/>
    <m/>
    <m/>
    <m/>
    <x v="404"/>
    <m/>
  </r>
  <r>
    <n v="1788"/>
    <x v="91"/>
    <s v="WHATS"/>
    <n v="91571"/>
    <n v="384.68"/>
    <m/>
    <m/>
    <m/>
    <x v="404"/>
    <m/>
  </r>
  <r>
    <n v="1122"/>
    <x v="87"/>
    <s v="WHATS"/>
    <n v="91584"/>
    <n v="2275"/>
    <m/>
    <m/>
    <m/>
    <x v="404"/>
    <m/>
  </r>
  <r>
    <n v="3018"/>
    <x v="64"/>
    <s v="WHATS"/>
    <s v="91606/102050"/>
    <n v="369.37"/>
    <m/>
    <m/>
    <m/>
    <x v="405"/>
    <m/>
  </r>
  <r>
    <n v="50465"/>
    <x v="96"/>
    <s v="WHATS"/>
    <n v="91603"/>
    <n v="2497.17"/>
    <m/>
    <m/>
    <m/>
    <x v="405"/>
    <m/>
  </r>
  <r>
    <n v="960"/>
    <x v="30"/>
    <s v="WHATS"/>
    <s v="102051/91614"/>
    <n v="962.8"/>
    <m/>
    <m/>
    <m/>
    <x v="406"/>
    <m/>
  </r>
  <r>
    <n v="581"/>
    <x v="74"/>
    <s v="WHATS"/>
    <s v="102056/91635"/>
    <n v="1917.57"/>
    <m/>
    <m/>
    <m/>
    <x v="405"/>
    <m/>
  </r>
  <r>
    <n v="50861"/>
    <x v="133"/>
    <s v="WHATS"/>
    <n v="91637"/>
    <n v="592.70000000000005"/>
    <m/>
    <m/>
    <m/>
    <x v="405"/>
    <m/>
  </r>
  <r>
    <n v="3153"/>
    <x v="12"/>
    <s v="WHATS"/>
    <n v="91670"/>
    <n v="1250.97"/>
    <m/>
    <m/>
    <m/>
    <x v="407"/>
    <m/>
  </r>
  <r>
    <n v="408"/>
    <x v="142"/>
    <s v="WHATS"/>
    <n v="102067"/>
    <n v="417.87"/>
    <m/>
    <m/>
    <m/>
    <x v="406"/>
    <m/>
  </r>
  <r>
    <n v="3194"/>
    <x v="18"/>
    <s v="WHATS"/>
    <n v="91682"/>
    <n v="829.1"/>
    <m/>
    <m/>
    <m/>
    <x v="406"/>
    <m/>
  </r>
  <r>
    <n v="690"/>
    <x v="19"/>
    <s v="WHATS"/>
    <s v="91678/102068"/>
    <n v="2378.64"/>
    <m/>
    <m/>
    <m/>
    <x v="406"/>
    <m/>
  </r>
  <r>
    <n v="2199"/>
    <x v="132"/>
    <s v="PLATAFORMA"/>
    <n v="910763"/>
    <n v="165"/>
    <m/>
    <m/>
    <m/>
    <x v="406"/>
    <m/>
  </r>
  <r>
    <n v="50554"/>
    <x v="20"/>
    <s v="WHATS"/>
    <s v="91697/102071"/>
    <n v="7883.49"/>
    <m/>
    <m/>
    <m/>
    <x v="406"/>
    <m/>
  </r>
  <r>
    <n v="2022"/>
    <x v="28"/>
    <s v="WHATS"/>
    <n v="91718"/>
    <n v="299"/>
    <m/>
    <m/>
    <m/>
    <x v="406"/>
    <m/>
  </r>
  <r>
    <n v="725"/>
    <x v="65"/>
    <s v="WHATS"/>
    <n v="91711"/>
    <n v="293.5"/>
    <m/>
    <m/>
    <m/>
    <x v="406"/>
    <m/>
  </r>
  <r>
    <n v="784"/>
    <x v="13"/>
    <s v="WHATS"/>
    <s v="91533/90753"/>
    <n v="2057.4899999999998"/>
    <m/>
    <m/>
    <m/>
    <x v="406"/>
    <m/>
  </r>
  <r>
    <n v="1164"/>
    <x v="58"/>
    <s v="WHATS"/>
    <n v="91500"/>
    <n v="1635.46"/>
    <m/>
    <m/>
    <m/>
    <x v="406"/>
    <m/>
  </r>
  <r>
    <n v="1726"/>
    <x v="34"/>
    <s v="WHATS"/>
    <n v="91663"/>
    <m/>
    <m/>
    <n v="14860"/>
    <m/>
    <x v="408"/>
    <m/>
  </r>
  <r>
    <n v="171"/>
    <x v="70"/>
    <s v="WHATS"/>
    <n v="91454"/>
    <n v="5140.4399999999996"/>
    <m/>
    <m/>
    <m/>
    <x v="408"/>
    <m/>
  </r>
  <r>
    <n v="50418"/>
    <x v="35"/>
    <s v="WHATS"/>
    <n v="91499"/>
    <n v="1288.3"/>
    <m/>
    <m/>
    <m/>
    <x v="408"/>
    <m/>
  </r>
  <r>
    <n v="50558"/>
    <x v="2"/>
    <s v="WHATS"/>
    <s v="94786/90764"/>
    <n v="4381"/>
    <m/>
    <m/>
    <m/>
    <x v="409"/>
    <m/>
  </r>
  <r>
    <n v="1652"/>
    <x v="61"/>
    <s v="TELEFONE"/>
    <n v="91751"/>
    <n v="694.7"/>
    <m/>
    <m/>
    <m/>
    <x v="409"/>
    <m/>
  </r>
  <r>
    <n v="905"/>
    <x v="72"/>
    <s v="WHATS"/>
    <n v="91790"/>
    <n v="986.8"/>
    <m/>
    <m/>
    <m/>
    <x v="409"/>
    <m/>
  </r>
  <r>
    <n v="1122"/>
    <x v="87"/>
    <s v="EMAIL"/>
    <n v="91794"/>
    <n v="2213.4"/>
    <m/>
    <m/>
    <m/>
    <x v="409"/>
    <m/>
  </r>
  <r>
    <n v="3557"/>
    <x v="139"/>
    <s v="PLATAFORMA"/>
    <n v="91589"/>
    <n v="4890.3999999999996"/>
    <m/>
    <m/>
    <m/>
    <x v="409"/>
    <m/>
  </r>
  <r>
    <n v="1026"/>
    <x v="7"/>
    <s v="WHATS"/>
    <n v="91780"/>
    <n v="4671.5200000000004"/>
    <m/>
    <m/>
    <m/>
    <x v="409"/>
    <m/>
  </r>
  <r>
    <n v="500243"/>
    <x v="110"/>
    <s v="WHATS"/>
    <n v="91624"/>
    <n v="6365.44"/>
    <m/>
    <m/>
    <m/>
    <x v="409"/>
    <m/>
  </r>
  <r>
    <n v="620"/>
    <x v="69"/>
    <s v="WHATS"/>
    <n v="91755"/>
    <n v="535.6"/>
    <m/>
    <m/>
    <m/>
    <x v="409"/>
    <m/>
  </r>
  <r>
    <n v="772"/>
    <x v="71"/>
    <s v="WHATS"/>
    <n v="91801"/>
    <m/>
    <m/>
    <n v="6600"/>
    <m/>
    <x v="410"/>
    <m/>
  </r>
  <r>
    <n v="575"/>
    <x v="45"/>
    <s v="WHATS"/>
    <s v="91830/102100"/>
    <n v="791.85"/>
    <m/>
    <m/>
    <m/>
    <x v="410"/>
    <m/>
  </r>
  <r>
    <n v="51042"/>
    <x v="106"/>
    <s v="WHATS"/>
    <n v="91850"/>
    <n v="246"/>
    <m/>
    <m/>
    <m/>
    <x v="410"/>
    <m/>
  </r>
  <r>
    <n v="1016"/>
    <x v="101"/>
    <s v="WHATS"/>
    <s v="91932/102124"/>
    <n v="2450.8000000000002"/>
    <m/>
    <m/>
    <m/>
    <x v="411"/>
    <m/>
  </r>
  <r>
    <n v="50961"/>
    <x v="109"/>
    <s v="WHATS"/>
    <n v="91944"/>
    <n v="2096"/>
    <m/>
    <m/>
    <m/>
    <x v="411"/>
    <m/>
  </r>
  <r>
    <n v="3077"/>
    <x v="10"/>
    <s v="WHATS"/>
    <s v="91900/91951"/>
    <n v="351.76"/>
    <m/>
    <n v="3900"/>
    <m/>
    <x v="411"/>
    <m/>
  </r>
  <r>
    <n v="311"/>
    <x v="46"/>
    <s v="WHATS"/>
    <n v="91854"/>
    <n v="1670.9"/>
    <m/>
    <m/>
    <m/>
    <x v="411"/>
    <m/>
  </r>
  <r>
    <n v="761"/>
    <x v="24"/>
    <s v="WHATS"/>
    <s v="91961/102127"/>
    <n v="7106.68"/>
    <m/>
    <m/>
    <m/>
    <x v="411"/>
    <m/>
  </r>
  <r>
    <n v="52"/>
    <x v="135"/>
    <s v="WHATS"/>
    <n v="91731"/>
    <n v="533.4"/>
    <m/>
    <m/>
    <m/>
    <x v="411"/>
    <m/>
  </r>
  <r>
    <n v="1026"/>
    <x v="7"/>
    <s v="WHATS"/>
    <n v="91859"/>
    <n v="646.70000000000005"/>
    <m/>
    <m/>
    <m/>
    <x v="412"/>
    <m/>
  </r>
  <r>
    <n v="704"/>
    <x v="49"/>
    <s v="WHATS"/>
    <s v="102038/91470"/>
    <n v="1341.41"/>
    <m/>
    <m/>
    <m/>
    <x v="412"/>
    <m/>
  </r>
  <r>
    <n v="500873"/>
    <x v="145"/>
    <s v="WHATS"/>
    <n v="91821"/>
    <n v="582.20000000000005"/>
    <m/>
    <m/>
    <m/>
    <x v="412"/>
    <m/>
  </r>
  <r>
    <n v="618"/>
    <x v="26"/>
    <s v="WHATS"/>
    <s v="91979/102133"/>
    <n v="1692.55"/>
    <m/>
    <m/>
    <m/>
    <x v="412"/>
    <m/>
  </r>
  <r>
    <n v="434"/>
    <x v="134"/>
    <s v="WHATS"/>
    <n v="92002"/>
    <n v="2458.4699999999998"/>
    <m/>
    <m/>
    <m/>
    <x v="412"/>
    <m/>
  </r>
  <r>
    <n v="2199"/>
    <x v="132"/>
    <s v="WHATS"/>
    <s v="92011/102139"/>
    <n v="3258.9"/>
    <m/>
    <m/>
    <m/>
    <x v="413"/>
    <m/>
  </r>
  <r>
    <n v="480"/>
    <x v="39"/>
    <s v="WHATS"/>
    <s v="91866/10211"/>
    <n v="685.87"/>
    <m/>
    <m/>
    <m/>
    <x v="413"/>
    <m/>
  </r>
  <r>
    <n v="705"/>
    <x v="1"/>
    <s v="WHATS"/>
    <n v="92020"/>
    <n v="881.2"/>
    <m/>
    <m/>
    <m/>
    <x v="413"/>
    <m/>
  </r>
  <r>
    <n v="3557"/>
    <x v="139"/>
    <s v="PLATAFORMA"/>
    <n v="92005"/>
    <n v="5937.58"/>
    <m/>
    <m/>
    <m/>
    <x v="413"/>
    <m/>
  </r>
  <r>
    <n v="432"/>
    <x v="43"/>
    <s v="WHATS"/>
    <s v="10214/292029"/>
    <n v="1113.83"/>
    <m/>
    <m/>
    <m/>
    <x v="413"/>
    <m/>
  </r>
  <r>
    <n v="1616"/>
    <x v="83"/>
    <s v="WHATS"/>
    <n v="92051"/>
    <n v="868.8"/>
    <m/>
    <m/>
    <m/>
    <x v="413"/>
    <m/>
  </r>
  <r>
    <n v="980"/>
    <x v="80"/>
    <s v="WHATS"/>
    <n v="91936"/>
    <n v="844.8"/>
    <m/>
    <m/>
    <m/>
    <x v="413"/>
    <m/>
  </r>
  <r>
    <n v="725"/>
    <x v="65"/>
    <s v="WHATS"/>
    <n v="92047"/>
    <n v="218.55"/>
    <m/>
    <m/>
    <m/>
    <x v="413"/>
    <m/>
  </r>
  <r>
    <n v="51061"/>
    <x v="138"/>
    <s v="PLATAFORMA"/>
    <n v="92070"/>
    <n v="1271.5"/>
    <m/>
    <m/>
    <m/>
    <x v="413"/>
    <m/>
  </r>
  <r>
    <n v="1623"/>
    <x v="57"/>
    <s v="WHATS"/>
    <n v="92006"/>
    <n v="82.5"/>
    <m/>
    <m/>
    <m/>
    <x v="414"/>
    <m/>
  </r>
  <r>
    <n v="1164"/>
    <x v="58"/>
    <s v="WHATS"/>
    <s v="92076/102150"/>
    <n v="250.5"/>
    <m/>
    <m/>
    <m/>
    <x v="414"/>
    <m/>
  </r>
  <r>
    <n v="51061"/>
    <x v="138"/>
    <s v="WHATS"/>
    <n v="92085"/>
    <n v="430"/>
    <m/>
    <m/>
    <m/>
    <x v="414"/>
    <m/>
  </r>
  <r>
    <n v="325"/>
    <x v="97"/>
    <s v="WHATS"/>
    <n v="45451"/>
    <n v="2250.65"/>
    <m/>
    <m/>
    <m/>
    <x v="415"/>
    <m/>
  </r>
  <r>
    <n v="516"/>
    <x v="11"/>
    <s v="WHATS"/>
    <s v="91181/89952"/>
    <n v="12349.37"/>
    <m/>
    <m/>
    <m/>
    <x v="415"/>
    <m/>
  </r>
  <r>
    <n v="2199"/>
    <x v="132"/>
    <s v="WHATS"/>
    <n v="92110"/>
    <n v="98"/>
    <m/>
    <m/>
    <m/>
    <x v="416"/>
    <m/>
  </r>
  <r>
    <n v="2980"/>
    <x v="40"/>
    <s v="WHATS"/>
    <s v="92045/102144"/>
    <n v="810.73"/>
    <m/>
    <m/>
    <m/>
    <x v="415"/>
    <m/>
  </r>
  <r>
    <n v="772"/>
    <x v="71"/>
    <s v="WHATS"/>
    <s v="92014/102099"/>
    <n v="1949.33"/>
    <m/>
    <m/>
    <m/>
    <x v="415"/>
    <m/>
  </r>
  <r>
    <n v="725"/>
    <x v="65"/>
    <s v="WHATS"/>
    <n v="92047"/>
    <n v="267.55"/>
    <m/>
    <m/>
    <m/>
    <x v="415"/>
    <m/>
  </r>
  <r>
    <n v="463"/>
    <x v="32"/>
    <s v="WHATS"/>
    <n v="92139"/>
    <n v="788.5"/>
    <m/>
    <m/>
    <m/>
    <x v="415"/>
    <m/>
  </r>
  <r>
    <n v="687"/>
    <x v="16"/>
    <s v="WHATS"/>
    <n v="102092"/>
    <n v="388.05"/>
    <m/>
    <m/>
    <m/>
    <x v="415"/>
    <m/>
  </r>
  <r>
    <n v="50465"/>
    <x v="96"/>
    <s v="WHATS"/>
    <n v="92159"/>
    <n v="1816.52"/>
    <m/>
    <m/>
    <m/>
    <x v="415"/>
    <m/>
  </r>
  <r>
    <n v="475"/>
    <x v="23"/>
    <s v="WHATS"/>
    <s v="91625/90890/102163"/>
    <n v="8204.5400000000009"/>
    <m/>
    <m/>
    <m/>
    <x v="417"/>
    <m/>
  </r>
  <r>
    <n v="1164"/>
    <x v="58"/>
    <s v="WHATS"/>
    <n v="92168"/>
    <n v="396.48"/>
    <m/>
    <m/>
    <m/>
    <x v="417"/>
    <m/>
  </r>
  <r>
    <n v="762"/>
    <x v="41"/>
    <s v="WHATS"/>
    <n v="92173"/>
    <n v="704"/>
    <m/>
    <m/>
    <m/>
    <x v="417"/>
    <m/>
  </r>
  <r>
    <n v="500005"/>
    <x v="102"/>
    <s v="WHATS"/>
    <n v="91275"/>
    <n v="1840"/>
    <m/>
    <m/>
    <m/>
    <x v="417"/>
    <m/>
  </r>
  <r>
    <n v="408"/>
    <x v="142"/>
    <s v="WHATS"/>
    <s v="91420/102067"/>
    <n v="1231.9000000000001"/>
    <m/>
    <m/>
    <m/>
    <x v="417"/>
    <m/>
  </r>
  <r>
    <n v="1533"/>
    <x v="50"/>
    <s v="WHATS"/>
    <s v="102159/92121"/>
    <n v="503.3"/>
    <m/>
    <m/>
    <m/>
    <x v="417"/>
    <m/>
  </r>
  <r>
    <n v="51061"/>
    <x v="138"/>
    <s v="WHATS"/>
    <n v="90840"/>
    <n v="79.599999999999994"/>
    <m/>
    <m/>
    <m/>
    <x v="417"/>
    <m/>
  </r>
  <r>
    <n v="620"/>
    <x v="69"/>
    <s v="WHATS"/>
    <s v="92191/102090"/>
    <n v="1980.84"/>
    <m/>
    <m/>
    <m/>
    <x v="417"/>
    <m/>
  </r>
  <r>
    <n v="217"/>
    <x v="0"/>
    <s v="TELEFONE"/>
    <s v="102166/92194"/>
    <n v="3081.88"/>
    <m/>
    <m/>
    <m/>
    <x v="417"/>
    <m/>
  </r>
  <r>
    <n v="1971"/>
    <x v="29"/>
    <s v="WHATS"/>
    <n v="92196"/>
    <n v="851.29"/>
    <m/>
    <m/>
    <m/>
    <x v="417"/>
    <m/>
  </r>
  <r>
    <n v="1813"/>
    <x v="48"/>
    <s v="WHATS"/>
    <n v="92162"/>
    <n v="241.5"/>
    <m/>
    <m/>
    <m/>
    <x v="417"/>
    <m/>
  </r>
  <r>
    <n v="434"/>
    <x v="134"/>
    <s v="WHATS"/>
    <n v="92228"/>
    <n v="605"/>
    <m/>
    <m/>
    <m/>
    <x v="417"/>
    <m/>
  </r>
  <r>
    <n v="687"/>
    <x v="16"/>
    <s v="WHATS"/>
    <n v="91808"/>
    <n v="812.2"/>
    <m/>
    <m/>
    <m/>
    <x v="416"/>
    <m/>
  </r>
  <r>
    <n v="2022"/>
    <x v="28"/>
    <s v="WHATS"/>
    <n v="92104"/>
    <n v="77.06"/>
    <m/>
    <m/>
    <m/>
    <x v="416"/>
    <m/>
  </r>
  <r>
    <n v="50558"/>
    <x v="2"/>
    <s v="WHATS"/>
    <n v="91786"/>
    <n v="2494.3000000000002"/>
    <m/>
    <m/>
    <m/>
    <x v="416"/>
    <m/>
  </r>
  <r>
    <n v="3475"/>
    <x v="59"/>
    <s v="WHATS"/>
    <n v="91947"/>
    <n v="1907.06"/>
    <m/>
    <m/>
    <m/>
    <x v="416"/>
    <m/>
  </r>
  <r>
    <n v="2415"/>
    <x v="63"/>
    <s v="WHATS"/>
    <s v="92115/102157"/>
    <n v="415.71"/>
    <m/>
    <m/>
    <m/>
    <x v="416"/>
    <m/>
  </r>
  <r>
    <n v="1493"/>
    <x v="21"/>
    <s v="WHATS"/>
    <n v="92286"/>
    <n v="1825.35"/>
    <m/>
    <m/>
    <m/>
    <x v="418"/>
    <m/>
  </r>
  <r>
    <n v="2415"/>
    <x v="63"/>
    <s v="WHATS"/>
    <n v="922296"/>
    <n v="565.5"/>
    <m/>
    <m/>
    <m/>
    <x v="418"/>
    <m/>
  </r>
  <r>
    <n v="3017"/>
    <x v="62"/>
    <s v="WHATS"/>
    <n v="92303"/>
    <n v="1421.3"/>
    <m/>
    <m/>
    <m/>
    <x v="418"/>
    <m/>
  </r>
  <r>
    <n v="906"/>
    <x v="27"/>
    <s v="WHATS"/>
    <s v="102185/92307"/>
    <n v="2419.56"/>
    <m/>
    <m/>
    <m/>
    <x v="418"/>
    <s v="TEM COLUNA "/>
  </r>
  <r>
    <n v="412"/>
    <x v="90"/>
    <s v="WHATS"/>
    <n v="91819"/>
    <n v="534.15"/>
    <m/>
    <m/>
    <m/>
    <x v="419"/>
    <m/>
  </r>
  <r>
    <n v="1842"/>
    <x v="47"/>
    <s v="WHATS"/>
    <s v="92165/102170"/>
    <n v="1696.93"/>
    <m/>
    <m/>
    <m/>
    <x v="419"/>
    <m/>
  </r>
  <r>
    <n v="746"/>
    <x v="3"/>
    <s v="WHATS"/>
    <s v="102190/92336"/>
    <n v="1368.95"/>
    <m/>
    <m/>
    <m/>
    <x v="419"/>
    <m/>
  </r>
  <r>
    <n v="1206"/>
    <x v="33"/>
    <s v="WHATS"/>
    <n v="92333"/>
    <n v="1485.84"/>
    <m/>
    <m/>
    <m/>
    <x v="419"/>
    <m/>
  </r>
  <r>
    <n v="50418"/>
    <x v="35"/>
    <s v="WHATS"/>
    <s v="92413/91499"/>
    <n v="479.3"/>
    <m/>
    <m/>
    <m/>
    <x v="23"/>
    <m/>
  </r>
  <r>
    <n v="618"/>
    <x v="26"/>
    <s v="WHATS"/>
    <n v="89660"/>
    <n v="1116.4000000000001"/>
    <m/>
    <m/>
    <m/>
    <x v="23"/>
    <m/>
  </r>
  <r>
    <n v="311"/>
    <x v="46"/>
    <s v="WHATS"/>
    <s v="96940/92380/91854"/>
    <n v="1637.6"/>
    <m/>
    <m/>
    <m/>
    <x v="23"/>
    <m/>
  </r>
  <r>
    <n v="500243"/>
    <x v="110"/>
    <s v="WHATS"/>
    <n v="92372"/>
    <n v="10248.299999999999"/>
    <m/>
    <m/>
    <m/>
    <x v="23"/>
    <m/>
  </r>
  <r>
    <n v="434"/>
    <x v="134"/>
    <s v="WHATS"/>
    <n v="102162"/>
    <n v="535.16999999999996"/>
    <m/>
    <m/>
    <m/>
    <x v="420"/>
    <m/>
  </r>
  <r>
    <n v="408"/>
    <x v="142"/>
    <s v="WHATS"/>
    <n v="92455"/>
    <n v="2119.1999999999998"/>
    <m/>
    <m/>
    <m/>
    <x v="420"/>
    <m/>
  </r>
  <r>
    <n v="1122"/>
    <x v="87"/>
    <s v="WHATS"/>
    <n v="92469"/>
    <n v="1138.5999999999999"/>
    <m/>
    <m/>
    <m/>
    <x v="420"/>
    <m/>
  </r>
  <r>
    <n v="784"/>
    <x v="13"/>
    <s v="WHATS"/>
    <n v="92451"/>
    <n v="1705.56"/>
    <m/>
    <m/>
    <m/>
    <x v="420"/>
    <m/>
  </r>
  <r>
    <n v="1813"/>
    <x v="48"/>
    <s v="WHATS"/>
    <n v="92176"/>
    <n v="1080.26"/>
    <m/>
    <m/>
    <m/>
    <x v="420"/>
    <m/>
  </r>
  <r>
    <n v="50554"/>
    <x v="20"/>
    <s v="WHATS"/>
    <n v="91697"/>
    <n v="189"/>
    <m/>
    <m/>
    <m/>
    <x v="421"/>
    <m/>
  </r>
  <r>
    <n v="1989"/>
    <x v="67"/>
    <s v="WHATS"/>
    <n v="91899"/>
    <n v="798.03"/>
    <m/>
    <m/>
    <m/>
    <x v="421"/>
    <m/>
  </r>
  <r>
    <n v="572"/>
    <x v="51"/>
    <s v="WHATS"/>
    <n v="92491"/>
    <n v="431.52"/>
    <m/>
    <m/>
    <m/>
    <x v="421"/>
    <m/>
  </r>
  <r>
    <n v="1493"/>
    <x v="21"/>
    <s v="WHATS"/>
    <n v="92501"/>
    <n v="408"/>
    <m/>
    <m/>
    <m/>
    <x v="421"/>
    <m/>
  </r>
  <r>
    <n v="2415"/>
    <x v="63"/>
    <s v="WHATS"/>
    <s v="92508/92115"/>
    <n v="636.65"/>
    <m/>
    <m/>
    <m/>
    <x v="421"/>
    <m/>
  </r>
  <r>
    <n v="761"/>
    <x v="24"/>
    <s v="WHATS"/>
    <s v="92523/91961/102179/92507"/>
    <n v="32130.45"/>
    <m/>
    <m/>
    <m/>
    <x v="421"/>
    <m/>
  </r>
  <r>
    <n v="2911"/>
    <x v="15"/>
    <s v="WHATS"/>
    <s v="92419/102210"/>
    <n v="1806.35"/>
    <m/>
    <m/>
    <m/>
    <x v="421"/>
    <m/>
  </r>
  <r>
    <n v="663"/>
    <x v="116"/>
    <s v="WHATS"/>
    <n v="92534"/>
    <n v="1856.5"/>
    <m/>
    <m/>
    <m/>
    <x v="421"/>
    <m/>
  </r>
  <r>
    <n v="2397"/>
    <x v="6"/>
    <s v="WHATS"/>
    <n v="92102"/>
    <n v="851.3"/>
    <m/>
    <m/>
    <m/>
    <x v="421"/>
    <m/>
  </r>
  <r>
    <n v="2199"/>
    <x v="132"/>
    <s v="PLATAFORMA"/>
    <s v="9241192572/102208/102198"/>
    <n v="1446.2"/>
    <m/>
    <m/>
    <m/>
    <x v="422"/>
    <m/>
  </r>
  <r>
    <n v="663"/>
    <x v="116"/>
    <s v="WHATS"/>
    <n v="92306"/>
    <m/>
    <m/>
    <n v="6600"/>
    <m/>
    <x v="422"/>
    <m/>
  </r>
  <r>
    <n v="663"/>
    <x v="116"/>
    <s v="WHATS"/>
    <n v="92534"/>
    <n v="2172.4"/>
    <m/>
    <m/>
    <m/>
    <x v="422"/>
    <m/>
  </r>
  <r>
    <n v="1164"/>
    <x v="58"/>
    <s v="WHATS"/>
    <s v="92437/92076"/>
    <n v="1672.8"/>
    <m/>
    <m/>
    <m/>
    <x v="422"/>
    <m/>
  </r>
  <r>
    <n v="50465"/>
    <x v="96"/>
    <s v="WHATS"/>
    <s v="92159/92292"/>
    <n v="1135.4100000000001"/>
    <m/>
    <m/>
    <m/>
    <x v="422"/>
    <m/>
  </r>
  <r>
    <n v="2022"/>
    <x v="28"/>
    <s v="WHATS"/>
    <s v="89890/92624/92623"/>
    <n v="8602.7999999999993"/>
    <m/>
    <m/>
    <m/>
    <x v="423"/>
    <m/>
  </r>
  <r>
    <n v="1058"/>
    <x v="5"/>
    <s v="WHATS"/>
    <n v="92630"/>
    <n v="934.45"/>
    <m/>
    <m/>
    <m/>
    <x v="423"/>
    <m/>
  </r>
  <r>
    <n v="408"/>
    <x v="142"/>
    <s v="WHATS"/>
    <n v="92611"/>
    <n v="537"/>
    <m/>
    <m/>
    <m/>
    <x v="424"/>
    <m/>
  </r>
  <r>
    <n v="3153"/>
    <x v="12"/>
    <s v="WHATS"/>
    <n v="92495"/>
    <n v="1219.9100000000001"/>
    <m/>
    <m/>
    <m/>
    <x v="424"/>
    <m/>
  </r>
  <r>
    <n v="480"/>
    <x v="39"/>
    <s v="WHATS"/>
    <n v="92668"/>
    <n v="3626.1"/>
    <m/>
    <m/>
    <m/>
    <x v="424"/>
    <m/>
  </r>
  <r>
    <n v="2163"/>
    <x v="36"/>
    <s v="WHATS"/>
    <n v="92701"/>
    <n v="1770"/>
    <m/>
    <m/>
    <m/>
    <x v="424"/>
    <m/>
  </r>
  <r>
    <n v="690"/>
    <x v="19"/>
    <s v="WHATS"/>
    <s v="92697/102266"/>
    <n v="2896.78"/>
    <m/>
    <m/>
    <m/>
    <x v="424"/>
    <m/>
  </r>
  <r>
    <n v="2199"/>
    <x v="132"/>
    <s v="WHATS"/>
    <n v="102198"/>
    <n v="96.8"/>
    <m/>
    <m/>
    <m/>
    <x v="425"/>
    <m/>
  </r>
  <r>
    <n v="3018"/>
    <x v="64"/>
    <s v="WHATS"/>
    <n v="92726"/>
    <n v="441.48"/>
    <m/>
    <m/>
    <m/>
    <x v="425"/>
    <m/>
  </r>
  <r>
    <n v="761"/>
    <x v="24"/>
    <s v="WHATS"/>
    <s v="102234/92745"/>
    <n v="776.13"/>
    <m/>
    <m/>
    <m/>
    <x v="425"/>
    <m/>
  </r>
  <r>
    <n v="50312"/>
    <x v="86"/>
    <s v="WHATS"/>
    <n v="92532"/>
    <n v="485.25"/>
    <m/>
    <m/>
    <m/>
    <x v="425"/>
    <m/>
  </r>
  <r>
    <n v="50219"/>
    <x v="14"/>
    <s v="WHATS"/>
    <s v="92418/102209"/>
    <n v="1251.3"/>
    <m/>
    <m/>
    <m/>
    <x v="425"/>
    <m/>
  </r>
  <r>
    <n v="2198"/>
    <x v="92"/>
    <s v="WHATS"/>
    <n v="92768"/>
    <n v="3273.4"/>
    <m/>
    <m/>
    <m/>
    <x v="426"/>
    <m/>
  </r>
  <r>
    <n v="2199"/>
    <x v="132"/>
    <s v="PLATAFORMA"/>
    <n v="92411"/>
    <n v="640"/>
    <m/>
    <m/>
    <m/>
    <x v="426"/>
    <m/>
  </r>
  <r>
    <n v="3475"/>
    <x v="59"/>
    <s v="WHATS"/>
    <s v="91947/92558"/>
    <n v="339.36"/>
    <m/>
    <m/>
    <m/>
    <x v="426"/>
    <m/>
  </r>
  <r>
    <n v="50558"/>
    <x v="2"/>
    <s v="WHATS"/>
    <s v="91786/90764"/>
    <n v="723.2"/>
    <m/>
    <m/>
    <m/>
    <x v="427"/>
    <m/>
  </r>
  <r>
    <n v="708"/>
    <x v="56"/>
    <s v="WHATS"/>
    <n v="92787"/>
    <n v="2030"/>
    <m/>
    <m/>
    <m/>
    <x v="426"/>
    <m/>
  </r>
  <r>
    <n v="50558"/>
    <x v="2"/>
    <s v="WHATS"/>
    <n v="92797"/>
    <n v="6081"/>
    <m/>
    <m/>
    <m/>
    <x v="427"/>
    <m/>
  </r>
  <r>
    <n v="1842"/>
    <x v="47"/>
    <s v="WHATS"/>
    <n v="92165"/>
    <n v="120.13"/>
    <m/>
    <m/>
    <m/>
    <x v="427"/>
    <m/>
  </r>
  <r>
    <n v="762"/>
    <x v="41"/>
    <s v="WHATS"/>
    <n v="92772"/>
    <n v="8180.18"/>
    <m/>
    <m/>
    <m/>
    <x v="427"/>
    <m/>
  </r>
  <r>
    <n v="874"/>
    <x v="53"/>
    <s v="WHATS"/>
    <n v="92815"/>
    <n v="7538.76"/>
    <m/>
    <m/>
    <m/>
    <x v="427"/>
    <m/>
  </r>
  <r>
    <n v="50418"/>
    <x v="35"/>
    <s v="WHATS"/>
    <n v="92828"/>
    <n v="927.9"/>
    <m/>
    <m/>
    <m/>
    <x v="427"/>
    <m/>
  </r>
  <r>
    <n v="500149"/>
    <x v="94"/>
    <s v="WHATS"/>
    <s v="92817/102282"/>
    <n v="1330.55"/>
    <m/>
    <m/>
    <m/>
    <x v="427"/>
    <m/>
  </r>
  <r>
    <n v="2022"/>
    <x v="28"/>
    <s v="WHATS"/>
    <n v="92841"/>
    <n v="990.06"/>
    <m/>
    <m/>
    <m/>
    <x v="427"/>
    <m/>
  </r>
  <r>
    <n v="51061"/>
    <x v="138"/>
    <s v="WHATS"/>
    <n v="92842"/>
    <n v="250"/>
    <m/>
    <m/>
    <m/>
    <x v="427"/>
    <m/>
  </r>
  <r>
    <n v="3194"/>
    <x v="18"/>
    <s v="WHATS"/>
    <n v="92857"/>
    <n v="572.45000000000005"/>
    <m/>
    <m/>
    <m/>
    <x v="428"/>
    <m/>
  </r>
  <r>
    <n v="434"/>
    <x v="134"/>
    <s v="WHATS"/>
    <n v="102300"/>
    <n v="869.62"/>
    <m/>
    <m/>
    <m/>
    <x v="428"/>
    <m/>
  </r>
  <r>
    <n v="432"/>
    <x v="43"/>
    <s v="WHATS"/>
    <s v="9288/4102280"/>
    <n v="2516.1"/>
    <m/>
    <m/>
    <m/>
    <x v="428"/>
    <m/>
  </r>
  <r>
    <n v="51182"/>
    <x v="146"/>
    <s v="WHATS"/>
    <n v="92355"/>
    <n v="1372.78"/>
    <m/>
    <m/>
    <m/>
    <x v="428"/>
    <m/>
  </r>
  <r>
    <n v="500345"/>
    <x v="147"/>
    <s v="PLATAFORMA"/>
    <n v="92916"/>
    <n v="804"/>
    <m/>
    <m/>
    <m/>
    <x v="428"/>
    <m/>
  </r>
  <r>
    <n v="475"/>
    <x v="23"/>
    <s v="EMAIL"/>
    <s v="92475/91625/102285"/>
    <n v="10207.620000000001"/>
    <m/>
    <m/>
    <m/>
    <x v="428"/>
    <m/>
  </r>
  <r>
    <n v="1206"/>
    <x v="33"/>
    <s v="WHATS"/>
    <n v="92915"/>
    <n v="1268.8399999999999"/>
    <m/>
    <m/>
    <m/>
    <x v="429"/>
    <m/>
  </r>
  <r>
    <n v="3017"/>
    <x v="62"/>
    <s v="WHATS"/>
    <n v="92925"/>
    <n v="930.2"/>
    <m/>
    <m/>
    <m/>
    <x v="429"/>
    <m/>
  </r>
  <r>
    <n v="50185"/>
    <x v="105"/>
    <s v="WHATS"/>
    <n v="92904"/>
    <n v="903.05"/>
    <m/>
    <m/>
    <m/>
    <x v="429"/>
    <m/>
  </r>
  <r>
    <n v="2955"/>
    <x v="82"/>
    <s v="WHATS"/>
    <n v="91833"/>
    <n v="2197.0500000000002"/>
    <m/>
    <m/>
    <m/>
    <x v="429"/>
    <m/>
  </r>
  <r>
    <n v="761"/>
    <x v="24"/>
    <s v="WHATS"/>
    <n v="92922"/>
    <n v="490"/>
    <m/>
    <m/>
    <m/>
    <x v="429"/>
    <m/>
  </r>
  <r>
    <n v="1164"/>
    <x v="58"/>
    <s v="WHATS"/>
    <s v="92928/102310"/>
    <n v="360.44"/>
    <m/>
    <m/>
    <m/>
    <x v="429"/>
    <m/>
  </r>
  <r>
    <n v="2980"/>
    <x v="40"/>
    <s v="WHATS"/>
    <s v="102294/92869"/>
    <n v="517.03"/>
    <m/>
    <m/>
    <m/>
    <x v="429"/>
    <m/>
  </r>
  <r>
    <n v="1652"/>
    <x v="61"/>
    <s v="WHATS"/>
    <n v="92843"/>
    <n v="846.88"/>
    <m/>
    <m/>
    <m/>
    <x v="429"/>
    <m/>
  </r>
  <r>
    <n v="325"/>
    <x v="97"/>
    <s v="WHATS"/>
    <s v="92889/102304"/>
    <n v="867.86"/>
    <m/>
    <m/>
    <m/>
    <x v="429"/>
    <m/>
  </r>
  <r>
    <n v="1026"/>
    <x v="7"/>
    <s v="WHATS"/>
    <s v="91780/92694"/>
    <n v="403"/>
    <m/>
    <m/>
    <m/>
    <x v="430"/>
    <m/>
  </r>
  <r>
    <n v="463"/>
    <x v="32"/>
    <s v="WHATS"/>
    <n v="92949"/>
    <n v="1220.6500000000001"/>
    <m/>
    <m/>
    <m/>
    <x v="430"/>
    <m/>
  </r>
  <r>
    <n v="500243"/>
    <x v="110"/>
    <s v="WHATS"/>
    <n v="92901"/>
    <n v="1121.47"/>
    <m/>
    <m/>
    <m/>
    <x v="430"/>
    <m/>
  </r>
  <r>
    <n v="2022"/>
    <x v="28"/>
    <s v="WHATS"/>
    <n v="92959"/>
    <n v="2027.06"/>
    <m/>
    <m/>
    <m/>
    <x v="430"/>
    <m/>
  </r>
  <r>
    <n v="575"/>
    <x v="45"/>
    <s v="WHATS"/>
    <s v="90767/92663/102250"/>
    <n v="784.13"/>
    <m/>
    <m/>
    <m/>
    <x v="430"/>
    <m/>
  </r>
  <r>
    <n v="784"/>
    <x v="13"/>
    <s v="WHATS"/>
    <s v="92451/92553"/>
    <n v="2049.04"/>
    <m/>
    <m/>
    <m/>
    <x v="430"/>
    <m/>
  </r>
  <r>
    <n v="2199"/>
    <x v="132"/>
    <s v="PLATAFORMA"/>
    <n v="102242"/>
    <n v="138"/>
    <m/>
    <m/>
    <m/>
    <x v="431"/>
    <m/>
  </r>
  <r>
    <n v="3077"/>
    <x v="10"/>
    <s v="WHATS"/>
    <s v="102321/92985"/>
    <n v="1055.7"/>
    <m/>
    <m/>
    <m/>
    <x v="431"/>
    <m/>
  </r>
  <r>
    <n v="50576"/>
    <x v="37"/>
    <s v="WHATS"/>
    <s v="92838/102291"/>
    <n v="1713.95"/>
    <m/>
    <m/>
    <m/>
    <x v="431"/>
    <m/>
  </r>
  <r>
    <n v="618"/>
    <x v="26"/>
    <s v="WHATS"/>
    <s v="92934/92389"/>
    <n v="2241"/>
    <m/>
    <m/>
    <m/>
    <x v="431"/>
    <m/>
  </r>
  <r>
    <n v="3557"/>
    <x v="139"/>
    <s v="PLATAFORMA"/>
    <n v="92993"/>
    <n v="4851.99"/>
    <m/>
    <m/>
    <m/>
    <x v="431"/>
    <m/>
  </r>
  <r>
    <n v="434"/>
    <x v="134"/>
    <s v="WHATS"/>
    <s v="92960/92929/102320/102300"/>
    <n v="3681.28"/>
    <m/>
    <m/>
    <m/>
    <x v="431"/>
    <m/>
  </r>
  <r>
    <n v="144"/>
    <x v="0"/>
    <s v="TELEFONE"/>
    <n v="92999"/>
    <n v="320"/>
    <m/>
    <m/>
    <m/>
    <x v="431"/>
    <m/>
  </r>
  <r>
    <n v="2199"/>
    <x v="132"/>
    <s v="WHATS"/>
    <s v="92411/92509"/>
    <n v="1371.75"/>
    <m/>
    <m/>
    <m/>
    <x v="431"/>
    <m/>
  </r>
  <r>
    <n v="516"/>
    <x v="11"/>
    <s v="WHATS"/>
    <n v="92675"/>
    <n v="8353.02"/>
    <m/>
    <m/>
    <m/>
    <x v="432"/>
    <m/>
  </r>
  <r>
    <n v="2415"/>
    <x v="63"/>
    <s v="WHATS"/>
    <s v="92786/92115/102279"/>
    <n v="1154.01"/>
    <m/>
    <m/>
    <m/>
    <x v="432"/>
    <m/>
  </r>
  <r>
    <n v="1493"/>
    <x v="21"/>
    <s v="WHATS"/>
    <s v="93029/92286"/>
    <n v="857.35"/>
    <m/>
    <m/>
    <m/>
    <x v="432"/>
    <m/>
  </r>
  <r>
    <n v="822"/>
    <x v="66"/>
    <s v="WHATS"/>
    <s v="102326/93035"/>
    <n v="1698.65"/>
    <m/>
    <m/>
    <m/>
    <x v="432"/>
    <m/>
  </r>
  <r>
    <n v="51061"/>
    <x v="138"/>
    <s v="WHATS"/>
    <n v="93039"/>
    <n v="316"/>
    <m/>
    <m/>
    <m/>
    <x v="432"/>
    <m/>
  </r>
  <r>
    <n v="1813"/>
    <x v="48"/>
    <s v="WHATS"/>
    <n v="92483"/>
    <n v="488"/>
    <m/>
    <m/>
    <m/>
    <x v="432"/>
    <m/>
  </r>
  <r>
    <n v="690"/>
    <x v="19"/>
    <s v="WHATS"/>
    <n v="92733"/>
    <n v="2020.8"/>
    <m/>
    <m/>
    <m/>
    <x v="432"/>
    <m/>
  </r>
  <r>
    <n v="50554"/>
    <x v="20"/>
    <s v="WHATS"/>
    <n v="92873"/>
    <n v="2111"/>
    <m/>
    <m/>
    <m/>
    <x v="432"/>
    <m/>
  </r>
  <r>
    <n v="311"/>
    <x v="46"/>
    <s v="WHATS"/>
    <s v="92871/102296"/>
    <n v="1214.95"/>
    <m/>
    <m/>
    <m/>
    <x v="432"/>
    <m/>
  </r>
  <r>
    <n v="772"/>
    <x v="71"/>
    <s v="WHATS"/>
    <s v="93054/102331"/>
    <n v="502.1"/>
    <m/>
    <m/>
    <m/>
    <x v="432"/>
    <m/>
  </r>
  <r>
    <n v="1989"/>
    <x v="67"/>
    <s v="WHATS"/>
    <n v="93097"/>
    <n v="616.03"/>
    <m/>
    <m/>
    <m/>
    <x v="433"/>
    <m/>
  </r>
  <r>
    <n v="50554"/>
    <x v="20"/>
    <s v="WHATS"/>
    <n v="93099"/>
    <n v="189"/>
    <m/>
    <m/>
    <m/>
    <x v="433"/>
    <m/>
  </r>
  <r>
    <n v="620"/>
    <x v="69"/>
    <s v="WHATS"/>
    <n v="93120"/>
    <n v="1433.26"/>
    <m/>
    <m/>
    <m/>
    <x v="433"/>
    <m/>
  </r>
  <r>
    <n v="2702"/>
    <x v="73"/>
    <s v="WHATS"/>
    <n v="92869"/>
    <n v="3215.9"/>
    <m/>
    <m/>
    <m/>
    <x v="433"/>
    <m/>
  </r>
  <r>
    <n v="51061"/>
    <x v="138"/>
    <s v="WHATS"/>
    <n v="93164"/>
    <n v="390"/>
    <m/>
    <m/>
    <m/>
    <x v="433"/>
    <m/>
  </r>
  <r>
    <n v="1842"/>
    <x v="47"/>
    <s v="WHATS"/>
    <n v="93171"/>
    <n v="136"/>
    <m/>
    <m/>
    <m/>
    <x v="433"/>
    <m/>
  </r>
  <r>
    <n v="3475"/>
    <x v="59"/>
    <s v="WHATS"/>
    <n v="93174"/>
    <n v="1407.6"/>
    <m/>
    <m/>
    <m/>
    <x v="434"/>
    <m/>
  </r>
  <r>
    <n v="434"/>
    <x v="134"/>
    <s v="WHATS"/>
    <n v="93236"/>
    <n v="128.80000000000001"/>
    <m/>
    <m/>
    <m/>
    <x v="434"/>
    <m/>
  </r>
  <r>
    <n v="905"/>
    <x v="72"/>
    <s v="WHATS"/>
    <s v="93267/102360"/>
    <n v="1976.87"/>
    <m/>
    <m/>
    <m/>
    <x v="435"/>
    <m/>
  </r>
  <r>
    <n v="1164"/>
    <x v="58"/>
    <s v="WHATS"/>
    <s v="93268/10231"/>
    <n v="1875.1"/>
    <m/>
    <m/>
    <m/>
    <x v="435"/>
    <m/>
  </r>
  <r>
    <n v="500752"/>
    <x v="35"/>
    <s v="WHATS"/>
    <n v="93259"/>
    <n v="1278.0999999999999"/>
    <m/>
    <m/>
    <m/>
    <x v="435"/>
    <m/>
  </r>
  <r>
    <n v="2415"/>
    <x v="63"/>
    <s v="WHATS"/>
    <s v="93278/102364"/>
    <n v="589.51"/>
    <m/>
    <m/>
    <m/>
    <x v="435"/>
    <m/>
  </r>
  <r>
    <n v="480"/>
    <x v="39"/>
    <s v="WHATS"/>
    <s v="933312/102368"/>
    <n v="475.6"/>
    <m/>
    <m/>
    <m/>
    <x v="436"/>
    <m/>
  </r>
  <r>
    <n v="2199"/>
    <x v="132"/>
    <s v="WHATS"/>
    <n v="93183"/>
    <n v="475.75"/>
    <m/>
    <m/>
    <m/>
    <x v="436"/>
    <m/>
  </r>
  <r>
    <n v="412"/>
    <x v="90"/>
    <s v="WHATS"/>
    <n v="93350"/>
    <n v="283.5"/>
    <m/>
    <m/>
    <m/>
    <x v="436"/>
    <m/>
  </r>
  <r>
    <n v="50465"/>
    <x v="96"/>
    <s v="WHATS"/>
    <n v="93321"/>
    <n v="2005.52"/>
    <m/>
    <m/>
    <m/>
    <x v="436"/>
    <m/>
  </r>
  <r>
    <n v="708"/>
    <x v="56"/>
    <s v="WHATS"/>
    <n v="93372"/>
    <n v="2030"/>
    <m/>
    <m/>
    <m/>
    <x v="436"/>
    <m/>
  </r>
  <r>
    <n v="3153"/>
    <x v="12"/>
    <s v="WHATS"/>
    <n v="93356"/>
    <n v="1241.2"/>
    <m/>
    <m/>
    <m/>
    <x v="436"/>
    <m/>
  </r>
  <r>
    <n v="663"/>
    <x v="116"/>
    <s v="WHATS"/>
    <n v="93170"/>
    <n v="1888"/>
    <m/>
    <m/>
    <m/>
    <x v="437"/>
    <m/>
  </r>
  <r>
    <n v="1905"/>
    <x v="107"/>
    <s v="WHATS"/>
    <n v="93387"/>
    <n v="330"/>
    <m/>
    <m/>
    <m/>
    <x v="437"/>
    <m/>
  </r>
  <r>
    <n v="3153"/>
    <x v="12"/>
    <s v="WHATS"/>
    <n v="93403"/>
    <n v="482"/>
    <m/>
    <m/>
    <m/>
    <x v="437"/>
    <m/>
  </r>
  <r>
    <n v="3017"/>
    <x v="62"/>
    <s v="WHATS"/>
    <n v="93405"/>
    <n v="1542.34"/>
    <m/>
    <m/>
    <m/>
    <x v="437"/>
    <m/>
  </r>
  <r>
    <n v="50861"/>
    <x v="133"/>
    <s v="WHATS"/>
    <n v="50861"/>
    <n v="1422"/>
    <m/>
    <m/>
    <m/>
    <x v="437"/>
    <m/>
  </r>
  <r>
    <n v="2415"/>
    <x v="63"/>
    <s v="WHATS"/>
    <n v="93383"/>
    <n v="2730.16"/>
    <m/>
    <m/>
    <m/>
    <x v="438"/>
    <m/>
  </r>
  <r>
    <n v="2911"/>
    <x v="15"/>
    <s v="TEANS"/>
    <s v="93432/102389"/>
    <n v="1784.3"/>
    <m/>
    <m/>
    <m/>
    <x v="438"/>
    <m/>
  </r>
  <r>
    <n v="475"/>
    <x v="23"/>
    <s v="EMAIL"/>
    <s v="102349/93150"/>
    <n v="12665.9"/>
    <m/>
    <m/>
    <m/>
    <x v="438"/>
    <m/>
  </r>
  <r>
    <n v="408"/>
    <x v="142"/>
    <s v="EMAIL"/>
    <s v="93520/102402"/>
    <n v="3649.5"/>
    <m/>
    <m/>
    <m/>
    <x v="439"/>
    <m/>
  </r>
  <r>
    <n v="762"/>
    <x v="41"/>
    <s v="PLATAFORMA"/>
    <n v="93506"/>
    <n v="7562.65"/>
    <m/>
    <m/>
    <m/>
    <x v="439"/>
    <m/>
  </r>
  <r>
    <n v="823"/>
    <x v="17"/>
    <s v="WHATS"/>
    <s v="102400/93478"/>
    <n v="4448.55"/>
    <m/>
    <m/>
    <m/>
    <x v="439"/>
    <m/>
  </r>
  <r>
    <n v="761"/>
    <x v="24"/>
    <s v="WHATS"/>
    <n v="93481"/>
    <n v="16801.060000000001"/>
    <m/>
    <m/>
    <m/>
    <x v="439"/>
    <m/>
  </r>
  <r>
    <n v="784"/>
    <x v="13"/>
    <s v="WHATS"/>
    <n v="93469"/>
    <n v="8172"/>
    <m/>
    <m/>
    <m/>
    <x v="439"/>
    <m/>
  </r>
  <r>
    <n v="690"/>
    <x v="19"/>
    <s v="WHATS"/>
    <s v="93505/102405"/>
    <n v="1177.0999999999999"/>
    <m/>
    <m/>
    <m/>
    <x v="439"/>
    <m/>
  </r>
  <r>
    <n v="1240"/>
    <x v="25"/>
    <s v="WHATS"/>
    <n v="93517"/>
    <n v="1943.25"/>
    <m/>
    <m/>
    <m/>
    <x v="439"/>
    <m/>
  </r>
  <r>
    <n v="50554"/>
    <x v="20"/>
    <s v="WHATS"/>
    <s v="93510/102407"/>
    <n v="5625.85"/>
    <m/>
    <m/>
    <m/>
    <x v="439"/>
    <m/>
  </r>
  <r>
    <n v="2022"/>
    <x v="28"/>
    <s v="WHATS"/>
    <n v="93496"/>
    <n v="310.89999999999998"/>
    <m/>
    <m/>
    <m/>
    <x v="440"/>
    <m/>
  </r>
  <r>
    <n v="51182"/>
    <x v="146"/>
    <s v="WHATS"/>
    <n v="93408"/>
    <n v="1152.4000000000001"/>
    <m/>
    <m/>
    <m/>
    <x v="440"/>
    <m/>
  </r>
  <r>
    <n v="761"/>
    <x v="24"/>
    <s v="WHATS"/>
    <s v="93527/102410"/>
    <n v="1676.35"/>
    <m/>
    <m/>
    <m/>
    <x v="440"/>
    <m/>
  </r>
  <r>
    <n v="500873"/>
    <x v="145"/>
    <s v="WHATS"/>
    <s v="102415/93549"/>
    <n v="760.89"/>
    <m/>
    <m/>
    <m/>
    <x v="440"/>
    <m/>
  </r>
  <r>
    <n v="500507"/>
    <x v="148"/>
    <s v="WHATS"/>
    <s v="93206/93532"/>
    <n v="6491.28"/>
    <m/>
    <m/>
    <m/>
    <x v="441"/>
    <m/>
  </r>
  <r>
    <n v="500243"/>
    <x v="110"/>
    <s v="WHATS"/>
    <n v="93545"/>
    <n v="2070.0300000000002"/>
    <m/>
    <m/>
    <m/>
    <x v="440"/>
    <m/>
  </r>
  <r>
    <n v="51061"/>
    <x v="138"/>
    <s v="WHATS"/>
    <n v="93576"/>
    <n v="923"/>
    <m/>
    <m/>
    <m/>
    <x v="440"/>
    <m/>
  </r>
  <r>
    <n v="50936"/>
    <x v="93"/>
    <s v="WHATS"/>
    <n v="93579"/>
    <n v="850"/>
    <m/>
    <m/>
    <m/>
    <x v="442"/>
    <m/>
  </r>
  <r>
    <n v="500949"/>
    <x v="149"/>
    <s v="PLATAFORMA"/>
    <n v="93601"/>
    <n v="5544.8"/>
    <m/>
    <m/>
    <m/>
    <x v="442"/>
    <m/>
  </r>
  <r>
    <n v="784"/>
    <x v="13"/>
    <s v="WHATS"/>
    <n v="93605"/>
    <n v="1469.96"/>
    <m/>
    <m/>
    <m/>
    <x v="442"/>
    <m/>
  </r>
  <r>
    <n v="1493"/>
    <x v="21"/>
    <s v="WHATS"/>
    <n v="93585"/>
    <n v="582"/>
    <m/>
    <m/>
    <m/>
    <x v="442"/>
    <m/>
  </r>
  <r>
    <n v="1971"/>
    <x v="29"/>
    <s v="WHATS"/>
    <n v="93612"/>
    <n v="95.2"/>
    <m/>
    <m/>
    <m/>
    <x v="442"/>
    <m/>
  </r>
  <r>
    <n v="906"/>
    <x v="27"/>
    <s v="WHATS"/>
    <n v="93624"/>
    <n v="1266"/>
    <m/>
    <m/>
    <m/>
    <x v="442"/>
    <m/>
  </r>
  <r>
    <n v="3194"/>
    <x v="18"/>
    <s v="WHATS"/>
    <n v="93539"/>
    <n v="461.5"/>
    <m/>
    <m/>
    <m/>
    <x v="443"/>
    <m/>
  </r>
  <r>
    <n v="500149"/>
    <x v="94"/>
    <s v="WHATS"/>
    <s v="102435/93656"/>
    <n v="2149.6"/>
    <m/>
    <m/>
    <m/>
    <x v="444"/>
    <m/>
  </r>
  <r>
    <n v="9063"/>
    <x v="22"/>
    <s v="WHATS"/>
    <n v="93292"/>
    <n v="611"/>
    <m/>
    <m/>
    <m/>
    <x v="444"/>
    <m/>
  </r>
  <r>
    <n v="1164"/>
    <x v="58"/>
    <s v="WHATS"/>
    <s v="102448/93269"/>
    <n v="1512.63"/>
    <m/>
    <m/>
    <m/>
    <x v="444"/>
    <m/>
  </r>
  <r>
    <n v="50418"/>
    <x v="35"/>
    <s v="WHATS"/>
    <n v="93716"/>
    <n v="3499.57"/>
    <m/>
    <m/>
    <m/>
    <x v="444"/>
    <m/>
  </r>
  <r>
    <n v="432"/>
    <x v="43"/>
    <s v="WHATS"/>
    <s v="93736/102455"/>
    <n v="6885.72"/>
    <m/>
    <m/>
    <m/>
    <x v="445"/>
    <m/>
  </r>
  <r>
    <n v="1788"/>
    <x v="91"/>
    <s v="WHATS"/>
    <n v="93770"/>
    <n v="392"/>
    <m/>
    <m/>
    <m/>
    <x v="445"/>
    <m/>
  </r>
  <r>
    <n v="761"/>
    <x v="24"/>
    <s v="WHATS"/>
    <s v="93780/102367"/>
    <n v="409.37"/>
    <m/>
    <m/>
    <m/>
    <x v="445"/>
    <m/>
  </r>
  <r>
    <n v="687"/>
    <x v="16"/>
    <s v="WHATS"/>
    <n v="93797"/>
    <n v="334.8"/>
    <m/>
    <m/>
    <m/>
    <x v="446"/>
    <m/>
  </r>
  <r>
    <n v="618"/>
    <x v="26"/>
    <s v="WHATS"/>
    <s v="102462/93765"/>
    <n v="950.88"/>
    <m/>
    <m/>
    <m/>
    <x v="446"/>
    <m/>
  </r>
  <r>
    <n v="1122"/>
    <x v="87"/>
    <s v="EMAIL"/>
    <n v="93807"/>
    <n v="3739.35"/>
    <m/>
    <m/>
    <m/>
    <x v="446"/>
    <m/>
  </r>
  <r>
    <n v="311"/>
    <x v="46"/>
    <s v="WHATS"/>
    <s v="93108/102474"/>
    <n v="1756.26"/>
    <m/>
    <m/>
    <m/>
    <x v="446"/>
    <m/>
  </r>
  <r>
    <n v="960"/>
    <x v="30"/>
    <s v="WHATS"/>
    <s v="102467/93802"/>
    <n v="816"/>
    <m/>
    <m/>
    <m/>
    <x v="446"/>
    <m/>
  </r>
  <r>
    <n v="2980"/>
    <x v="40"/>
    <s v="WHATS"/>
    <s v="102481/93849/93185"/>
    <n v="4670.99"/>
    <m/>
    <m/>
    <m/>
    <x v="447"/>
    <m/>
  </r>
  <r>
    <n v="516"/>
    <x v="11"/>
    <s v="WHATS"/>
    <n v="93864"/>
    <n v="12091.79"/>
    <m/>
    <m/>
    <m/>
    <x v="448"/>
    <m/>
  </r>
  <r>
    <n v="500854"/>
    <x v="150"/>
    <s v="WHATS"/>
    <n v="93654"/>
    <n v="14808.08"/>
    <m/>
    <m/>
    <m/>
    <x v="449"/>
    <m/>
  </r>
  <r>
    <n v="412"/>
    <x v="90"/>
    <s v="WHATS"/>
    <n v="93892"/>
    <n v="235.6"/>
    <m/>
    <m/>
    <m/>
    <x v="450"/>
    <m/>
  </r>
  <r>
    <n v="2199"/>
    <x v="132"/>
    <s v="PLATAFORMA"/>
    <n v="93902"/>
    <n v="968.9"/>
    <m/>
    <m/>
    <m/>
    <x v="449"/>
    <m/>
  </r>
  <r>
    <n v="708"/>
    <x v="56"/>
    <s v="WHATS"/>
    <n v="93916"/>
    <n v="2069.9"/>
    <m/>
    <m/>
    <m/>
    <x v="449"/>
    <m/>
  </r>
  <r>
    <n v="2163"/>
    <x v="36"/>
    <s v="WHATS"/>
    <n v="93942"/>
    <n v="1264.5999999999999"/>
    <m/>
    <m/>
    <m/>
    <x v="449"/>
    <m/>
  </r>
  <r>
    <n v="761"/>
    <x v="24"/>
    <s v="WHATS"/>
    <s v="93941/102471"/>
    <n v="13757.527400000001"/>
    <m/>
    <m/>
    <m/>
    <x v="449"/>
    <m/>
  </r>
  <r>
    <n v="20"/>
    <x v="112"/>
    <s v="WHATS"/>
    <n v="93912"/>
    <n v="213.05"/>
    <m/>
    <m/>
    <m/>
    <x v="451"/>
    <m/>
  </r>
  <r>
    <n v="2572"/>
    <x v="115"/>
    <s v="WHATS"/>
    <n v="93945"/>
    <n v="840"/>
    <m/>
    <m/>
    <m/>
    <x v="451"/>
    <m/>
  </r>
  <r>
    <n v="475"/>
    <x v="23"/>
    <s v="WHATS"/>
    <n v="102493"/>
    <n v="10981.48"/>
    <m/>
    <m/>
    <m/>
    <x v="451"/>
    <m/>
  </r>
  <r>
    <n v="50312"/>
    <x v="86"/>
    <s v="WHATS"/>
    <s v="93511/102408"/>
    <n v="1188.76"/>
    <m/>
    <m/>
    <m/>
    <x v="451"/>
    <m/>
  </r>
  <r>
    <n v="50554"/>
    <x v="20"/>
    <s v="WHATS"/>
    <n v="93988"/>
    <n v="277"/>
    <m/>
    <m/>
    <m/>
    <x v="451"/>
    <m/>
  </r>
  <r>
    <n v="2415"/>
    <x v="63"/>
    <s v="WHATS"/>
    <n v="102499"/>
    <n v="672"/>
    <m/>
    <m/>
    <m/>
    <x v="451"/>
    <m/>
  </r>
  <r>
    <n v="1616"/>
    <x v="83"/>
    <s v="WHATS"/>
    <n v="94004"/>
    <n v="154.97999999999999"/>
    <m/>
    <m/>
    <m/>
    <x v="447"/>
    <m/>
  </r>
  <r>
    <n v="325"/>
    <x v="97"/>
    <s v="WHATS"/>
    <s v="102508/94003"/>
    <n v="1351.65"/>
    <m/>
    <m/>
    <m/>
    <x v="447"/>
    <m/>
  </r>
  <r>
    <n v="434"/>
    <x v="134"/>
    <s v="WHATS"/>
    <s v="93483/102505"/>
    <n v="1432.36"/>
    <m/>
    <m/>
    <m/>
    <x v="447"/>
    <m/>
  </r>
  <r>
    <n v="1989"/>
    <x v="67"/>
    <s v="WHATS"/>
    <n v="93541"/>
    <n v="790.83"/>
    <m/>
    <m/>
    <m/>
    <x v="447"/>
    <m/>
  </r>
  <r>
    <n v="50576"/>
    <x v="37"/>
    <s v="WHATS"/>
    <n v="93976"/>
    <n v="1102.3499999999999"/>
    <m/>
    <m/>
    <m/>
    <x v="447"/>
    <m/>
  </r>
  <r>
    <n v="480"/>
    <x v="39"/>
    <s v="WHATS"/>
    <s v="94005/102509"/>
    <n v="1114"/>
    <m/>
    <m/>
    <m/>
    <x v="447"/>
    <m/>
  </r>
  <r>
    <n v="311"/>
    <x v="46"/>
    <s v="WHATS"/>
    <n v="102484"/>
    <n v="398.39"/>
    <m/>
    <m/>
    <m/>
    <x v="447"/>
    <m/>
  </r>
  <r>
    <n v="500873"/>
    <x v="145"/>
    <s v="WHATS"/>
    <s v="94010/102417"/>
    <n v="863.99"/>
    <m/>
    <m/>
    <m/>
    <x v="447"/>
    <m/>
  </r>
  <r>
    <n v="905"/>
    <x v="72"/>
    <s v="WHATS"/>
    <s v="93877/102513"/>
    <n v="1066.1400000000001"/>
    <m/>
    <m/>
    <m/>
    <x v="447"/>
    <m/>
  </r>
  <r>
    <n v="822"/>
    <x v="66"/>
    <s v="WHATS"/>
    <s v="93947/102504"/>
    <n v="1813.27"/>
    <m/>
    <m/>
    <m/>
    <x v="447"/>
    <m/>
  </r>
  <r>
    <n v="1813"/>
    <x v="48"/>
    <s v="WHATS"/>
    <n v="94032"/>
    <n v="1653.75"/>
    <m/>
    <m/>
    <m/>
    <x v="447"/>
    <m/>
  </r>
  <r>
    <n v="2203"/>
    <x v="44"/>
    <s v="EMAIL"/>
    <n v="94013"/>
    <n v="845"/>
    <m/>
    <m/>
    <m/>
    <x v="447"/>
    <m/>
  </r>
  <r>
    <n v="50576"/>
    <x v="37"/>
    <s v="WHATS"/>
    <n v="93976"/>
    <n v="1267.1500000000001"/>
    <m/>
    <m/>
    <m/>
    <x v="447"/>
    <m/>
  </r>
  <r>
    <n v="784"/>
    <x v="13"/>
    <s v="WHATS"/>
    <n v="94043"/>
    <n v="640"/>
    <m/>
    <m/>
    <m/>
    <x v="452"/>
    <m/>
  </r>
  <r>
    <n v="3190"/>
    <x v="60"/>
    <s v="WHATS"/>
    <s v="94017/102519"/>
    <n v="1455.15"/>
    <m/>
    <m/>
    <m/>
    <x v="452"/>
    <m/>
  </r>
  <r>
    <n v="1206"/>
    <x v="33"/>
    <s v="WHATS"/>
    <n v="94051"/>
    <n v="1097.8399999999999"/>
    <m/>
    <m/>
    <m/>
    <x v="452"/>
    <m/>
  </r>
  <r>
    <n v="500949"/>
    <x v="149"/>
    <s v="PLATAFORMA"/>
    <n v="94038"/>
    <n v="1074.5999999999999"/>
    <m/>
    <m/>
    <m/>
    <x v="452"/>
    <m/>
  </r>
  <r>
    <n v="408"/>
    <x v="142"/>
    <s v="EMAIL"/>
    <n v="94061"/>
    <n v="1702.75"/>
    <m/>
    <m/>
    <m/>
    <x v="452"/>
    <m/>
  </r>
  <r>
    <n v="463"/>
    <x v="32"/>
    <s v="WHATS"/>
    <n v="94078"/>
    <n v="346"/>
    <m/>
    <m/>
    <m/>
    <x v="441"/>
    <m/>
  </r>
  <r>
    <n v="572"/>
    <x v="51"/>
    <s v="WHATS"/>
    <n v="94088"/>
    <n v="447.29"/>
    <m/>
    <m/>
    <m/>
    <x v="441"/>
    <m/>
  </r>
  <r>
    <n v="1652"/>
    <x v="61"/>
    <s v="TELEFONE"/>
    <s v="93986/102506"/>
    <n v="363.25"/>
    <m/>
    <m/>
    <m/>
    <x v="453"/>
    <m/>
  </r>
  <r>
    <n v="475"/>
    <x v="23"/>
    <s v="WHATS"/>
    <n v="94104"/>
    <n v="6037.9"/>
    <m/>
    <m/>
    <m/>
    <x v="453"/>
    <m/>
  </r>
  <r>
    <n v="50465"/>
    <x v="96"/>
    <s v="WHATS"/>
    <n v="93169"/>
    <n v="3562"/>
    <m/>
    <m/>
    <m/>
    <x v="453"/>
    <m/>
  </r>
  <r>
    <n v="704"/>
    <x v="49"/>
    <s v="TELEFONE"/>
    <s v="93715/102537"/>
    <n v="1516.23"/>
    <m/>
    <m/>
    <m/>
    <x v="454"/>
    <m/>
  </r>
  <r>
    <n v="1164"/>
    <x v="58"/>
    <s v="WHATS"/>
    <n v="94167"/>
    <n v="1036.5"/>
    <m/>
    <m/>
    <m/>
    <x v="454"/>
    <m/>
  </r>
  <r>
    <n v="832"/>
    <x v="55"/>
    <s v="WHATS"/>
    <n v="93953"/>
    <n v="7950.85"/>
    <m/>
    <m/>
    <m/>
    <x v="455"/>
    <m/>
  </r>
  <r>
    <n v="500005"/>
    <x v="102"/>
    <s v="WHATS"/>
    <n v="94478"/>
    <n v="260.39999999999998"/>
    <m/>
    <m/>
    <m/>
    <x v="455"/>
    <m/>
  </r>
  <r>
    <n v="500005"/>
    <x v="102"/>
    <s v="WHATS"/>
    <s v="102625/94566"/>
    <n v="3030"/>
    <m/>
    <m/>
    <m/>
    <x v="456"/>
    <m/>
  </r>
  <r>
    <n v="500005"/>
    <x v="102"/>
    <s v="WHATS"/>
    <n v="94125"/>
    <m/>
    <m/>
    <n v="16430.5"/>
    <m/>
    <x v="455"/>
    <m/>
  </r>
  <r>
    <n v="50558"/>
    <x v="2"/>
    <s v="WHATS"/>
    <n v="93898"/>
    <n v="1868"/>
    <m/>
    <m/>
    <m/>
    <x v="457"/>
    <m/>
  </r>
  <r>
    <n v="3018"/>
    <x v="64"/>
    <s v="WHATS"/>
    <s v="102501/93920"/>
    <n v="399.65"/>
    <m/>
    <m/>
    <m/>
    <x v="457"/>
    <m/>
  </r>
  <r>
    <n v="3557"/>
    <x v="139"/>
    <s v="PLATAFORMA"/>
    <n v="93105"/>
    <n v="2609.6"/>
    <m/>
    <m/>
    <m/>
    <x v="457"/>
    <m/>
  </r>
  <r>
    <n v="500969"/>
    <x v="151"/>
    <s v="PLATAFORMA"/>
    <n v="94238"/>
    <n v="96"/>
    <m/>
    <m/>
    <m/>
    <x v="457"/>
    <m/>
  </r>
  <r>
    <n v="3017"/>
    <x v="62"/>
    <s v="WHATS"/>
    <n v="94251"/>
    <n v="656.32"/>
    <m/>
    <m/>
    <m/>
    <x v="458"/>
    <m/>
  </r>
  <r>
    <n v="1240"/>
    <x v="25"/>
    <s v="WHATS"/>
    <n v="93518"/>
    <n v="816.05"/>
    <m/>
    <m/>
    <m/>
    <x v="458"/>
    <m/>
  </r>
  <r>
    <n v="3153"/>
    <x v="12"/>
    <s v="WHATS"/>
    <n v="94278"/>
    <n v="1506.4"/>
    <m/>
    <m/>
    <m/>
    <x v="458"/>
    <m/>
  </r>
  <r>
    <n v="412"/>
    <x v="90"/>
    <s v="WHATS"/>
    <n v="94282"/>
    <n v="627"/>
    <m/>
    <m/>
    <m/>
    <x v="458"/>
    <m/>
  </r>
  <r>
    <n v="500507"/>
    <x v="148"/>
    <s v="WHATS"/>
    <s v="94246 / 94260 / 94265 / 94245"/>
    <n v="4278.79"/>
    <m/>
    <m/>
    <m/>
    <x v="458"/>
    <m/>
  </r>
  <r>
    <n v="784"/>
    <x v="13"/>
    <s v="WHATS"/>
    <n v="94172"/>
    <n v="3889.68"/>
    <m/>
    <m/>
    <m/>
    <x v="458"/>
    <m/>
  </r>
  <r>
    <n v="50219"/>
    <x v="14"/>
    <s v="WHATS"/>
    <s v="94152/102535"/>
    <n v="1188.2"/>
    <m/>
    <m/>
    <m/>
    <x v="459"/>
    <m/>
  </r>
  <r>
    <n v="2022"/>
    <x v="28"/>
    <s v="WHATS"/>
    <n v="93525"/>
    <n v="783.33"/>
    <m/>
    <m/>
    <m/>
    <x v="459"/>
    <m/>
  </r>
  <r>
    <n v="475"/>
    <x v="23"/>
    <s v="WHATS"/>
    <n v="94329"/>
    <n v="432"/>
    <m/>
    <m/>
    <m/>
    <x v="459"/>
    <m/>
  </r>
  <r>
    <n v="663"/>
    <x v="116"/>
    <s v="WHATS"/>
    <s v="94147/102348"/>
    <n v="1629.25"/>
    <m/>
    <m/>
    <m/>
    <x v="460"/>
    <m/>
  </r>
  <r>
    <n v="823"/>
    <x v="17"/>
    <s v="WHATS"/>
    <n v="93503"/>
    <n v="3239.35"/>
    <m/>
    <m/>
    <m/>
    <x v="460"/>
    <m/>
  </r>
  <r>
    <n v="2911"/>
    <x v="15"/>
    <s v="WHATS"/>
    <s v="94186/102547"/>
    <n v="1509.75"/>
    <m/>
    <m/>
    <m/>
    <x v="460"/>
    <m/>
  </r>
  <r>
    <n v="432"/>
    <x v="43"/>
    <s v="WHATS"/>
    <s v="102457/93761"/>
    <n v="1086.8"/>
    <m/>
    <m/>
    <m/>
    <x v="460"/>
    <m/>
  </r>
  <r>
    <n v="2163"/>
    <x v="36"/>
    <s v="TELEFONE"/>
    <s v="94379/102588"/>
    <n v="1636.95"/>
    <m/>
    <m/>
    <m/>
    <x v="460"/>
    <m/>
  </r>
  <r>
    <n v="1652"/>
    <x v="61"/>
    <s v="TELEFONE"/>
    <s v="102529/94384"/>
    <n v="196.98"/>
    <m/>
    <m/>
    <m/>
    <x v="461"/>
    <m/>
  </r>
  <r>
    <n v="575"/>
    <x v="45"/>
    <s v="WHATS"/>
    <n v="94156"/>
    <n v="456.74"/>
    <m/>
    <m/>
    <m/>
    <x v="461"/>
    <m/>
  </r>
  <r>
    <n v="761"/>
    <x v="24"/>
    <s v="WHATS"/>
    <s v="102528/94177"/>
    <n v="1513.62"/>
    <m/>
    <m/>
    <m/>
    <x v="461"/>
    <m/>
  </r>
  <r>
    <n v="746"/>
    <x v="3"/>
    <s v="WHATS"/>
    <s v="102575/93559"/>
    <n v="1439.58"/>
    <m/>
    <m/>
    <m/>
    <x v="461"/>
    <m/>
  </r>
  <r>
    <n v="874"/>
    <x v="53"/>
    <s v="WHATS"/>
    <n v="94410"/>
    <n v="1649.94"/>
    <m/>
    <m/>
    <m/>
    <x v="461"/>
    <m/>
  </r>
  <r>
    <n v="784"/>
    <x v="13"/>
    <s v="WHATS"/>
    <n v="94172"/>
    <n v="1831.83"/>
    <m/>
    <m/>
    <m/>
    <x v="461"/>
    <m/>
  </r>
  <r>
    <n v="50554"/>
    <x v="20"/>
    <s v="WHATS"/>
    <s v="102599/94429"/>
    <n v="7002.86"/>
    <m/>
    <m/>
    <m/>
    <x v="461"/>
    <m/>
  </r>
  <r>
    <n v="2955"/>
    <x v="82"/>
    <s v="WHATS"/>
    <n v="94429"/>
    <n v="3301.5"/>
    <m/>
    <m/>
    <m/>
    <x v="461"/>
    <m/>
  </r>
  <r>
    <n v="690"/>
    <x v="19"/>
    <s v="WHATS"/>
    <s v="102602/ 93988"/>
    <n v="2226.4499999999998"/>
    <m/>
    <m/>
    <m/>
    <x v="462"/>
    <m/>
  </r>
  <r>
    <n v="3194"/>
    <x v="18"/>
    <s v="WHATS"/>
    <n v="94446"/>
    <n v="830.2"/>
    <m/>
    <m/>
    <m/>
    <x v="462"/>
    <m/>
  </r>
  <r>
    <n v="761"/>
    <x v="24"/>
    <s v="WHATS"/>
    <n v="94053"/>
    <m/>
    <m/>
    <n v="4250"/>
    <m/>
    <x v="462"/>
    <m/>
  </r>
  <r>
    <n v="761"/>
    <x v="24"/>
    <s v="WHATS"/>
    <n v="94458"/>
    <n v="24158.15"/>
    <m/>
    <m/>
    <m/>
    <x v="462"/>
    <m/>
  </r>
  <r>
    <n v="2199"/>
    <x v="132"/>
    <s v="PLATAFORMA"/>
    <n v="94462"/>
    <m/>
    <m/>
    <n v="1450"/>
    <m/>
    <x v="462"/>
    <m/>
  </r>
  <r>
    <n v="50861"/>
    <x v="133"/>
    <s v="WHATS"/>
    <n v="50861"/>
    <n v="644"/>
    <m/>
    <m/>
    <m/>
    <x v="462"/>
    <m/>
  </r>
  <r>
    <n v="618"/>
    <x v="26"/>
    <s v="WHATS"/>
    <s v="94452/102562"/>
    <n v="1727.9"/>
    <m/>
    <m/>
    <m/>
    <x v="462"/>
    <m/>
  </r>
  <r>
    <n v="746"/>
    <x v="3"/>
    <s v="WHATS"/>
    <n v="94484"/>
    <n v="418"/>
    <m/>
    <m/>
    <m/>
    <x v="463"/>
    <m/>
  </r>
  <r>
    <n v="832"/>
    <x v="55"/>
    <s v="WHATS"/>
    <n v="93950"/>
    <n v="14285.67"/>
    <m/>
    <m/>
    <m/>
    <x v="463"/>
    <m/>
  </r>
  <r>
    <n v="311"/>
    <x v="46"/>
    <s v="WHATS"/>
    <n v="94461"/>
    <n v="699"/>
    <m/>
    <m/>
    <m/>
    <x v="463"/>
    <m/>
  </r>
  <r>
    <n v="705"/>
    <x v="1"/>
    <s v="TELEFONE"/>
    <n v="102571"/>
    <n v="1018.06"/>
    <m/>
    <m/>
    <m/>
    <x v="463"/>
    <m/>
  </r>
  <r>
    <n v="1533"/>
    <x v="50"/>
    <s v="WHATS"/>
    <s v="94459/102563"/>
    <n v="506.4"/>
    <m/>
    <m/>
    <m/>
    <x v="463"/>
    <m/>
  </r>
  <r>
    <n v="690"/>
    <x v="19"/>
    <s v="WHATS"/>
    <n v="102603"/>
    <n v="215.6"/>
    <m/>
    <m/>
    <m/>
    <x v="463"/>
    <m/>
  </r>
  <r>
    <n v="50554"/>
    <x v="20"/>
    <s v="WHATS"/>
    <n v="102600"/>
    <n v="236.2"/>
    <m/>
    <m/>
    <m/>
    <x v="463"/>
    <m/>
  </r>
  <r>
    <n v="761"/>
    <x v="24"/>
    <s v="WHATS"/>
    <s v="102606/94471"/>
    <n v="6026"/>
    <m/>
    <m/>
    <m/>
    <x v="463"/>
    <m/>
  </r>
  <r>
    <n v="50961"/>
    <x v="109"/>
    <s v="WHATS"/>
    <n v="93600"/>
    <n v="2006"/>
    <m/>
    <m/>
    <m/>
    <x v="464"/>
    <m/>
  </r>
  <r>
    <n v="475"/>
    <x v="23"/>
    <s v="WHATS"/>
    <s v="102613/93974"/>
    <n v="5522.87"/>
    <m/>
    <m/>
    <m/>
    <x v="456"/>
    <m/>
  </r>
  <r>
    <n v="2415"/>
    <x v="63"/>
    <s v="WHATS"/>
    <n v="94561"/>
    <n v="649.79"/>
    <m/>
    <m/>
    <m/>
    <x v="464"/>
    <m/>
  </r>
  <r>
    <n v="784"/>
    <x v="13"/>
    <s v="WHATS"/>
    <n v="94576"/>
    <n v="7318"/>
    <m/>
    <m/>
    <m/>
    <x v="456"/>
    <m/>
  </r>
  <r>
    <n v="500149"/>
    <x v="94"/>
    <s v="WHATS"/>
    <s v="94549/102624"/>
    <n v="2730.7"/>
    <m/>
    <m/>
    <m/>
    <x v="456"/>
    <m/>
  </r>
  <r>
    <n v="311"/>
    <x v="46"/>
    <s v="WHATS"/>
    <n v="94461"/>
    <n v="699"/>
    <m/>
    <m/>
    <m/>
    <x v="456"/>
    <m/>
  </r>
  <r>
    <n v="784"/>
    <x v="13"/>
    <s v="WHATS"/>
    <n v="94413"/>
    <n v="2134.85"/>
    <m/>
    <m/>
    <m/>
    <x v="456"/>
    <m/>
  </r>
  <r>
    <n v="1533"/>
    <x v="50"/>
    <s v="WHATS"/>
    <n v="94598"/>
    <n v="144"/>
    <m/>
    <m/>
    <m/>
    <x v="456"/>
    <m/>
  </r>
  <r>
    <n v="434"/>
    <x v="134"/>
    <s v="WHATS"/>
    <n v="94606"/>
    <n v="1674.12"/>
    <m/>
    <m/>
    <m/>
    <x v="456"/>
    <m/>
  </r>
  <r>
    <n v="50465"/>
    <x v="96"/>
    <s v="WHATS"/>
    <n v="94138"/>
    <n v="1888.49"/>
    <m/>
    <m/>
    <m/>
    <x v="465"/>
    <m/>
  </r>
  <r>
    <n v="516"/>
    <x v="11"/>
    <s v="WHATS"/>
    <n v="94622"/>
    <n v="13154.59"/>
    <m/>
    <m/>
    <m/>
    <x v="465"/>
    <m/>
  </r>
  <r>
    <n v="761"/>
    <x v="24"/>
    <s v="WHATS"/>
    <n v="94628"/>
    <n v="1267.75"/>
    <m/>
    <m/>
    <m/>
    <x v="465"/>
    <m/>
  </r>
  <r>
    <n v="1164"/>
    <x v="58"/>
    <s v="WHATS"/>
    <s v="102542/94179"/>
    <n v="1147.73"/>
    <m/>
    <m/>
    <m/>
    <x v="465"/>
    <m/>
  </r>
  <r>
    <n v="620"/>
    <x v="69"/>
    <s v="WHATS"/>
    <s v="102650/94178"/>
    <n v="1016.2"/>
    <m/>
    <m/>
    <m/>
    <x v="466"/>
    <s v="TEM COLUNA "/>
  </r>
  <r>
    <n v="906"/>
    <x v="27"/>
    <s v="WHATS"/>
    <n v="94654"/>
    <n v="734"/>
    <m/>
    <m/>
    <m/>
    <x v="466"/>
    <s v="TEM COLUNA "/>
  </r>
  <r>
    <n v="51042"/>
    <x v="106"/>
    <s v="WHATS"/>
    <s v="102654/94650"/>
    <n v="350.95"/>
    <m/>
    <m/>
    <m/>
    <x v="466"/>
    <m/>
  </r>
  <r>
    <n v="2199"/>
    <x v="132"/>
    <s v="PLATAFORMA"/>
    <n v="94678"/>
    <n v="7168.8"/>
    <m/>
    <m/>
    <m/>
    <x v="466"/>
    <m/>
  </r>
  <r>
    <n v="1206"/>
    <x v="33"/>
    <s v="WHATS"/>
    <n v="94647"/>
    <n v="856.64"/>
    <m/>
    <m/>
    <m/>
    <x v="466"/>
    <m/>
  </r>
  <r>
    <n v="690"/>
    <x v="19"/>
    <s v="WHATS"/>
    <s v="94670/102646"/>
    <n v="546.16"/>
    <m/>
    <m/>
    <m/>
    <x v="467"/>
    <m/>
  </r>
  <r>
    <n v="50554"/>
    <x v="20"/>
    <s v="WHATS"/>
    <n v="94103"/>
    <n v="949.84"/>
    <m/>
    <m/>
    <m/>
    <x v="467"/>
    <m/>
  </r>
  <r>
    <n v="1971"/>
    <x v="29"/>
    <s v="WHATS"/>
    <n v="94711"/>
    <n v="738.4"/>
    <m/>
    <m/>
    <m/>
    <x v="467"/>
    <m/>
  </r>
  <r>
    <n v="1726"/>
    <x v="34"/>
    <s v="WHATS"/>
    <n v="94690"/>
    <n v="89.9"/>
    <m/>
    <m/>
    <m/>
    <x v="467"/>
    <m/>
  </r>
  <r>
    <n v="500982"/>
    <x v="152"/>
    <s v="WHATS"/>
    <n v="94706"/>
    <n v="778"/>
    <m/>
    <m/>
    <m/>
    <x v="467"/>
    <m/>
  </r>
  <r>
    <n v="51061"/>
    <x v="138"/>
    <s v="PLATAFORMA"/>
    <n v="94732"/>
    <n v="84"/>
    <m/>
    <m/>
    <m/>
    <x v="468"/>
    <m/>
  </r>
  <r>
    <n v="3557"/>
    <x v="139"/>
    <s v="PLATAFORMA"/>
    <n v="94731"/>
    <n v="245.95"/>
    <m/>
    <m/>
    <m/>
    <x v="468"/>
    <m/>
  </r>
  <r>
    <n v="50185"/>
    <x v="105"/>
    <s v="WHATS"/>
    <n v="94750"/>
    <n v="607.75"/>
    <m/>
    <m/>
    <m/>
    <x v="468"/>
    <m/>
  </r>
  <r>
    <n v="762"/>
    <x v="41"/>
    <s v="WHATS"/>
    <n v="94770"/>
    <n v="8102.18"/>
    <m/>
    <m/>
    <m/>
    <x v="468"/>
    <m/>
  </r>
  <r>
    <n v="1122"/>
    <x v="87"/>
    <s v="WHATS"/>
    <n v="94689"/>
    <n v="2659.6"/>
    <m/>
    <m/>
    <m/>
    <x v="468"/>
    <m/>
  </r>
  <r>
    <n v="581"/>
    <x v="74"/>
    <s v="WHATS"/>
    <s v="94788/102668"/>
    <n v="2613.96"/>
    <m/>
    <m/>
    <m/>
    <x v="468"/>
    <m/>
  </r>
  <r>
    <n v="1813"/>
    <x v="48"/>
    <s v="WHATS"/>
    <n v="94746"/>
    <n v="1465.2"/>
    <m/>
    <m/>
    <m/>
    <x v="468"/>
    <m/>
  </r>
  <r>
    <n v="761"/>
    <x v="24"/>
    <s v="EMAIL"/>
    <s v="102645/94363"/>
    <n v="22188.02"/>
    <m/>
    <m/>
    <m/>
    <x v="469"/>
    <m/>
  </r>
  <r>
    <n v="475"/>
    <x v="23"/>
    <s v="EMAIL"/>
    <n v="84552"/>
    <n v="3688.13"/>
    <m/>
    <m/>
    <m/>
    <x v="470"/>
    <m/>
  </r>
  <r>
    <n v="50554"/>
    <x v="20"/>
    <s v="WHATS"/>
    <n v="94702"/>
    <n v="189"/>
    <m/>
    <m/>
    <m/>
    <x v="470"/>
    <m/>
  </r>
  <r>
    <n v="432"/>
    <x v="43"/>
    <s v="WHATS"/>
    <s v="94504/102616"/>
    <n v="245.15"/>
    <m/>
    <m/>
    <m/>
    <x v="469"/>
    <m/>
  </r>
  <r>
    <n v="1989"/>
    <x v="67"/>
    <s v="EMAIL"/>
    <n v="94102"/>
    <n v="836.19"/>
    <m/>
    <m/>
    <m/>
    <x v="469"/>
    <m/>
  </r>
  <r>
    <n v="1623"/>
    <x v="57"/>
    <s v="WHATS"/>
    <n v="94895"/>
    <n v="508.7"/>
    <m/>
    <m/>
    <m/>
    <x v="469"/>
    <m/>
  </r>
  <r>
    <n v="3017"/>
    <x v="62"/>
    <s v="WHATS"/>
    <n v="94256"/>
    <n v="1514"/>
    <m/>
    <m/>
    <m/>
    <x v="469"/>
    <m/>
  </r>
  <r>
    <n v="1164"/>
    <x v="58"/>
    <s v="WHATS"/>
    <s v="102686/94876"/>
    <n v="596.29"/>
    <m/>
    <m/>
    <m/>
    <x v="471"/>
    <m/>
  </r>
  <r>
    <n v="1026"/>
    <x v="7"/>
    <s v="WHATS"/>
    <n v="94936"/>
    <n v="2199.92"/>
    <m/>
    <m/>
    <m/>
    <x v="471"/>
    <m/>
  </r>
  <r>
    <n v="480"/>
    <x v="39"/>
    <s v="WHATS"/>
    <s v="102699/94949"/>
    <n v="3070.3"/>
    <m/>
    <m/>
    <m/>
    <x v="471"/>
    <m/>
  </r>
  <r>
    <n v="408"/>
    <x v="142"/>
    <s v="WHATS"/>
    <s v="102682/94914"/>
    <n v="4904.75"/>
    <m/>
    <m/>
    <m/>
    <x v="471"/>
    <m/>
  </r>
  <r>
    <n v="1234"/>
    <x v="153"/>
    <s v="WHATS"/>
    <n v="94952"/>
    <n v="842"/>
    <m/>
    <m/>
    <m/>
    <x v="471"/>
    <m/>
  </r>
  <r>
    <n v="761"/>
    <x v="24"/>
    <s v="WHATS"/>
    <n v="94187"/>
    <m/>
    <m/>
    <n v="5500"/>
    <m/>
    <x v="471"/>
    <m/>
  </r>
  <r>
    <n v="500005"/>
    <x v="102"/>
    <s v="WHATS"/>
    <n v="93865"/>
    <n v="4343.1000000000004"/>
    <m/>
    <m/>
    <m/>
    <x v="455"/>
    <m/>
  </r>
  <r>
    <n v="500005"/>
    <x v="102"/>
    <s v="WHATS"/>
    <n v="93862"/>
    <m/>
    <m/>
    <n v="75000"/>
    <m/>
    <x v="455"/>
    <m/>
  </r>
  <r>
    <n v="618"/>
    <x v="26"/>
    <s v="WHATS"/>
    <s v="95003/102711"/>
    <n v="2167.8000000000002"/>
    <m/>
    <m/>
    <m/>
    <x v="472"/>
    <m/>
  </r>
  <r>
    <n v="705"/>
    <x v="1"/>
    <s v="WHATS"/>
    <n v="95009"/>
    <n v="1373.5"/>
    <m/>
    <m/>
    <m/>
    <x v="472"/>
    <m/>
  </r>
  <r>
    <n v="2199"/>
    <x v="132"/>
    <s v="WHATS"/>
    <n v="94680"/>
    <n v="719.2"/>
    <m/>
    <m/>
    <m/>
    <x v="472"/>
    <m/>
  </r>
  <r>
    <n v="500978"/>
    <x v="154"/>
    <s v="PLATAFORMA"/>
    <n v="94508"/>
    <n v="880"/>
    <m/>
    <m/>
    <m/>
    <x v="472"/>
    <m/>
  </r>
  <r>
    <n v="1842"/>
    <x v="47"/>
    <s v="WHATS"/>
    <n v="94714"/>
    <n v="412.3"/>
    <m/>
    <m/>
    <m/>
    <x v="472"/>
    <m/>
  </r>
  <r>
    <n v="1533"/>
    <x v="50"/>
    <s v="WHATS"/>
    <n v="95017"/>
    <n v="488.8"/>
    <m/>
    <m/>
    <m/>
    <x v="473"/>
    <m/>
  </r>
  <r>
    <n v="3557"/>
    <x v="139"/>
    <s v="PLATAFORMA"/>
    <n v="95058"/>
    <n v="7350"/>
    <m/>
    <m/>
    <m/>
    <x v="473"/>
    <m/>
  </r>
  <r>
    <n v="784"/>
    <x v="13"/>
    <s v="WHATS"/>
    <n v="95077"/>
    <n v="4032.63"/>
    <m/>
    <m/>
    <m/>
    <x v="473"/>
    <m/>
  </r>
  <r>
    <n v="1616"/>
    <x v="83"/>
    <s v="WHATS"/>
    <n v="95069"/>
    <n v="3815.8"/>
    <m/>
    <m/>
    <m/>
    <x v="473"/>
    <m/>
  </r>
  <r>
    <n v="620"/>
    <x v="69"/>
    <s v="WHATS"/>
    <n v="95076"/>
    <n v="629.1"/>
    <m/>
    <m/>
    <m/>
    <x v="473"/>
    <m/>
  </r>
  <r>
    <n v="761"/>
    <x v="24"/>
    <s v="WHATS"/>
    <s v="95074/102688"/>
    <n v="6899.06"/>
    <m/>
    <m/>
    <m/>
    <x v="473"/>
    <m/>
  </r>
  <r>
    <n v="2022"/>
    <x v="28"/>
    <s v="WHATS"/>
    <n v="94616"/>
    <n v="1649.62"/>
    <m/>
    <m/>
    <m/>
    <x v="473"/>
    <m/>
  </r>
  <r>
    <n v="2911"/>
    <x v="15"/>
    <s v="WHATS"/>
    <s v="102736/102734/95093"/>
    <n v="1887"/>
    <m/>
    <m/>
    <m/>
    <x v="474"/>
    <m/>
  </r>
  <r>
    <n v="432"/>
    <x v="43"/>
    <s v="WHATS"/>
    <s v="95099/102736"/>
    <n v="6105.35"/>
    <m/>
    <m/>
    <m/>
    <x v="474"/>
    <m/>
  </r>
  <r>
    <n v="500507"/>
    <x v="148"/>
    <s v="WHATS"/>
    <n v="94616"/>
    <n v="762.34"/>
    <m/>
    <m/>
    <m/>
    <x v="474"/>
    <m/>
  </r>
  <r>
    <n v="500507"/>
    <x v="148"/>
    <s v="WHATS"/>
    <n v="95116"/>
    <n v="1310.1600000000001"/>
    <m/>
    <m/>
    <m/>
    <x v="474"/>
    <m/>
  </r>
  <r>
    <n v="500507"/>
    <x v="148"/>
    <s v="WHATS"/>
    <n v="94674"/>
    <n v="3686"/>
    <m/>
    <m/>
    <m/>
    <x v="474"/>
    <m/>
  </r>
  <r>
    <n v="500507"/>
    <x v="148"/>
    <s v="WHATS"/>
    <n v="95117"/>
    <n v="635.03"/>
    <m/>
    <m/>
    <m/>
    <x v="474"/>
    <m/>
  </r>
  <r>
    <n v="500507"/>
    <x v="148"/>
    <s v="WHATS"/>
    <n v="95119"/>
    <n v="1031.0899999999999"/>
    <m/>
    <m/>
    <m/>
    <x v="474"/>
    <m/>
  </r>
  <r>
    <n v="705"/>
    <x v="1"/>
    <s v="WHATS"/>
    <n v="95152"/>
    <n v="589"/>
    <m/>
    <m/>
    <m/>
    <x v="475"/>
    <m/>
  </r>
  <r>
    <n v="50219"/>
    <x v="14"/>
    <s v="WHATS"/>
    <n v="95151"/>
    <n v="1500.24"/>
    <m/>
    <m/>
    <m/>
    <x v="475"/>
    <m/>
  </r>
  <r>
    <n v="475"/>
    <x v="23"/>
    <s v="EMAIL"/>
    <s v="94545/102742"/>
    <n v="13483.08"/>
    <m/>
    <m/>
    <m/>
    <x v="475"/>
    <m/>
  </r>
  <r>
    <n v="1726"/>
    <x v="34"/>
    <s v="WHATS"/>
    <n v="95159"/>
    <n v="389"/>
    <m/>
    <m/>
    <m/>
    <x v="475"/>
    <m/>
  </r>
  <r>
    <n v="50418"/>
    <x v="35"/>
    <s v="WHATS"/>
    <n v="94848"/>
    <n v="629.39"/>
    <m/>
    <m/>
    <m/>
    <x v="476"/>
    <m/>
  </r>
  <r>
    <n v="874"/>
    <x v="53"/>
    <s v="WHATS"/>
    <n v="95177"/>
    <n v="3258.09"/>
    <m/>
    <m/>
    <m/>
    <x v="475"/>
    <m/>
  </r>
  <r>
    <n v="784"/>
    <x v="13"/>
    <s v="WHATS"/>
    <n v="94578"/>
    <n v="1213.8"/>
    <m/>
    <m/>
    <m/>
    <x v="475"/>
    <m/>
  </r>
  <r>
    <n v="3475"/>
    <x v="59"/>
    <s v="WHATS"/>
    <n v="95146"/>
    <n v="240"/>
    <m/>
    <m/>
    <m/>
    <x v="475"/>
    <m/>
  </r>
  <r>
    <n v="325"/>
    <x v="97"/>
    <s v="WHATS"/>
    <s v="95206/102758"/>
    <n v="1705"/>
    <m/>
    <m/>
    <m/>
    <x v="475"/>
    <m/>
  </r>
  <r>
    <n v="412"/>
    <x v="90"/>
    <s v="WHATS"/>
    <n v="95220"/>
    <n v="1069.1500000000001"/>
    <m/>
    <m/>
    <m/>
    <x v="477"/>
    <m/>
  </r>
  <r>
    <n v="50576"/>
    <x v="37"/>
    <s v="WHATS"/>
    <n v="95188"/>
    <n v="2215.65"/>
    <m/>
    <m/>
    <m/>
    <x v="476"/>
    <m/>
  </r>
  <r>
    <n v="50554"/>
    <x v="20"/>
    <s v="WHATS"/>
    <s v="102759/95213"/>
    <n v="5853.4"/>
    <m/>
    <m/>
    <m/>
    <x v="476"/>
    <m/>
  </r>
  <r>
    <n v="1164"/>
    <x v="58"/>
    <s v="WHATS"/>
    <s v="102764/94877"/>
    <n v="2932.95"/>
    <m/>
    <m/>
    <m/>
    <x v="476"/>
    <m/>
  </r>
  <r>
    <n v="746"/>
    <x v="3"/>
    <s v="WHATS"/>
    <s v="102738/94866"/>
    <n v="1510.02"/>
    <m/>
    <m/>
    <m/>
    <x v="476"/>
    <m/>
  </r>
  <r>
    <n v="1058"/>
    <x v="5"/>
    <s v="WHATS"/>
    <n v="95095"/>
    <n v="1059.8"/>
    <m/>
    <m/>
    <m/>
    <x v="476"/>
    <m/>
  </r>
  <r>
    <n v="762"/>
    <x v="41"/>
    <s v="WHATS"/>
    <n v="94943"/>
    <n v="4889.5"/>
    <m/>
    <m/>
    <m/>
    <x v="476"/>
    <m/>
  </r>
  <r>
    <n v="50558"/>
    <x v="2"/>
    <s v="WHATS"/>
    <n v="94644"/>
    <n v="2455"/>
    <m/>
    <m/>
    <m/>
    <x v="476"/>
    <m/>
  </r>
  <r>
    <n v="500873"/>
    <x v="145"/>
    <s v="WHATS"/>
    <s v="102762/95251"/>
    <n v="2185.6999999999998"/>
    <m/>
    <m/>
    <m/>
    <x v="476"/>
    <m/>
  </r>
  <r>
    <n v="408"/>
    <x v="142"/>
    <s v="WHATS"/>
    <n v="94938"/>
    <n v="553"/>
    <m/>
    <m/>
    <m/>
    <x v="476"/>
    <m/>
  </r>
  <r>
    <n v="311"/>
    <x v="46"/>
    <s v="WHATS"/>
    <s v="95301/102774"/>
    <n v="1454.75"/>
    <m/>
    <m/>
    <m/>
    <x v="476"/>
    <m/>
  </r>
  <r>
    <n v="50465"/>
    <x v="96"/>
    <s v="WHATS"/>
    <n v="95302"/>
    <n v="3280.49"/>
    <m/>
    <m/>
    <m/>
    <x v="476"/>
    <m/>
  </r>
  <r>
    <n v="500982"/>
    <x v="152"/>
    <s v="WHATS"/>
    <n v="95293"/>
    <n v="1720.3"/>
    <m/>
    <m/>
    <m/>
    <x v="476"/>
    <m/>
  </r>
  <r>
    <n v="500243"/>
    <x v="110"/>
    <s v="WHATS"/>
    <n v="94530"/>
    <n v="2180.5"/>
    <m/>
    <m/>
    <m/>
    <x v="476"/>
    <m/>
  </r>
  <r>
    <n v="3194"/>
    <x v="18"/>
    <s v="WHATS"/>
    <n v="95315"/>
    <n v="706.4"/>
    <m/>
    <m/>
    <m/>
    <x v="478"/>
    <m/>
  </r>
  <r>
    <n v="2702"/>
    <x v="73"/>
    <s v="WHATS"/>
    <n v="95342"/>
    <n v="1551.15"/>
    <m/>
    <m/>
    <m/>
    <x v="478"/>
    <m/>
  </r>
  <r>
    <n v="690"/>
    <x v="19"/>
    <s v="WHATS"/>
    <s v="95328/102783"/>
    <n v="2441.9899999999998"/>
    <m/>
    <m/>
    <m/>
    <x v="478"/>
    <m/>
  </r>
  <r>
    <n v="3153"/>
    <x v="12"/>
    <s v="WHATS"/>
    <n v="95250"/>
    <n v="1347.1"/>
    <m/>
    <m/>
    <m/>
    <x v="478"/>
    <m/>
  </r>
  <r>
    <n v="708"/>
    <x v="56"/>
    <s v="WHATS"/>
    <n v="95376"/>
    <n v="2030"/>
    <m/>
    <m/>
    <m/>
    <x v="479"/>
    <m/>
  </r>
  <r>
    <n v="516"/>
    <x v="11"/>
    <s v="WHATS"/>
    <n v="93867"/>
    <n v="244.3"/>
    <m/>
    <m/>
    <m/>
    <x v="479"/>
    <m/>
  </r>
  <r>
    <n v="2163"/>
    <x v="36"/>
    <s v="TELEFONE"/>
    <n v="95400"/>
    <n v="1530.79"/>
    <m/>
    <m/>
    <m/>
    <x v="479"/>
    <m/>
  </r>
  <r>
    <n v="500854"/>
    <x v="150"/>
    <s v="WHATS"/>
    <n v="94573"/>
    <n v="6742.2"/>
    <m/>
    <m/>
    <m/>
    <x v="479"/>
    <m/>
  </r>
  <r>
    <n v="705"/>
    <x v="1"/>
    <s v="WHATS"/>
    <n v="95152"/>
    <n v="592.1"/>
    <m/>
    <m/>
    <m/>
    <x v="479"/>
    <m/>
  </r>
  <r>
    <n v="1616"/>
    <x v="83"/>
    <s v="WHATS"/>
    <n v="95264"/>
    <n v="432.11"/>
    <m/>
    <m/>
    <m/>
    <x v="480"/>
    <m/>
  </r>
  <r>
    <n v="832"/>
    <x v="55"/>
    <s v="WHATS"/>
    <n v="94971"/>
    <n v="603.37"/>
    <m/>
    <m/>
    <m/>
    <x v="480"/>
    <m/>
  </r>
  <r>
    <n v="500005"/>
    <x v="102"/>
    <s v="WHATS"/>
    <n v="95457"/>
    <m/>
    <m/>
    <n v="5990"/>
    <m/>
    <x v="480"/>
    <m/>
  </r>
  <r>
    <n v="500005"/>
    <x v="102"/>
    <s v="WHATS"/>
    <s v="102625/94991"/>
    <n v="2183.4"/>
    <m/>
    <n v="1580"/>
    <m/>
    <x v="480"/>
    <m/>
  </r>
  <r>
    <n v="51175"/>
    <x v="79"/>
    <s v="WHATS"/>
    <n v="95439"/>
    <n v="109.15"/>
    <m/>
    <m/>
    <m/>
    <x v="480"/>
    <m/>
  </r>
  <r>
    <n v="906"/>
    <x v="27"/>
    <s v="WHATS"/>
    <s v="102797/95424"/>
    <n v="905.52"/>
    <m/>
    <m/>
    <m/>
    <x v="480"/>
    <m/>
  </r>
  <r>
    <n v="905"/>
    <x v="72"/>
    <s v="TELEFONE"/>
    <s v="102781/95325"/>
    <n v="1140.81"/>
    <m/>
    <m/>
    <m/>
    <x v="480"/>
    <m/>
  </r>
  <r>
    <n v="960"/>
    <x v="30"/>
    <s v="WHATS"/>
    <s v="102784/95334"/>
    <n v="980.05"/>
    <m/>
    <m/>
    <m/>
    <x v="480"/>
    <m/>
  </r>
  <r>
    <n v="2199"/>
    <x v="132"/>
    <s v="PLATAFORMA"/>
    <n v="95369"/>
    <m/>
    <m/>
    <n v="1450"/>
    <m/>
    <x v="481"/>
    <m/>
  </r>
  <r>
    <n v="2199"/>
    <x v="132"/>
    <s v="PLATAFORMA"/>
    <s v="102780/102347/95310"/>
    <n v="2623.7"/>
    <m/>
    <m/>
    <m/>
    <x v="481"/>
    <m/>
  </r>
  <r>
    <n v="762"/>
    <x v="41"/>
    <s v="EMAIL"/>
    <n v="95351"/>
    <n v="5413.57"/>
    <m/>
    <m/>
    <m/>
    <x v="480"/>
    <m/>
  </r>
  <r>
    <n v="364"/>
    <x v="31"/>
    <s v="WHATS"/>
    <s v="102756/95191"/>
    <n v="427.71"/>
    <m/>
    <m/>
    <m/>
    <x v="480"/>
    <m/>
  </r>
  <r>
    <n v="761"/>
    <x v="24"/>
    <s v="WHATS"/>
    <s v="95066/94888/102725"/>
    <n v="7225.22"/>
    <m/>
    <m/>
    <m/>
    <x v="482"/>
    <m/>
  </r>
  <r>
    <n v="51182"/>
    <x v="146"/>
    <s v="WHATS"/>
    <n v="95487"/>
    <m/>
    <m/>
    <n v="13750"/>
    <m/>
    <x v="482"/>
    <m/>
  </r>
  <r>
    <n v="51182"/>
    <x v="146"/>
    <s v="WHATS"/>
    <n v="95001"/>
    <n v="1916.5"/>
    <m/>
    <m/>
    <m/>
    <x v="482"/>
    <m/>
  </r>
  <r>
    <n v="724"/>
    <x v="42"/>
    <s v="WHATS"/>
    <n v="95473"/>
    <n v="520"/>
    <m/>
    <m/>
    <m/>
    <x v="482"/>
    <m/>
  </r>
  <r>
    <n v="50219"/>
    <x v="14"/>
    <s v="WHATS"/>
    <n v="102806"/>
    <n v="189"/>
    <m/>
    <m/>
    <m/>
    <x v="482"/>
    <m/>
  </r>
  <r>
    <n v="705"/>
    <x v="1"/>
    <s v="WHATS"/>
    <n v="95522"/>
    <n v="379.9"/>
    <m/>
    <m/>
    <m/>
    <x v="482"/>
    <m/>
  </r>
  <r>
    <n v="663"/>
    <x v="116"/>
    <s v="EMAIL"/>
    <n v="95504"/>
    <n v="2718.16"/>
    <m/>
    <m/>
    <m/>
    <x v="481"/>
    <m/>
  </r>
  <r>
    <n v="474"/>
    <x v="98"/>
    <s v="WHATS"/>
    <n v="95527"/>
    <n v="1086"/>
    <m/>
    <m/>
    <m/>
    <x v="481"/>
    <m/>
  </r>
  <r>
    <n v="1240"/>
    <x v="25"/>
    <s v="WHATS"/>
    <n v="95524"/>
    <n v="1846.19"/>
    <m/>
    <m/>
    <m/>
    <x v="483"/>
    <m/>
  </r>
  <r>
    <n v="2980"/>
    <x v="40"/>
    <s v="WHATS"/>
    <s v="95428/102798"/>
    <n v="1574"/>
    <m/>
    <m/>
    <m/>
    <x v="483"/>
    <m/>
  </r>
  <r>
    <n v="51118"/>
    <x v="0"/>
    <s v="WHATS"/>
    <n v="95558"/>
    <n v="281"/>
    <m/>
    <m/>
    <m/>
    <x v="483"/>
    <m/>
  </r>
  <r>
    <n v="905"/>
    <x v="72"/>
    <s v="WHATS"/>
    <n v="102813"/>
    <n v="63.36"/>
    <m/>
    <m/>
    <m/>
    <x v="483"/>
    <m/>
  </r>
  <r>
    <n v="50554"/>
    <x v="20"/>
    <s v="WHATS"/>
    <s v="102769/95214"/>
    <n v="840.2"/>
    <m/>
    <m/>
    <m/>
    <x v="483"/>
    <m/>
  </r>
  <r>
    <n v="690"/>
    <x v="19"/>
    <s v="WHATS"/>
    <s v="102789/95361"/>
    <n v="284.3"/>
    <m/>
    <m/>
    <m/>
    <x v="483"/>
    <m/>
  </r>
  <r>
    <n v="51061"/>
    <x v="138"/>
    <s v="PLATAFORMA"/>
    <n v="95580"/>
    <n v="1645"/>
    <m/>
    <m/>
    <m/>
    <x v="483"/>
    <m/>
  </r>
  <r>
    <n v="784"/>
    <x v="13"/>
    <s v="WHATS"/>
    <n v="95080"/>
    <n v="700.95"/>
    <m/>
    <m/>
    <m/>
    <x v="483"/>
    <m/>
  </r>
  <r>
    <n v="3017"/>
    <x v="62"/>
    <s v="WHATS"/>
    <n v="95585"/>
    <n v="1785.1"/>
    <m/>
    <m/>
    <m/>
    <x v="483"/>
    <m/>
  </r>
  <r>
    <n v="2415"/>
    <x v="63"/>
    <s v="WHATS"/>
    <n v="95587"/>
    <n v="639.92999999999995"/>
    <m/>
    <m/>
    <m/>
    <x v="483"/>
    <m/>
  </r>
  <r>
    <n v="572"/>
    <x v="51"/>
    <s v="WHATS"/>
    <s v="102706/94980"/>
    <n v="1634.87"/>
    <m/>
    <m/>
    <m/>
    <x v="483"/>
    <m/>
  </r>
  <r>
    <n v="500873"/>
    <x v="145"/>
    <s v="WHATS"/>
    <s v="95291/ 102772"/>
    <n v="890.2"/>
    <m/>
    <m/>
    <m/>
    <x v="483"/>
    <m/>
  </r>
  <r>
    <n v="475"/>
    <x v="23"/>
    <s v="WHATS"/>
    <s v="102743/95129"/>
    <n v="5473.73"/>
    <m/>
    <m/>
    <m/>
    <x v="483"/>
    <m/>
  </r>
  <r>
    <n v="1971"/>
    <x v="29"/>
    <s v="WHATS"/>
    <s v="102821/95601"/>
    <n v="1118.9000000000001"/>
    <m/>
    <m/>
    <m/>
    <x v="483"/>
    <m/>
  </r>
  <r>
    <n v="325"/>
    <x v="97"/>
    <s v="WHATS"/>
    <s v="102758/95208"/>
    <n v="638"/>
    <m/>
    <m/>
    <m/>
    <x v="483"/>
    <m/>
  </r>
  <r>
    <n v="823"/>
    <x v="17"/>
    <s v="WHATS"/>
    <s v="102753/95606"/>
    <n v="5657.29"/>
    <m/>
    <m/>
    <m/>
    <x v="483"/>
    <m/>
  </r>
  <r>
    <n v="1246"/>
    <x v="0"/>
    <s v="TELEFONE"/>
    <n v="95627"/>
    <n v="1032"/>
    <m/>
    <m/>
    <m/>
    <x v="483"/>
    <m/>
  </r>
  <r>
    <n v="3557"/>
    <x v="139"/>
    <s v="PLATAFORMA"/>
    <n v="95629"/>
    <n v="4900"/>
    <m/>
    <m/>
    <m/>
    <x v="483"/>
    <m/>
  </r>
  <r>
    <n v="1905"/>
    <x v="107"/>
    <s v="WHATS"/>
    <n v="95650"/>
    <n v="775"/>
    <m/>
    <m/>
    <m/>
    <x v="482"/>
    <m/>
  </r>
  <r>
    <n v="822"/>
    <x v="66"/>
    <s v="WHATS"/>
    <s v="95641/102827"/>
    <n v="3140.12"/>
    <m/>
    <m/>
    <m/>
    <x v="482"/>
    <m/>
  </r>
  <r>
    <n v="480"/>
    <x v="39"/>
    <s v="WHATS"/>
    <s v="102826/95628"/>
    <n v="1306.9000000000001"/>
    <m/>
    <m/>
    <m/>
    <x v="484"/>
    <m/>
  </r>
  <r>
    <n v="1813"/>
    <x v="48"/>
    <s v="WHATS"/>
    <n v="95642"/>
    <n v="815"/>
    <m/>
    <m/>
    <m/>
    <x v="484"/>
    <m/>
  </r>
  <r>
    <n v="2572"/>
    <x v="115"/>
    <s v="WHATS"/>
    <n v="95667"/>
    <n v="2364.41"/>
    <m/>
    <m/>
    <m/>
    <x v="484"/>
    <m/>
  </r>
  <r>
    <n v="1842"/>
    <x v="47"/>
    <s v="WHATS"/>
    <n v="95044"/>
    <n v="342"/>
    <m/>
    <m/>
    <m/>
    <x v="484"/>
    <m/>
  </r>
  <r>
    <n v="1026"/>
    <x v="7"/>
    <s v="TELEFONE"/>
    <n v="94940"/>
    <n v="741"/>
    <m/>
    <m/>
    <m/>
    <x v="484"/>
    <m/>
  </r>
  <r>
    <n v="463"/>
    <x v="32"/>
    <s v="WHATS"/>
    <n v="95557"/>
    <n v="1374.6"/>
    <m/>
    <m/>
    <m/>
    <x v="484"/>
    <m/>
  </r>
  <r>
    <n v="1122"/>
    <x v="87"/>
    <s v="WHATS"/>
    <n v="95626"/>
    <n v="1471"/>
    <m/>
    <m/>
    <m/>
    <x v="484"/>
    <m/>
  </r>
  <r>
    <n v="1016"/>
    <x v="101"/>
    <s v="WHATS"/>
    <n v="93116"/>
    <n v="96"/>
    <m/>
    <m/>
    <m/>
    <x v="485"/>
    <m/>
  </r>
  <r>
    <n v="1016"/>
    <x v="101"/>
    <s v="WHATS"/>
    <s v="94873/102684"/>
    <n v="1867.6"/>
    <m/>
    <m/>
    <m/>
    <x v="485"/>
    <m/>
  </r>
  <r>
    <n v="3240"/>
    <x v="75"/>
    <s v="WHATS"/>
    <s v="102840/95697"/>
    <n v="1719.55"/>
    <m/>
    <m/>
    <m/>
    <x v="486"/>
    <m/>
  </r>
  <r>
    <n v="2199"/>
    <x v="132"/>
    <s v="PLATAFORMA"/>
    <s v="95742/102841/95705"/>
    <n v="3968.55"/>
    <m/>
    <m/>
    <m/>
    <x v="487"/>
    <m/>
  </r>
  <r>
    <n v="311"/>
    <x v="46"/>
    <s v="WHATS"/>
    <n v="95299"/>
    <n v="1358"/>
    <m/>
    <m/>
    <m/>
    <x v="485"/>
    <m/>
  </r>
  <r>
    <n v="3018"/>
    <x v="64"/>
    <s v="WHATS"/>
    <s v="102812/95529"/>
    <n v="787.3"/>
    <m/>
    <m/>
    <m/>
    <x v="485"/>
    <m/>
  </r>
  <r>
    <n v="500005"/>
    <x v="102"/>
    <s v="WHATS"/>
    <n v="95743"/>
    <n v="1056"/>
    <m/>
    <m/>
    <m/>
    <x v="485"/>
    <m/>
  </r>
  <r>
    <n v="408"/>
    <x v="142"/>
    <s v="WHATS"/>
    <s v="102849/95750"/>
    <n v="4621.3500000000004"/>
    <m/>
    <m/>
    <m/>
    <x v="485"/>
    <m/>
  </r>
  <r>
    <n v="581"/>
    <x v="74"/>
    <s v="WHATS"/>
    <n v="95735"/>
    <n v="328.8"/>
    <m/>
    <m/>
    <m/>
    <x v="485"/>
    <m/>
  </r>
  <r>
    <n v="516"/>
    <x v="11"/>
    <s v="EMAIL"/>
    <n v="95395"/>
    <n v="12364.05"/>
    <m/>
    <m/>
    <m/>
    <x v="485"/>
    <m/>
  </r>
  <r>
    <n v="761"/>
    <x v="24"/>
    <s v="WHATS"/>
    <s v="102816/95748"/>
    <n v="22228.95"/>
    <m/>
    <m/>
    <m/>
    <x v="485"/>
    <m/>
  </r>
  <r>
    <n v="2199"/>
    <x v="132"/>
    <s v="PLATAFORMA"/>
    <n v="92742"/>
    <n v="1201"/>
    <m/>
    <m/>
    <m/>
    <x v="488"/>
    <m/>
  </r>
  <r>
    <n v="2199"/>
    <x v="132"/>
    <s v="PLATAFORMA"/>
    <n v="95778"/>
    <n v="1351"/>
    <m/>
    <m/>
    <m/>
    <x v="488"/>
    <m/>
  </r>
  <r>
    <n v="2022"/>
    <x v="28"/>
    <s v="WHATS"/>
    <n v="95773"/>
    <n v="678.2"/>
    <m/>
    <m/>
    <m/>
    <x v="488"/>
    <m/>
  </r>
  <r>
    <n v="575"/>
    <x v="45"/>
    <s v="WHATS"/>
    <s v="95588/102819"/>
    <n v="584.99"/>
    <m/>
    <m/>
    <m/>
    <x v="488"/>
    <m/>
  </r>
  <r>
    <n v="475"/>
    <x v="23"/>
    <s v="WHATS"/>
    <s v="95154/102855"/>
    <n v="20013.580000000002"/>
    <m/>
    <m/>
    <m/>
    <x v="488"/>
    <m/>
  </r>
  <r>
    <n v="432"/>
    <x v="43"/>
    <s v="WHATS"/>
    <n v="95842"/>
    <n v="1842.6"/>
    <m/>
    <m/>
    <m/>
    <x v="489"/>
    <m/>
  </r>
  <r>
    <n v="500243"/>
    <x v="110"/>
    <s v="WHATS"/>
    <n v="95840"/>
    <n v="6256.07"/>
    <m/>
    <m/>
    <m/>
    <x v="489"/>
    <m/>
  </r>
  <r>
    <n v="500507"/>
    <x v="148"/>
    <s v="WHATS"/>
    <n v="95115"/>
    <n v="4464.3999999999996"/>
    <m/>
    <m/>
    <m/>
    <x v="485"/>
    <m/>
  </r>
  <r>
    <n v="3077"/>
    <x v="10"/>
    <s v="WHATS"/>
    <n v="95820"/>
    <n v="789.8"/>
    <m/>
    <m/>
    <m/>
    <x v="489"/>
    <m/>
  </r>
  <r>
    <n v="1623"/>
    <x v="57"/>
    <s v="TELEFONE"/>
    <n v="95867"/>
    <n v="539.1"/>
    <m/>
    <m/>
    <m/>
    <x v="489"/>
    <m/>
  </r>
  <r>
    <n v="690"/>
    <x v="19"/>
    <s v="WHATS"/>
    <s v="95856/102861"/>
    <n v="897.7"/>
    <m/>
    <m/>
    <m/>
    <x v="489"/>
    <m/>
  </r>
  <r>
    <n v="500005"/>
    <x v="102"/>
    <s v="WHATS"/>
    <n v="94974"/>
    <m/>
    <m/>
    <n v="2900"/>
    <m/>
    <x v="490"/>
    <m/>
  </r>
  <r>
    <n v="50554"/>
    <x v="20"/>
    <s v="WHATS"/>
    <n v="95573"/>
    <n v="189"/>
    <m/>
    <m/>
    <m/>
    <x v="489"/>
    <m/>
  </r>
  <r>
    <n v="1989"/>
    <x v="67"/>
    <s v="WHATS"/>
    <n v="95399"/>
    <n v="1109.96"/>
    <m/>
    <m/>
    <m/>
    <x v="489"/>
    <m/>
  </r>
  <r>
    <n v="50418"/>
    <x v="35"/>
    <s v="WHATS"/>
    <n v="95880"/>
    <n v="1545.7"/>
    <m/>
    <m/>
    <m/>
    <x v="489"/>
    <m/>
  </r>
  <r>
    <n v="50861"/>
    <x v="133"/>
    <s v="WHATS"/>
    <n v="95646"/>
    <n v="1072.0999999999999"/>
    <m/>
    <m/>
    <m/>
    <x v="489"/>
    <m/>
  </r>
  <r>
    <n v="1493"/>
    <x v="21"/>
    <s v="WHATS"/>
    <n v="95313"/>
    <n v="413.15"/>
    <m/>
    <m/>
    <m/>
    <x v="491"/>
    <m/>
  </r>
  <r>
    <n v="311"/>
    <x v="46"/>
    <s v="WHATS"/>
    <n v="102871"/>
    <n v="1454.6"/>
    <m/>
    <m/>
    <m/>
    <x v="491"/>
    <m/>
  </r>
  <r>
    <n v="960"/>
    <x v="30"/>
    <s v="WHATS"/>
    <n v="95927"/>
    <n v="441.95"/>
    <m/>
    <m/>
    <m/>
    <x v="490"/>
    <m/>
  </r>
  <r>
    <n v="1726"/>
    <x v="34"/>
    <s v="EMAIL"/>
    <n v="95929"/>
    <n v="1172"/>
    <m/>
    <m/>
    <m/>
    <x v="490"/>
    <m/>
  </r>
  <r>
    <n v="874"/>
    <x v="53"/>
    <s v="WHATS"/>
    <n v="95914"/>
    <n v="4316.3"/>
    <m/>
    <m/>
    <m/>
    <x v="490"/>
    <m/>
  </r>
  <r>
    <n v="724"/>
    <x v="42"/>
    <s v="WHATS"/>
    <n v="95474"/>
    <n v="650"/>
    <m/>
    <m/>
    <m/>
    <x v="492"/>
    <m/>
  </r>
  <r>
    <n v="1616"/>
    <x v="83"/>
    <s v="WHATS"/>
    <s v="102874/95908"/>
    <n v="437.97"/>
    <m/>
    <m/>
    <m/>
    <x v="492"/>
    <m/>
  </r>
  <r>
    <n v="3019"/>
    <x v="132"/>
    <s v="WHATS"/>
    <n v="95831"/>
    <n v="915.5"/>
    <m/>
    <m/>
    <m/>
    <x v="492"/>
    <m/>
  </r>
  <r>
    <n v="2199"/>
    <x v="132"/>
    <s v="WHATS"/>
    <n v="95955"/>
    <n v="616"/>
    <m/>
    <m/>
    <m/>
    <x v="492"/>
    <m/>
  </r>
  <r>
    <n v="408"/>
    <x v="142"/>
    <s v="WHATS"/>
    <n v="95751"/>
    <n v="354"/>
    <m/>
    <m/>
    <m/>
    <x v="492"/>
    <m/>
  </r>
  <r>
    <n v="516"/>
    <x v="11"/>
    <s v="WHATS"/>
    <n v="95768"/>
    <n v="1124"/>
    <m/>
    <m/>
    <m/>
    <x v="492"/>
    <m/>
  </r>
  <r>
    <n v="761"/>
    <x v="24"/>
    <s v="WHATS"/>
    <s v="95808/102883"/>
    <n v="841.75"/>
    <m/>
    <m/>
    <m/>
    <x v="492"/>
    <m/>
  </r>
  <r>
    <n v="475"/>
    <x v="23"/>
    <s v="WHATS"/>
    <n v="993230"/>
    <n v="3415"/>
    <m/>
    <m/>
    <m/>
    <x v="492"/>
    <m/>
  </r>
  <r>
    <n v="500873"/>
    <x v="145"/>
    <s v="WHATS"/>
    <s v="102889/95979"/>
    <n v="2247.6999999999998"/>
    <m/>
    <m/>
    <m/>
    <x v="492"/>
    <m/>
  </r>
  <r>
    <n v="51182"/>
    <x v="146"/>
    <s v="WHATS"/>
    <n v="95487"/>
    <n v="480"/>
    <m/>
    <m/>
    <m/>
    <x v="492"/>
    <m/>
  </r>
  <r>
    <n v="3017"/>
    <x v="62"/>
    <s v="WHATS"/>
    <n v="95990"/>
    <n v="1497.55"/>
    <m/>
    <m/>
    <m/>
    <x v="492"/>
    <m/>
  </r>
  <r>
    <n v="1652"/>
    <x v="61"/>
    <s v="TELEFONE"/>
    <n v="95991"/>
    <n v="528.75"/>
    <m/>
    <m/>
    <m/>
    <x v="492"/>
    <m/>
  </r>
  <r>
    <n v="2702"/>
    <x v="73"/>
    <s v="WHATS"/>
    <n v="95452"/>
    <n v="1645"/>
    <m/>
    <m/>
    <m/>
    <x v="492"/>
    <m/>
  </r>
  <r>
    <n v="708"/>
    <x v="56"/>
    <s v="WHATS"/>
    <n v="95996"/>
    <n v="2030"/>
    <m/>
    <m/>
    <m/>
    <x v="492"/>
    <m/>
  </r>
  <r>
    <n v="2911"/>
    <x v="15"/>
    <s v="WHATS"/>
    <s v="95997/102894"/>
    <n v="2425.08"/>
    <m/>
    <m/>
    <m/>
    <x v="493"/>
    <m/>
  </r>
  <r>
    <n v="1909"/>
    <x v="0"/>
    <s v="WHATS"/>
    <n v="95870"/>
    <n v="395"/>
    <m/>
    <m/>
    <m/>
    <x v="493"/>
    <m/>
  </r>
  <r>
    <n v="1533"/>
    <x v="50"/>
    <s v="WHATS"/>
    <s v="95971/102886"/>
    <n v="428.15"/>
    <m/>
    <m/>
    <m/>
    <x v="493"/>
    <m/>
  </r>
  <r>
    <n v="784"/>
    <x v="13"/>
    <s v="EMAIL"/>
    <n v="95584"/>
    <n v="2193.94"/>
    <m/>
    <m/>
    <m/>
    <x v="493"/>
    <m/>
  </r>
  <r>
    <n v="762"/>
    <x v="41"/>
    <s v="WHATS"/>
    <n v="95542"/>
    <n v="1540"/>
    <m/>
    <m/>
    <m/>
    <x v="494"/>
    <m/>
  </r>
  <r>
    <n v="823"/>
    <x v="17"/>
    <s v="WHATS"/>
    <n v="96113"/>
    <n v="2043.4"/>
    <m/>
    <m/>
    <m/>
    <x v="495"/>
    <m/>
  </r>
  <r>
    <n v="1234"/>
    <x v="153"/>
    <s v="WHATS"/>
    <n v="96050"/>
    <n v="1141.75"/>
    <m/>
    <m/>
    <m/>
    <x v="495"/>
    <m/>
  </r>
  <r>
    <n v="1813"/>
    <x v="48"/>
    <s v="WHATS"/>
    <n v="96078"/>
    <n v="991.8"/>
    <m/>
    <m/>
    <m/>
    <x v="495"/>
    <m/>
  </r>
  <r>
    <n v="3492"/>
    <x v="132"/>
    <s v="PLATAFORMA"/>
    <n v="95511"/>
    <m/>
    <m/>
    <n v="1450"/>
    <m/>
    <x v="495"/>
    <m/>
  </r>
  <r>
    <n v="761"/>
    <x v="24"/>
    <s v="WHATS"/>
    <n v="96140"/>
    <n v="1899.5"/>
    <m/>
    <m/>
    <m/>
    <x v="495"/>
    <m/>
  </r>
  <r>
    <n v="687"/>
    <x v="16"/>
    <s v="WHATS"/>
    <n v="96268"/>
    <n v="204"/>
    <m/>
    <m/>
    <m/>
    <x v="496"/>
    <m/>
  </r>
  <r>
    <n v="690"/>
    <x v="19"/>
    <s v="WHATS"/>
    <s v="96261/102918"/>
    <n v="2658.24"/>
    <m/>
    <m/>
    <m/>
    <x v="496"/>
    <m/>
  </r>
  <r>
    <n v="50312"/>
    <x v="86"/>
    <s v="WHATS"/>
    <n v="96266"/>
    <n v="395.9"/>
    <m/>
    <m/>
    <m/>
    <x v="497"/>
    <m/>
  </r>
  <r>
    <n v="3557"/>
    <x v="139"/>
    <s v="PLATAFORMA"/>
    <n v="96211"/>
    <n v="7535.9"/>
    <m/>
    <m/>
    <m/>
    <x v="497"/>
    <m/>
  </r>
  <r>
    <n v="50465"/>
    <x v="96"/>
    <s v="WHATS"/>
    <n v="96273"/>
    <n v="2716.61"/>
    <m/>
    <m/>
    <m/>
    <x v="497"/>
    <m/>
  </r>
  <r>
    <n v="50219"/>
    <x v="14"/>
    <s v="WHATS"/>
    <s v="102925/96150"/>
    <n v="1597.45"/>
    <m/>
    <m/>
    <m/>
    <x v="498"/>
    <m/>
  </r>
  <r>
    <n v="50554"/>
    <x v="20"/>
    <s v="WHATS"/>
    <s v="96167/102919"/>
    <n v="8489.27"/>
    <m/>
    <m/>
    <m/>
    <x v="498"/>
    <m/>
  </r>
  <r>
    <n v="50728"/>
    <x v="84"/>
    <s v="WHATS"/>
    <n v="96219"/>
    <n v="778"/>
    <m/>
    <m/>
    <m/>
    <x v="498"/>
    <m/>
  </r>
  <r>
    <n v="3153"/>
    <x v="12"/>
    <s v="WHATS"/>
    <s v="102930/96164"/>
    <n v="2181.2199999999998"/>
    <m/>
    <m/>
    <m/>
    <x v="498"/>
    <m/>
  </r>
  <r>
    <n v="761"/>
    <x v="24"/>
    <s v="WHATS"/>
    <n v="96187"/>
    <n v="16406.75"/>
    <m/>
    <m/>
    <m/>
    <x v="498"/>
    <m/>
  </r>
  <r>
    <n v="784"/>
    <x v="13"/>
    <s v="WHATS"/>
    <n v="96027"/>
    <n v="1506"/>
    <m/>
    <m/>
    <m/>
    <x v="498"/>
    <m/>
  </r>
  <r>
    <n v="1164"/>
    <x v="58"/>
    <s v="WHATS"/>
    <n v="96221"/>
    <n v="816.37"/>
    <m/>
    <m/>
    <m/>
    <x v="497"/>
    <m/>
  </r>
  <r>
    <n v="572"/>
    <x v="51"/>
    <s v="WHATS"/>
    <n v="95593"/>
    <n v="1316.6"/>
    <m/>
    <m/>
    <m/>
    <x v="497"/>
    <m/>
  </r>
  <r>
    <n v="663"/>
    <x v="116"/>
    <s v="WHATS"/>
    <s v="102936/96201"/>
    <n v="716.04"/>
    <m/>
    <m/>
    <m/>
    <x v="497"/>
    <m/>
  </r>
  <r>
    <n v="50861"/>
    <x v="133"/>
    <s v="WHATS"/>
    <n v="95893"/>
    <n v="152"/>
    <m/>
    <m/>
    <m/>
    <x v="497"/>
    <m/>
  </r>
  <r>
    <n v="3017"/>
    <x v="62"/>
    <s v="WHATS"/>
    <n v="96312"/>
    <n v="223.53"/>
    <m/>
    <m/>
    <m/>
    <x v="497"/>
    <m/>
  </r>
  <r>
    <n v="325"/>
    <x v="97"/>
    <s v="WHATS"/>
    <s v="102964/95679"/>
    <n v="2678.57"/>
    <m/>
    <m/>
    <m/>
    <x v="499"/>
    <m/>
  </r>
  <r>
    <n v="501033"/>
    <x v="155"/>
    <s v="WHATS"/>
    <n v="96345"/>
    <n v="1299.55"/>
    <m/>
    <m/>
    <m/>
    <x v="499"/>
    <m/>
  </r>
  <r>
    <n v="501028"/>
    <x v="156"/>
    <s v="WHATS"/>
    <n v="96272"/>
    <n v="254.65"/>
    <m/>
    <m/>
    <m/>
    <x v="500"/>
    <m/>
  </r>
  <r>
    <n v="2022"/>
    <x v="28"/>
    <s v="WHATS"/>
    <n v="96381"/>
    <n v="474.9"/>
    <m/>
    <m/>
    <m/>
    <x v="500"/>
    <m/>
  </r>
  <r>
    <n v="3194"/>
    <x v="18"/>
    <s v="WHATS"/>
    <n v="96371"/>
    <n v="611.5"/>
    <m/>
    <m/>
    <m/>
    <x v="500"/>
    <m/>
  </r>
  <r>
    <n v="3557"/>
    <x v="139"/>
    <s v="WHATS"/>
    <n v="96390"/>
    <n v="4900"/>
    <m/>
    <m/>
    <m/>
    <x v="500"/>
    <m/>
  </r>
  <r>
    <n v="1989"/>
    <x v="67"/>
    <s v="WHATS"/>
    <n v="96401"/>
    <n v="980.35"/>
    <m/>
    <m/>
    <m/>
    <x v="500"/>
    <m/>
  </r>
  <r>
    <n v="3475"/>
    <x v="59"/>
    <s v="WHATS"/>
    <n v="95182"/>
    <n v="346.75"/>
    <m/>
    <m/>
    <m/>
    <x v="501"/>
    <m/>
  </r>
  <r>
    <n v="50558"/>
    <x v="2"/>
    <s v="WHATS"/>
    <n v="95845"/>
    <n v="3856"/>
    <m/>
    <m/>
    <m/>
    <x v="501"/>
    <m/>
  </r>
  <r>
    <n v="51182"/>
    <x v="146"/>
    <s v="WHATS"/>
    <n v="96424"/>
    <n v="120.9"/>
    <m/>
    <m/>
    <m/>
    <x v="501"/>
    <m/>
  </r>
  <r>
    <n v="761"/>
    <x v="24"/>
    <s v="WHATS"/>
    <s v="102910 /95977"/>
    <n v="4233.38"/>
    <m/>
    <m/>
    <m/>
    <x v="501"/>
    <m/>
  </r>
  <r>
    <n v="762"/>
    <x v="41"/>
    <s v="WHATS"/>
    <n v="96278"/>
    <n v="1969.2"/>
    <m/>
    <m/>
    <m/>
    <x v="502"/>
    <m/>
  </r>
  <r>
    <n v="475"/>
    <x v="23"/>
    <s v="EMAIL"/>
    <s v="102978/96372"/>
    <n v="11615.15"/>
    <m/>
    <m/>
    <m/>
    <x v="502"/>
    <m/>
  </r>
  <r>
    <n v="500337"/>
    <x v="157"/>
    <s v="WHATS"/>
    <n v="95657"/>
    <n v="2091.35"/>
    <m/>
    <m/>
    <m/>
    <x v="502"/>
    <m/>
  </r>
  <r>
    <n v="3492"/>
    <x v="132"/>
    <s v="WHATS"/>
    <n v="96417"/>
    <n v="70.819999999999993"/>
    <m/>
    <m/>
    <m/>
    <x v="502"/>
    <m/>
  </r>
  <r>
    <n v="501042"/>
    <x v="156"/>
    <s v="WHATS"/>
    <n v="96532"/>
    <n v="2104.3200000000002"/>
    <m/>
    <m/>
    <m/>
    <x v="503"/>
    <m/>
  </r>
  <r>
    <n v="501043"/>
    <x v="156"/>
    <s v="WHATS"/>
    <n v="96529"/>
    <n v="92.8"/>
    <m/>
    <m/>
    <m/>
    <x v="503"/>
    <m/>
  </r>
  <r>
    <n v="500507"/>
    <x v="148"/>
    <s v="WHATS"/>
    <n v="96527"/>
    <n v="739.44"/>
    <m/>
    <m/>
    <m/>
    <x v="503"/>
    <m/>
  </r>
  <r>
    <n v="500149"/>
    <x v="94"/>
    <s v="WHATS"/>
    <s v="102632/95781"/>
    <n v="1640.72"/>
    <m/>
    <m/>
    <m/>
    <x v="504"/>
    <m/>
  </r>
  <r>
    <n v="620"/>
    <x v="69"/>
    <s v="WHATS"/>
    <n v="96542"/>
    <n v="306"/>
    <m/>
    <m/>
    <m/>
    <x v="503"/>
    <m/>
  </r>
  <r>
    <n v="572"/>
    <x v="51"/>
    <s v="WHATS"/>
    <n v="96555"/>
    <n v="107.5"/>
    <m/>
    <m/>
    <m/>
    <x v="503"/>
    <m/>
  </r>
  <r>
    <n v="412"/>
    <x v="90"/>
    <s v="WHATS"/>
    <s v="96572/103011"/>
    <n v="1161.95"/>
    <m/>
    <m/>
    <m/>
    <x v="503"/>
    <m/>
  </r>
  <r>
    <n v="2022"/>
    <x v="28"/>
    <s v="WHATS"/>
    <n v="96580"/>
    <n v="284"/>
    <m/>
    <m/>
    <m/>
    <x v="505"/>
    <m/>
  </r>
  <r>
    <n v="412"/>
    <x v="90"/>
    <s v="WHATS"/>
    <n v="96601"/>
    <n v="364"/>
    <m/>
    <m/>
    <m/>
    <x v="505"/>
    <m/>
  </r>
  <r>
    <n v="1058"/>
    <x v="5"/>
    <s v="WHATS"/>
    <n v="96611"/>
    <n v="529.9"/>
    <m/>
    <m/>
    <m/>
    <x v="505"/>
    <m/>
  </r>
  <r>
    <n v="432"/>
    <x v="43"/>
    <s v="WHATS"/>
    <s v="96346 /102955"/>
    <n v="1178.75"/>
    <m/>
    <m/>
    <m/>
    <x v="505"/>
    <m/>
  </r>
  <r>
    <n v="581"/>
    <x v="74"/>
    <s v="WHATS"/>
    <s v="96298/102959"/>
    <n v="1706.82"/>
    <m/>
    <m/>
    <m/>
    <x v="505"/>
    <m/>
  </r>
  <r>
    <n v="772"/>
    <x v="71"/>
    <s v="WHATS"/>
    <s v="96399/102979"/>
    <n v="1626.16"/>
    <m/>
    <m/>
    <m/>
    <x v="505"/>
    <m/>
  </r>
  <r>
    <n v="501028"/>
    <x v="156"/>
    <s v="WHATS"/>
    <n v="96619"/>
    <n v="3588.04"/>
    <m/>
    <m/>
    <m/>
    <x v="505"/>
    <m/>
  </r>
  <r>
    <n v="311"/>
    <x v="46"/>
    <s v="WHATS"/>
    <n v="96553"/>
    <n v="1397.7"/>
    <m/>
    <m/>
    <m/>
    <x v="506"/>
    <m/>
  </r>
  <r>
    <n v="746"/>
    <x v="3"/>
    <s v="WHATS"/>
    <s v="96207/102941"/>
    <n v="758.65"/>
    <m/>
    <m/>
    <m/>
    <x v="506"/>
    <m/>
  </r>
  <r>
    <n v="1122"/>
    <x v="87"/>
    <s v="WHATS"/>
    <n v="96452"/>
    <n v="3015.65"/>
    <m/>
    <m/>
    <m/>
    <x v="507"/>
    <m/>
  </r>
  <r>
    <n v="3557"/>
    <x v="139"/>
    <s v="WHATS"/>
    <s v="96212/96654"/>
    <n v="179.8"/>
    <m/>
    <m/>
    <m/>
    <x v="507"/>
    <m/>
  </r>
  <r>
    <n v="501054"/>
    <x v="155"/>
    <s v="WHATS"/>
    <n v="96706"/>
    <n v="2466.7600000000002"/>
    <m/>
    <m/>
    <m/>
    <x v="507"/>
    <m/>
  </r>
  <r>
    <n v="784"/>
    <x v="13"/>
    <s v="WHATS"/>
    <n v="96227"/>
    <n v="232"/>
    <m/>
    <m/>
    <m/>
    <x v="507"/>
    <m/>
  </r>
  <r>
    <n v="51124"/>
    <x v="158"/>
    <s v="WHATS"/>
    <n v="96714"/>
    <n v="316"/>
    <m/>
    <m/>
    <m/>
    <x v="507"/>
    <m/>
  </r>
  <r>
    <n v="1164"/>
    <x v="58"/>
    <s v="WHATS"/>
    <s v="103025/96634"/>
    <n v="1107.67"/>
    <m/>
    <m/>
    <m/>
    <x v="507"/>
    <m/>
  </r>
  <r>
    <n v="50576"/>
    <x v="37"/>
    <s v="WHATS"/>
    <s v="96184/102929"/>
    <n v="2202.9299999999998"/>
    <m/>
    <m/>
    <m/>
    <x v="507"/>
    <m/>
  </r>
  <r>
    <n v="960"/>
    <x v="30"/>
    <s v="WHATS"/>
    <s v="96538/103002"/>
    <n v="767.4"/>
    <m/>
    <m/>
    <m/>
    <x v="508"/>
    <m/>
  </r>
  <r>
    <n v="2163"/>
    <x v="36"/>
    <s v="WHATS"/>
    <n v="96739"/>
    <n v="2480.4"/>
    <m/>
    <m/>
    <m/>
    <x v="508"/>
    <m/>
  </r>
  <r>
    <n v="704"/>
    <x v="49"/>
    <s v="TELEFONE"/>
    <s v="95905/103042"/>
    <n v="1752.19"/>
    <m/>
    <m/>
    <m/>
    <x v="508"/>
    <m/>
  </r>
  <r>
    <n v="325"/>
    <x v="97"/>
    <s v="WHATS"/>
    <n v="96334"/>
    <n v="358"/>
    <m/>
    <m/>
    <m/>
    <x v="508"/>
    <m/>
  </r>
  <r>
    <n v="3017"/>
    <x v="62"/>
    <s v="WHATS"/>
    <n v="96315"/>
    <n v="1051.53"/>
    <m/>
    <m/>
    <m/>
    <x v="508"/>
    <m/>
  </r>
  <r>
    <n v="516"/>
    <x v="11"/>
    <s v="EMAIL"/>
    <n v="95923"/>
    <n v="12347.54"/>
    <m/>
    <m/>
    <m/>
    <x v="508"/>
    <m/>
  </r>
  <r>
    <n v="572"/>
    <x v="51"/>
    <s v="WHATS"/>
    <n v="96243"/>
    <n v="1648.33"/>
    <m/>
    <m/>
    <m/>
    <x v="508"/>
    <m/>
  </r>
  <r>
    <n v="3492"/>
    <x v="132"/>
    <s v="WHATS"/>
    <n v="103047"/>
    <n v="79.2"/>
    <m/>
    <m/>
    <m/>
    <x v="508"/>
    <m/>
  </r>
  <r>
    <n v="1989"/>
    <x v="67"/>
    <s v="WHATS"/>
    <n v="95983"/>
    <n v="616.03"/>
    <m/>
    <m/>
    <m/>
    <x v="509"/>
    <m/>
  </r>
  <r>
    <n v="50554"/>
    <x v="20"/>
    <s v="WHATS"/>
    <s v="102934/96787"/>
    <n v="441.3"/>
    <m/>
    <m/>
    <m/>
    <x v="509"/>
    <m/>
  </r>
  <r>
    <n v="690"/>
    <x v="19"/>
    <s v="WHATS"/>
    <s v="102954/96280"/>
    <n v="212.5"/>
    <m/>
    <m/>
    <m/>
    <x v="509"/>
    <m/>
  </r>
  <r>
    <n v="500873"/>
    <x v="145"/>
    <s v="WHATS"/>
    <s v="96735/103039"/>
    <n v="1786.85"/>
    <m/>
    <m/>
    <m/>
    <x v="509"/>
    <m/>
  </r>
  <r>
    <n v="50418"/>
    <x v="35"/>
    <s v="WHATS"/>
    <n v="96789"/>
    <n v="1956.52"/>
    <m/>
    <m/>
    <m/>
    <x v="509"/>
    <m/>
  </r>
  <r>
    <n v="1533"/>
    <x v="50"/>
    <s v="WHATS"/>
    <n v="103049"/>
    <n v="119.8"/>
    <m/>
    <m/>
    <m/>
    <x v="509"/>
    <m/>
  </r>
  <r>
    <n v="500507"/>
    <x v="148"/>
    <s v="WHATS"/>
    <n v="96535"/>
    <n v="3838.56"/>
    <m/>
    <m/>
    <m/>
    <x v="509"/>
    <m/>
  </r>
  <r>
    <n v="501042"/>
    <x v="156"/>
    <s v="WHATS"/>
    <n v="96810"/>
    <n v="279.05"/>
    <m/>
    <m/>
    <m/>
    <x v="509"/>
    <m/>
  </r>
  <r>
    <n v="501028"/>
    <x v="156"/>
    <s v="WHATS"/>
    <n v="96384"/>
    <n v="154.63999999999999"/>
    <m/>
    <m/>
    <m/>
    <x v="509"/>
    <m/>
  </r>
  <r>
    <n v="2199"/>
    <x v="132"/>
    <s v="PLATAFORMA"/>
    <s v="103013/96563/96764"/>
    <n v="13369.45"/>
    <m/>
    <m/>
    <m/>
    <x v="509"/>
    <m/>
  </r>
  <r>
    <n v="501020"/>
    <x v="132"/>
    <s v="PLATAFORMA"/>
    <s v="95368/95305"/>
    <m/>
    <m/>
    <n v="5960"/>
    <m/>
    <x v="509"/>
    <m/>
  </r>
  <r>
    <n v="761"/>
    <x v="24"/>
    <s v="WHATS"/>
    <s v="96464/102984"/>
    <n v="450.94"/>
    <m/>
    <m/>
    <m/>
    <x v="509"/>
    <m/>
  </r>
  <r>
    <n v="500005"/>
    <x v="102"/>
    <s v="WHATS"/>
    <n v="96828"/>
    <n v="683.7"/>
    <m/>
    <m/>
    <m/>
    <x v="509"/>
    <m/>
  </r>
  <r>
    <n v="500337"/>
    <x v="157"/>
    <s v="PLATAFORMA"/>
    <n v="96833"/>
    <n v="499"/>
    <m/>
    <m/>
    <m/>
    <x v="509"/>
    <m/>
  </r>
  <r>
    <n v="9063"/>
    <x v="22"/>
    <s v="WHATS"/>
    <n v="96729"/>
    <n v="472.25"/>
    <m/>
    <m/>
    <m/>
    <x v="504"/>
    <m/>
  </r>
  <r>
    <n v="1623"/>
    <x v="57"/>
    <s v="WHATS"/>
    <n v="96848"/>
    <n v="795.68"/>
    <m/>
    <m/>
    <m/>
    <x v="510"/>
    <m/>
  </r>
  <r>
    <n v="2022"/>
    <x v="28"/>
    <s v="WHATS"/>
    <s v="96861/96841"/>
    <n v="873.6"/>
    <m/>
    <m/>
    <m/>
    <x v="510"/>
    <m/>
  </r>
  <r>
    <n v="705"/>
    <x v="1"/>
    <s v="WHATS"/>
    <s v="103056/96843"/>
    <n v="2150.38"/>
    <m/>
    <m/>
    <m/>
    <x v="510"/>
    <m/>
  </r>
  <r>
    <n v="823"/>
    <x v="17"/>
    <s v="WHATS"/>
    <s v="96884/103069"/>
    <n v="2081.02"/>
    <m/>
    <m/>
    <m/>
    <x v="504"/>
    <m/>
  </r>
  <r>
    <n v="620"/>
    <x v="69"/>
    <s v="WHATS"/>
    <n v="103068"/>
    <n v="592.4"/>
    <m/>
    <m/>
    <m/>
    <x v="504"/>
    <m/>
  </r>
  <r>
    <n v="2199"/>
    <x v="132"/>
    <s v="WHATS"/>
    <n v="97033"/>
    <n v="3905"/>
    <m/>
    <m/>
    <m/>
    <x v="511"/>
    <m/>
  </r>
  <r>
    <n v="463"/>
    <x v="32"/>
    <s v="WHATS"/>
    <n v="97039"/>
    <n v="1047.2"/>
    <m/>
    <m/>
    <m/>
    <x v="511"/>
    <m/>
  </r>
  <r>
    <n v="690"/>
    <x v="19"/>
    <s v="WHATS"/>
    <s v="103067/97032"/>
    <n v="1097.0999999999999"/>
    <m/>
    <m/>
    <m/>
    <x v="511"/>
    <m/>
  </r>
  <r>
    <n v="960"/>
    <x v="30"/>
    <s v="WHATS"/>
    <n v="97050"/>
    <n v="628"/>
    <m/>
    <m/>
    <m/>
    <x v="511"/>
    <m/>
  </r>
  <r>
    <n v="620"/>
    <x v="69"/>
    <s v="WHATS"/>
    <n v="96970"/>
    <n v="129.47"/>
    <m/>
    <m/>
    <m/>
    <x v="511"/>
    <m/>
  </r>
  <r>
    <n v="2415"/>
    <x v="63"/>
    <s v="WHATS"/>
    <n v="97062"/>
    <n v="3267"/>
    <m/>
    <m/>
    <m/>
    <x v="511"/>
    <m/>
  </r>
  <r>
    <n v="50219"/>
    <x v="14"/>
    <s v="WHATS"/>
    <n v="97075"/>
    <n v="1536.1"/>
    <m/>
    <m/>
    <m/>
    <x v="511"/>
    <m/>
  </r>
  <r>
    <n v="1813"/>
    <x v="48"/>
    <s v="WHATS"/>
    <s v="97124/97092"/>
    <n v="1264"/>
    <m/>
    <m/>
    <m/>
    <x v="512"/>
    <m/>
  </r>
  <r>
    <n v="500873"/>
    <x v="145"/>
    <s v="WHATS"/>
    <n v="95597"/>
    <n v="1008.75"/>
    <m/>
    <m/>
    <m/>
    <x v="512"/>
    <m/>
  </r>
  <r>
    <n v="784"/>
    <x v="13"/>
    <s v="EMAIL"/>
    <n v="96612"/>
    <n v="5589.66"/>
    <m/>
    <m/>
    <m/>
    <x v="512"/>
    <s v=" "/>
  </r>
  <r>
    <n v="874"/>
    <x v="53"/>
    <s v="WHATS"/>
    <n v="97113"/>
    <n v="3971.4"/>
    <m/>
    <m/>
    <m/>
    <x v="512"/>
    <m/>
  </r>
  <r>
    <n v="2980"/>
    <x v="40"/>
    <s v="WHATS"/>
    <s v="103118/97121"/>
    <n v="916.1"/>
    <m/>
    <m/>
    <m/>
    <x v="512"/>
    <m/>
  </r>
  <r>
    <n v="1616"/>
    <x v="83"/>
    <s v="WHATS"/>
    <n v="96698"/>
    <n v="1109"/>
    <m/>
    <m/>
    <m/>
    <x v="512"/>
    <m/>
  </r>
  <r>
    <n v="475"/>
    <x v="23"/>
    <s v="WHATS"/>
    <s v="96648/103124"/>
    <n v="7058.08"/>
    <m/>
    <m/>
    <m/>
    <x v="512"/>
    <m/>
  </r>
  <r>
    <n v="572"/>
    <x v="51"/>
    <s v="WHATS"/>
    <n v="96570"/>
    <n v="1100.23"/>
    <m/>
    <m/>
    <m/>
    <x v="513"/>
    <m/>
  </r>
  <r>
    <n v="575"/>
    <x v="45"/>
    <s v="WHATS"/>
    <n v="97179"/>
    <n v="622.86"/>
    <m/>
    <m/>
    <m/>
    <x v="513"/>
    <m/>
  </r>
  <r>
    <n v="746"/>
    <x v="3"/>
    <s v="WHATS"/>
    <s v="97182/103131"/>
    <n v="2702.6"/>
    <m/>
    <m/>
    <m/>
    <x v="513"/>
    <m/>
  </r>
  <r>
    <n v="501035"/>
    <x v="155"/>
    <s v="WHATS"/>
    <n v="96728"/>
    <n v="4495.95"/>
    <m/>
    <m/>
    <m/>
    <x v="513"/>
    <m/>
  </r>
  <r>
    <n v="501079"/>
    <x v="155"/>
    <s v="WHATS"/>
    <n v="96811"/>
    <n v="2962.76"/>
    <m/>
    <m/>
    <m/>
    <x v="513"/>
    <m/>
  </r>
  <r>
    <n v="501054"/>
    <x v="155"/>
    <s v="WHATS"/>
    <n v="96707"/>
    <n v="6754.58"/>
    <m/>
    <m/>
    <m/>
    <x v="513"/>
    <m/>
  </r>
  <r>
    <n v="500507"/>
    <x v="148"/>
    <s v="WHATS"/>
    <n v="96310"/>
    <n v="3614.61"/>
    <m/>
    <m/>
    <m/>
    <x v="513"/>
    <m/>
  </r>
  <r>
    <n v="501070"/>
    <x v="155"/>
    <s v="WHATS"/>
    <n v="96533"/>
    <n v="3734.68"/>
    <m/>
    <m/>
    <m/>
    <x v="513"/>
    <m/>
  </r>
  <r>
    <n v="1905"/>
    <x v="107"/>
    <s v="WHATS"/>
    <n v="97207"/>
    <n v="389"/>
    <m/>
    <m/>
    <m/>
    <x v="513"/>
    <m/>
  </r>
  <r>
    <n v="501078"/>
    <x v="155"/>
    <s v="WHATS"/>
    <n v="97191"/>
    <n v="1947.67"/>
    <m/>
    <m/>
    <m/>
    <x v="513"/>
    <m/>
  </r>
  <r>
    <n v="1164"/>
    <x v="58"/>
    <s v="WHATS"/>
    <n v="96922"/>
    <n v="1203.79"/>
    <m/>
    <m/>
    <m/>
    <x v="513"/>
    <m/>
  </r>
  <r>
    <n v="51182"/>
    <x v="146"/>
    <s v="WHATS"/>
    <n v="97220"/>
    <n v="175"/>
    <m/>
    <m/>
    <m/>
    <x v="513"/>
    <s v="RUI VAI LEVAR SEXTA"/>
  </r>
  <r>
    <n v="432"/>
    <x v="43"/>
    <s v="WHATS"/>
    <n v="97228"/>
    <n v="2125.1799999999998"/>
    <m/>
    <m/>
    <m/>
    <x v="513"/>
    <m/>
  </r>
  <r>
    <n v="50465"/>
    <x v="96"/>
    <s v="WHATS"/>
    <n v="96275"/>
    <n v="2570.6999999999998"/>
    <m/>
    <m/>
    <m/>
    <x v="514"/>
    <m/>
  </r>
  <r>
    <n v="311"/>
    <x v="46"/>
    <s v="WHATS"/>
    <n v="97233"/>
    <n v="2070"/>
    <m/>
    <m/>
    <m/>
    <x v="514"/>
    <m/>
  </r>
  <r>
    <n v="408"/>
    <x v="142"/>
    <s v="EMAIL"/>
    <s v="97015/103101"/>
    <n v="2682.15"/>
    <m/>
    <m/>
    <m/>
    <x v="514"/>
    <m/>
  </r>
  <r>
    <n v="325"/>
    <x v="97"/>
    <s v="WHATS"/>
    <s v="97230/103142"/>
    <n v="2270.5500000000002"/>
    <m/>
    <m/>
    <m/>
    <x v="514"/>
    <m/>
  </r>
  <r>
    <n v="3017"/>
    <x v="62"/>
    <s v="WHATS"/>
    <n v="97250"/>
    <n v="874.26"/>
    <m/>
    <m/>
    <m/>
    <x v="514"/>
    <m/>
  </r>
  <r>
    <n v="3194"/>
    <x v="18"/>
    <s v="WHATS"/>
    <n v="97265"/>
    <n v="561"/>
    <m/>
    <m/>
    <m/>
    <x v="514"/>
    <m/>
  </r>
  <r>
    <n v="463"/>
    <x v="32"/>
    <s v="WHATS"/>
    <n v="97039"/>
    <n v="1047.2"/>
    <m/>
    <m/>
    <m/>
    <x v="511"/>
    <m/>
  </r>
  <r>
    <n v="905"/>
    <x v="72"/>
    <s v="TELEFONE"/>
    <s v="103099/97037"/>
    <n v="1489.9"/>
    <m/>
    <m/>
    <m/>
    <x v="511"/>
    <m/>
  </r>
  <r>
    <n v="50558"/>
    <x v="2"/>
    <s v="WHATS"/>
    <n v="96615"/>
    <n v="3856"/>
    <m/>
    <m/>
    <m/>
    <x v="511"/>
    <m/>
  </r>
  <r>
    <n v="906"/>
    <x v="27"/>
    <s v="WHATS"/>
    <s v="103111/97085"/>
    <n v="1822.33"/>
    <m/>
    <m/>
    <m/>
    <x v="515"/>
    <m/>
  </r>
  <r>
    <n v="822"/>
    <x v="66"/>
    <s v="WHATS"/>
    <s v="103127/97173"/>
    <n v="2769.12"/>
    <m/>
    <m/>
    <m/>
    <x v="515"/>
    <m/>
  </r>
  <r>
    <n v="581"/>
    <x v="74"/>
    <s v="WHATS"/>
    <s v="97282/103150"/>
    <n v="2640.32"/>
    <m/>
    <m/>
    <m/>
    <x v="515"/>
    <m/>
  </r>
  <r>
    <n v="690"/>
    <x v="19"/>
    <s v="WHATS"/>
    <s v="103066/97373"/>
    <n v="2654.65"/>
    <m/>
    <m/>
    <m/>
    <x v="516"/>
    <m/>
  </r>
  <r>
    <n v="50554"/>
    <x v="20"/>
    <s v="WHATS"/>
    <s v="97342/103159"/>
    <n v="7591.7"/>
    <m/>
    <m/>
    <m/>
    <x v="516"/>
    <m/>
  </r>
  <r>
    <n v="2006"/>
    <x v="159"/>
    <s v="WHATS"/>
    <n v="97396"/>
    <n v="1632"/>
    <m/>
    <m/>
    <m/>
    <x v="516"/>
    <m/>
  </r>
  <r>
    <n v="2955"/>
    <x v="82"/>
    <s v="WHATS"/>
    <n v="94437"/>
    <n v="3712.8"/>
    <m/>
    <m/>
    <m/>
    <x v="517"/>
    <m/>
  </r>
  <r>
    <n v="2199"/>
    <x v="132"/>
    <s v="WHATS"/>
    <n v="97416"/>
    <n v="2800"/>
    <m/>
    <m/>
    <m/>
    <x v="517"/>
    <m/>
  </r>
  <r>
    <n v="761"/>
    <x v="24"/>
    <s v="WHATS"/>
    <s v="103065/96820"/>
    <n v="4702.84"/>
    <m/>
    <m/>
    <m/>
    <x v="517"/>
    <m/>
  </r>
  <r>
    <n v="516"/>
    <x v="11"/>
    <s v="WHATS"/>
    <n v="96762"/>
    <n v="1902"/>
    <m/>
    <m/>
    <m/>
    <x v="517"/>
    <m/>
  </r>
  <r>
    <n v="480"/>
    <x v="39"/>
    <s v="WHATS"/>
    <s v="103182 /97442"/>
    <n v="3671"/>
    <m/>
    <m/>
    <m/>
    <x v="517"/>
    <m/>
  </r>
  <r>
    <n v="412"/>
    <x v="90"/>
    <s v="WHATS"/>
    <s v="97383/103176"/>
    <n v="1433.5"/>
    <m/>
    <m/>
    <m/>
    <x v="517"/>
    <m/>
  </r>
  <r>
    <n v="51042"/>
    <x v="106"/>
    <s v="WHATS"/>
    <n v="97307"/>
    <n v="275.89999999999998"/>
    <m/>
    <m/>
    <m/>
    <x v="518"/>
    <m/>
  </r>
  <r>
    <n v="3153"/>
    <x v="12"/>
    <s v="WHATS"/>
    <n v="97088"/>
    <n v="1592.8"/>
    <m/>
    <m/>
    <m/>
    <x v="518"/>
    <m/>
  </r>
  <r>
    <n v="784"/>
    <x v="13"/>
    <s v="WHATS"/>
    <n v="97243"/>
    <n v="225"/>
    <m/>
    <m/>
    <m/>
    <x v="518"/>
    <m/>
  </r>
  <r>
    <n v="663"/>
    <x v="116"/>
    <s v="WHATS"/>
    <s v="97345 /103155"/>
    <n v="509.55"/>
    <m/>
    <m/>
    <m/>
    <x v="518"/>
    <m/>
  </r>
  <r>
    <n v="1971"/>
    <x v="29"/>
    <s v="WHATS"/>
    <n v="97483"/>
    <n v="389"/>
    <m/>
    <m/>
    <m/>
    <x v="518"/>
    <m/>
  </r>
  <r>
    <n v="2022"/>
    <x v="28"/>
    <s v="WHATS"/>
    <n v="96982"/>
    <n v="820.19"/>
    <m/>
    <m/>
    <m/>
    <x v="518"/>
    <m/>
  </r>
  <r>
    <n v="1533"/>
    <x v="50"/>
    <s v="WHATS"/>
    <n v="97422"/>
    <n v="785.08"/>
    <m/>
    <m/>
    <m/>
    <x v="518"/>
    <m/>
  </r>
  <r>
    <n v="1234"/>
    <x v="153"/>
    <s v="WHATS"/>
    <n v="97490"/>
    <n v="715.8"/>
    <m/>
    <m/>
    <m/>
    <x v="518"/>
    <m/>
  </r>
  <r>
    <n v="2702"/>
    <x v="73"/>
    <s v="WHATS"/>
    <n v="97381"/>
    <n v="550"/>
    <m/>
    <m/>
    <m/>
    <x v="518"/>
    <m/>
  </r>
  <r>
    <n v="500873"/>
    <x v="145"/>
    <s v="WHATS"/>
    <s v="103180/97499"/>
    <n v="481.62"/>
    <m/>
    <m/>
    <m/>
    <x v="518"/>
    <m/>
  </r>
  <r>
    <n v="412"/>
    <x v="90"/>
    <s v="WHATS"/>
    <n v="97515"/>
    <n v="720.46"/>
    <m/>
    <m/>
    <m/>
    <x v="518"/>
    <m/>
  </r>
  <r>
    <n v="708"/>
    <x v="56"/>
    <s v="WHATS"/>
    <n v="97376"/>
    <n v="2449.8000000000002"/>
    <m/>
    <m/>
    <m/>
    <x v="519"/>
    <m/>
  </r>
  <r>
    <n v="1026"/>
    <x v="7"/>
    <s v="WHATS"/>
    <n v="97563"/>
    <n v="1575.8"/>
    <m/>
    <m/>
    <m/>
    <x v="519"/>
    <m/>
  </r>
  <r>
    <n v="500243"/>
    <x v="110"/>
    <s v="WHATS"/>
    <n v="97548"/>
    <n v="809.3"/>
    <m/>
    <m/>
    <m/>
    <x v="519"/>
    <m/>
  </r>
  <r>
    <n v="761"/>
    <x v="24"/>
    <s v="WHATS"/>
    <s v="103179/97552"/>
    <n v="14566.45"/>
    <m/>
    <m/>
    <m/>
    <x v="519"/>
    <m/>
  </r>
  <r>
    <n v="2199"/>
    <x v="132"/>
    <s v="WHATS"/>
    <s v="103189/97580"/>
    <n v="1323.7"/>
    <m/>
    <m/>
    <m/>
    <x v="520"/>
    <m/>
  </r>
  <r>
    <n v="784"/>
    <x v="13"/>
    <s v="WHATS"/>
    <n v="97625"/>
    <n v="2520"/>
    <m/>
    <m/>
    <m/>
    <x v="521"/>
    <m/>
  </r>
  <r>
    <n v="500149"/>
    <x v="94"/>
    <s v="WHATS"/>
    <n v="97512"/>
    <n v="1234.42"/>
    <m/>
    <m/>
    <m/>
    <x v="521"/>
    <m/>
  </r>
  <r>
    <n v="475"/>
    <x v="23"/>
    <s v="EMAIL"/>
    <s v="103125/96906"/>
    <n v="18522.82"/>
    <m/>
    <m/>
    <m/>
    <x v="522"/>
    <m/>
  </r>
  <r>
    <n v="1122"/>
    <x v="87"/>
    <s v="WHATS"/>
    <n v="96702"/>
    <n v="2361.38"/>
    <m/>
    <m/>
    <m/>
    <x v="522"/>
    <m/>
  </r>
  <r>
    <n v="620"/>
    <x v="69"/>
    <s v="WHATS"/>
    <n v="97656"/>
    <n v="959.35"/>
    <m/>
    <m/>
    <m/>
    <x v="522"/>
    <m/>
  </r>
  <r>
    <n v="2199"/>
    <x v="132"/>
    <s v="WHATS"/>
    <n v="97684"/>
    <n v="3105.45"/>
    <m/>
    <m/>
    <m/>
    <x v="522"/>
    <s v="valor esta parcial"/>
  </r>
  <r>
    <n v="762"/>
    <x v="41"/>
    <s v="WHATS"/>
    <n v="97679"/>
    <n v="1641"/>
    <m/>
    <m/>
    <m/>
    <x v="522"/>
    <m/>
  </r>
  <r>
    <n v="2397"/>
    <x v="6"/>
    <s v="WHATS"/>
    <n v="97620"/>
    <n v="1335.3"/>
    <m/>
    <m/>
    <m/>
    <x v="522"/>
    <m/>
  </r>
  <r>
    <n v="1616"/>
    <x v="83"/>
    <s v="WHATS"/>
    <n v="103205"/>
    <n v="311"/>
    <m/>
    <m/>
    <m/>
    <x v="522"/>
    <m/>
  </r>
  <r>
    <n v="906"/>
    <x v="27"/>
    <s v="WHATS"/>
    <n v="97692"/>
    <n v="849.5"/>
    <m/>
    <m/>
    <m/>
    <x v="522"/>
    <s v="tem coluna"/>
  </r>
  <r>
    <n v="1164"/>
    <x v="58"/>
    <s v="WHATS"/>
    <s v="103206/97612"/>
    <n v="1356.79"/>
    <m/>
    <m/>
    <m/>
    <x v="523"/>
    <m/>
  </r>
  <r>
    <n v="708"/>
    <x v="56"/>
    <s v="EMAIL"/>
    <n v="97713"/>
    <n v="4740"/>
    <m/>
    <m/>
    <m/>
    <x v="523"/>
    <m/>
  </r>
  <r>
    <n v="50576"/>
    <x v="37"/>
    <s v="WHATS"/>
    <s v="103209/97660"/>
    <n v="867.1"/>
    <m/>
    <m/>
    <m/>
    <x v="523"/>
    <m/>
  </r>
  <r>
    <n v="1240"/>
    <x v="25"/>
    <s v="WHATS"/>
    <n v="97404"/>
    <n v="1075.5"/>
    <m/>
    <m/>
    <m/>
    <x v="523"/>
    <m/>
  </r>
  <r>
    <n v="731"/>
    <x v="4"/>
    <s v="WHATS"/>
    <n v="97726"/>
    <n v="83.25"/>
    <m/>
    <m/>
    <m/>
    <x v="523"/>
    <m/>
  </r>
  <r>
    <n v="1989"/>
    <x v="67"/>
    <s v="WHATS"/>
    <n v="97101"/>
    <n v="616"/>
    <m/>
    <m/>
    <m/>
    <x v="523"/>
    <m/>
  </r>
  <r>
    <n v="516"/>
    <x v="11"/>
    <s v="WHATS"/>
    <n v="96925"/>
    <n v="10278.4"/>
    <m/>
    <m/>
    <m/>
    <x v="523"/>
    <m/>
  </r>
  <r>
    <n v="500243"/>
    <x v="110"/>
    <s v="WHATS"/>
    <n v="97748"/>
    <n v="3019.23"/>
    <m/>
    <m/>
    <m/>
    <x v="524"/>
    <m/>
  </r>
  <r>
    <n v="50554"/>
    <x v="20"/>
    <s v="WHATS"/>
    <n v="97100"/>
    <n v="189"/>
    <m/>
    <m/>
    <m/>
    <x v="524"/>
    <m/>
  </r>
  <r>
    <n v="1533"/>
    <x v="50"/>
    <s v="WHATS"/>
    <n v="97791"/>
    <n v="1032.8"/>
    <m/>
    <m/>
    <m/>
    <x v="524"/>
    <m/>
  </r>
  <r>
    <n v="501054"/>
    <x v="155"/>
    <s v="WHATS"/>
    <n v="97163"/>
    <n v="452.7"/>
    <m/>
    <m/>
    <m/>
    <x v="525"/>
    <m/>
  </r>
  <r>
    <n v="501079"/>
    <x v="155"/>
    <s v="WHATS"/>
    <n v="97186"/>
    <n v="332.7"/>
    <m/>
    <m/>
    <m/>
    <x v="525"/>
    <m/>
  </r>
  <r>
    <n v="501078"/>
    <x v="155"/>
    <s v="WHATS"/>
    <n v="97194"/>
    <n v="111.9"/>
    <m/>
    <m/>
    <m/>
    <x v="525"/>
    <m/>
  </r>
  <r>
    <n v="1971"/>
    <x v="29"/>
    <s v="WHATS"/>
    <n v="97809"/>
    <n v="778"/>
    <m/>
    <m/>
    <m/>
    <x v="525"/>
    <m/>
  </r>
  <r>
    <n v="474"/>
    <x v="98"/>
    <s v="WHATS"/>
    <s v="103226/97816"/>
    <n v="360.05"/>
    <m/>
    <m/>
    <m/>
    <x v="525"/>
    <m/>
  </r>
  <r>
    <n v="823"/>
    <x v="17"/>
    <s v="WHATS"/>
    <s v="103071/96889"/>
    <n v="6631.98"/>
    <m/>
    <m/>
    <m/>
    <x v="525"/>
    <m/>
  </r>
  <r>
    <n v="690"/>
    <x v="19"/>
    <s v="WHATS"/>
    <n v="97694"/>
    <n v="880"/>
    <m/>
    <m/>
    <m/>
    <x v="525"/>
    <m/>
  </r>
  <r>
    <n v="761"/>
    <x v="24"/>
    <s v="WHATS"/>
    <s v="103225/97800"/>
    <n v="2906.25"/>
    <m/>
    <m/>
    <m/>
    <x v="525"/>
    <m/>
  </r>
  <r>
    <n v="311"/>
    <x v="46"/>
    <s v="WHATS"/>
    <n v="97853"/>
    <n v="7957.85"/>
    <m/>
    <m/>
    <m/>
    <x v="525"/>
    <m/>
  </r>
  <r>
    <n v="500845"/>
    <x v="160"/>
    <s v="WHATS"/>
    <n v="97859"/>
    <n v="9400"/>
    <m/>
    <m/>
    <m/>
    <x v="525"/>
    <m/>
  </r>
  <r>
    <n v="2752"/>
    <x v="120"/>
    <s v="WHATS"/>
    <n v="97833"/>
    <n v="407.55"/>
    <m/>
    <m/>
    <m/>
    <x v="525"/>
    <m/>
  </r>
  <r>
    <n v="3190"/>
    <x v="60"/>
    <s v="WHATS"/>
    <n v="97222"/>
    <n v="1442.8"/>
    <m/>
    <m/>
    <m/>
    <x v="526"/>
    <m/>
  </r>
  <r>
    <n v="501079"/>
    <x v="155"/>
    <s v="WHATS"/>
    <n v="97186"/>
    <n v="592.20000000000005"/>
    <m/>
    <m/>
    <m/>
    <x v="526"/>
    <m/>
  </r>
  <r>
    <n v="2702"/>
    <x v="73"/>
    <s v="WHATS"/>
    <n v="97832"/>
    <n v="1001"/>
    <m/>
    <m/>
    <m/>
    <x v="526"/>
    <m/>
  </r>
  <r>
    <n v="432"/>
    <x v="43"/>
    <s v="WHATS"/>
    <s v="97828/103218"/>
    <n v="981.15"/>
    <m/>
    <m/>
    <m/>
    <x v="526"/>
    <m/>
  </r>
  <r>
    <n v="463"/>
    <x v="32"/>
    <s v="WHATS"/>
    <n v="97900"/>
    <n v="544.9"/>
    <m/>
    <m/>
    <m/>
    <x v="526"/>
    <m/>
  </r>
  <r>
    <n v="50861"/>
    <x v="133"/>
    <s v="WHATS"/>
    <n v="97902"/>
    <n v="374.55"/>
    <m/>
    <m/>
    <m/>
    <x v="526"/>
    <m/>
  </r>
  <r>
    <n v="3557"/>
    <x v="139"/>
    <s v="WHATS"/>
    <n v="97931"/>
    <n v="7350"/>
    <m/>
    <m/>
    <m/>
    <x v="526"/>
    <m/>
  </r>
  <r>
    <n v="3105"/>
    <x v="161"/>
    <s v="WHATS"/>
    <n v="97348"/>
    <m/>
    <m/>
    <n v="4690"/>
    <m/>
    <x v="527"/>
    <m/>
  </r>
  <r>
    <n v="412"/>
    <x v="90"/>
    <s v="WHATS"/>
    <n v="97934"/>
    <n v="1668.26"/>
    <m/>
    <m/>
    <m/>
    <x v="527"/>
    <m/>
  </r>
  <r>
    <n v="705"/>
    <x v="1"/>
    <s v="WHATS"/>
    <n v="97956"/>
    <n v="400"/>
    <m/>
    <m/>
    <m/>
    <x v="527"/>
    <m/>
  </r>
  <r>
    <n v="1493"/>
    <x v="21"/>
    <s v="TELEFONE"/>
    <n v="97976"/>
    <n v="787.93"/>
    <m/>
    <m/>
    <m/>
    <x v="528"/>
    <m/>
  </r>
  <r>
    <n v="51175"/>
    <x v="79"/>
    <s v="WHATS"/>
    <n v="97977"/>
    <n v="78.5"/>
    <m/>
    <m/>
    <m/>
    <x v="528"/>
    <m/>
  </r>
  <r>
    <n v="572"/>
    <x v="51"/>
    <s v="WHATS"/>
    <n v="97987"/>
    <n v="710"/>
    <m/>
    <m/>
    <m/>
    <x v="528"/>
    <m/>
  </r>
  <r>
    <n v="1122"/>
    <x v="87"/>
    <s v="EMAIL"/>
    <n v="97663"/>
    <n v="3237.7"/>
    <m/>
    <m/>
    <m/>
    <x v="528"/>
    <m/>
  </r>
  <r>
    <n v="2911"/>
    <x v="15"/>
    <s v="TEANS"/>
    <s v="103250/98004"/>
    <n v="2406.86"/>
    <m/>
    <m/>
    <m/>
    <x v="528"/>
    <m/>
  </r>
  <r>
    <n v="3017"/>
    <x v="62"/>
    <s v="WHATS"/>
    <n v="98009"/>
    <n v="1115.44"/>
    <m/>
    <m/>
    <m/>
    <x v="528"/>
    <m/>
  </r>
  <r>
    <n v="3105"/>
    <x v="161"/>
    <s v="WHATS"/>
    <n v="98012"/>
    <n v="593.6"/>
    <m/>
    <m/>
    <m/>
    <x v="528"/>
    <m/>
  </r>
  <r>
    <n v="2415"/>
    <x v="63"/>
    <s v="WHATS"/>
    <n v="98015"/>
    <n v="1410"/>
    <m/>
    <m/>
    <m/>
    <x v="528"/>
    <m/>
  </r>
  <r>
    <n v="2199"/>
    <x v="132"/>
    <s v="WHATS"/>
    <n v="97878"/>
    <n v="4774.05"/>
    <m/>
    <m/>
    <m/>
    <x v="529"/>
    <m/>
  </r>
  <r>
    <n v="960"/>
    <x v="30"/>
    <s v="WHATS"/>
    <s v="98041/103257"/>
    <n v="397.9"/>
    <m/>
    <m/>
    <m/>
    <x v="529"/>
    <m/>
  </r>
  <r>
    <n v="500873"/>
    <x v="145"/>
    <s v="WHATS"/>
    <s v="103256/98035"/>
    <n v="2607.73"/>
    <m/>
    <m/>
    <m/>
    <x v="529"/>
    <m/>
  </r>
  <r>
    <n v="1813"/>
    <x v="48"/>
    <s v="WHATS"/>
    <n v="98090"/>
    <n v="986"/>
    <m/>
    <m/>
    <m/>
    <x v="530"/>
    <m/>
  </r>
  <r>
    <n v="724"/>
    <x v="42"/>
    <s v="WHATS"/>
    <s v="103263/97668"/>
    <n v="366.29"/>
    <m/>
    <m/>
    <m/>
    <x v="530"/>
    <m/>
  </r>
  <r>
    <n v="2163"/>
    <x v="36"/>
    <s v="WHATS"/>
    <s v="98099/103265"/>
    <n v="2515.35"/>
    <m/>
    <m/>
    <m/>
    <x v="530"/>
    <m/>
  </r>
  <r>
    <n v="687"/>
    <x v="16"/>
    <s v="WHATS"/>
    <n v="98101"/>
    <n v="838"/>
    <m/>
    <m/>
    <m/>
    <x v="530"/>
    <m/>
  </r>
  <r>
    <n v="761"/>
    <x v="24"/>
    <s v="WHATS"/>
    <s v="103254/98100"/>
    <n v="5380.55"/>
    <m/>
    <m/>
    <m/>
    <x v="530"/>
    <m/>
  </r>
  <r>
    <n v="51061"/>
    <x v="138"/>
    <s v="PLATAFORMA"/>
    <n v="98112"/>
    <n v="316"/>
    <m/>
    <m/>
    <m/>
    <x v="530"/>
    <m/>
  </r>
  <r>
    <n v="3492"/>
    <x v="132"/>
    <s v="WHATS"/>
    <n v="98115"/>
    <n v="978.6"/>
    <m/>
    <m/>
    <m/>
    <x v="530"/>
    <m/>
  </r>
  <r>
    <n v="408"/>
    <x v="142"/>
    <s v="EMAIL"/>
    <n v="98085"/>
    <n v="2600.1"/>
    <m/>
    <m/>
    <m/>
    <x v="531"/>
    <m/>
  </r>
  <r>
    <n v="50418"/>
    <x v="35"/>
    <s v="WHATS"/>
    <n v="98102"/>
    <n v="1391.28"/>
    <m/>
    <m/>
    <m/>
    <x v="531"/>
    <m/>
  </r>
  <r>
    <n v="50185"/>
    <x v="105"/>
    <s v="WHATS"/>
    <n v="98126"/>
    <n v="738.65"/>
    <m/>
    <m/>
    <m/>
    <x v="531"/>
    <m/>
  </r>
  <r>
    <n v="708"/>
    <x v="56"/>
    <s v="WHATS"/>
    <n v="103271"/>
    <n v="161.74"/>
    <m/>
    <m/>
    <m/>
    <x v="531"/>
    <m/>
  </r>
  <r>
    <n v="762"/>
    <x v="41"/>
    <s v="WHATS"/>
    <n v="98113"/>
    <n v="2796"/>
    <m/>
    <m/>
    <m/>
    <x v="531"/>
    <m/>
  </r>
  <r>
    <n v="2980"/>
    <x v="40"/>
    <s v="WHATS"/>
    <n v="98092"/>
    <n v="979.42"/>
    <m/>
    <m/>
    <m/>
    <x v="531"/>
    <m/>
  </r>
  <r>
    <n v="171"/>
    <x v="70"/>
    <s v="WHATS"/>
    <n v="97755"/>
    <n v="4465.58"/>
    <m/>
    <m/>
    <m/>
    <x v="531"/>
    <m/>
  </r>
  <r>
    <n v="1164"/>
    <x v="58"/>
    <s v="WHATS"/>
    <s v="98160/103275"/>
    <n v="1498.49"/>
    <m/>
    <m/>
    <m/>
    <x v="531"/>
    <m/>
  </r>
  <r>
    <n v="618"/>
    <x v="26"/>
    <s v="WHATS"/>
    <s v="98185/103219"/>
    <n v="463"/>
    <m/>
    <m/>
    <m/>
    <x v="531"/>
    <m/>
  </r>
  <r>
    <n v="50465"/>
    <x v="96"/>
    <s v="WHATS"/>
    <n v="98190"/>
    <n v="3054.55"/>
    <m/>
    <m/>
    <m/>
    <x v="532"/>
    <m/>
  </r>
  <r>
    <n v="501070"/>
    <x v="155"/>
    <s v="WHATS"/>
    <n v="98134"/>
    <n v="3426.64"/>
    <m/>
    <m/>
    <m/>
    <x v="532"/>
    <m/>
  </r>
  <r>
    <n v="500507"/>
    <x v="148"/>
    <s v="WHATS"/>
    <n v="98132"/>
    <n v="2106.9299999999998"/>
    <m/>
    <m/>
    <m/>
    <x v="532"/>
    <m/>
  </r>
  <r>
    <n v="501054"/>
    <x v="155"/>
    <s v="WHATS"/>
    <n v="98136"/>
    <n v="2466.7600000000002"/>
    <m/>
    <m/>
    <m/>
    <x v="532"/>
    <m/>
  </r>
  <r>
    <n v="501078"/>
    <x v="155"/>
    <s v="WHATS"/>
    <n v="98129"/>
    <n v="256"/>
    <m/>
    <m/>
    <m/>
    <x v="532"/>
    <m/>
  </r>
  <r>
    <n v="501079"/>
    <x v="155"/>
    <s v="WHATS"/>
    <n v="98128"/>
    <n v="1845.24"/>
    <m/>
    <m/>
    <m/>
    <x v="532"/>
    <m/>
  </r>
  <r>
    <n v="500982"/>
    <x v="152"/>
    <s v="WHATS"/>
    <n v="98209"/>
    <n v="1032.2"/>
    <m/>
    <m/>
    <m/>
    <x v="532"/>
    <m/>
  </r>
  <r>
    <n v="620"/>
    <x v="69"/>
    <s v="WHATS"/>
    <n v="97771"/>
    <n v="781.75"/>
    <m/>
    <m/>
    <m/>
    <x v="532"/>
    <m/>
  </r>
  <r>
    <n v="687"/>
    <x v="16"/>
    <s v="WHATS"/>
    <n v="98215"/>
    <n v="452.4"/>
    <m/>
    <m/>
    <m/>
    <x v="532"/>
    <m/>
  </r>
  <r>
    <n v="50554"/>
    <x v="20"/>
    <s v="WHATS"/>
    <n v="103215"/>
    <n v="67.2"/>
    <m/>
    <m/>
    <m/>
    <x v="532"/>
    <m/>
  </r>
  <r>
    <n v="434"/>
    <x v="134"/>
    <s v="WHATS"/>
    <n v="103282"/>
    <n v="481.65"/>
    <m/>
    <m/>
    <m/>
    <x v="532"/>
    <m/>
  </r>
  <r>
    <n v="412"/>
    <x v="90"/>
    <s v="WHATS"/>
    <n v="98229"/>
    <n v="1312.2"/>
    <m/>
    <m/>
    <m/>
    <x v="532"/>
    <m/>
  </r>
  <r>
    <n v="3017"/>
    <x v="62"/>
    <s v="WHATS"/>
    <n v="98242"/>
    <n v="904.95"/>
    <m/>
    <m/>
    <m/>
    <x v="532"/>
    <m/>
  </r>
  <r>
    <n v="500005"/>
    <x v="102"/>
    <s v="WHATS"/>
    <n v="98237"/>
    <n v="59.64"/>
    <m/>
    <m/>
    <m/>
    <x v="533"/>
    <m/>
  </r>
  <r>
    <n v="311"/>
    <x v="46"/>
    <s v="WHATS"/>
    <n v="98251"/>
    <n v="7200"/>
    <m/>
    <m/>
    <m/>
    <x v="532"/>
    <m/>
  </r>
  <r>
    <n v="3018"/>
    <x v="64"/>
    <s v="WHATS"/>
    <s v="98230/103284"/>
    <n v="446"/>
    <m/>
    <m/>
    <m/>
    <x v="532"/>
    <m/>
  </r>
  <r>
    <n v="3190"/>
    <x v="60"/>
    <s v="WHATS"/>
    <n v="98257"/>
    <n v="597.38"/>
    <m/>
    <m/>
    <m/>
    <x v="532"/>
    <m/>
  </r>
  <r>
    <n v="2702"/>
    <x v="73"/>
    <s v="WHATS"/>
    <n v="98272"/>
    <n v="2067"/>
    <m/>
    <m/>
    <m/>
    <x v="534"/>
    <m/>
  </r>
  <r>
    <n v="475"/>
    <x v="23"/>
    <s v="WHATS"/>
    <s v="103255/96605"/>
    <n v="11581.2"/>
    <m/>
    <m/>
    <m/>
    <x v="534"/>
    <m/>
  </r>
  <r>
    <n v="500005"/>
    <x v="102"/>
    <s v="WHATS"/>
    <n v="97883"/>
    <n v="4668.8500000000004"/>
    <m/>
    <m/>
    <m/>
    <x v="534"/>
    <m/>
  </r>
  <r>
    <n v="500005"/>
    <x v="102"/>
    <s v="WHATS"/>
    <n v="97922"/>
    <n v="5146.3999999999996"/>
    <m/>
    <m/>
    <m/>
    <x v="534"/>
    <m/>
  </r>
  <r>
    <n v="500005"/>
    <x v="102"/>
    <s v="WHATS"/>
    <n v="97866"/>
    <n v="2580"/>
    <m/>
    <m/>
    <m/>
    <x v="534"/>
    <m/>
  </r>
  <r>
    <n v="687"/>
    <x v="16"/>
    <s v="WHATS"/>
    <n v="98215"/>
    <n v="452.4"/>
    <m/>
    <m/>
    <m/>
    <x v="534"/>
    <m/>
  </r>
  <r>
    <n v="3153"/>
    <x v="12"/>
    <s v="WHATS"/>
    <n v="98284"/>
    <n v="3143.7"/>
    <m/>
    <m/>
    <m/>
    <x v="534"/>
    <m/>
  </r>
  <r>
    <n v="2199"/>
    <x v="132"/>
    <s v="PLATAFORMA"/>
    <n v="103190"/>
    <n v="688.7"/>
    <m/>
    <m/>
    <m/>
    <x v="534"/>
    <m/>
  </r>
  <r>
    <n v="311"/>
    <x v="46"/>
    <s v="WHATS"/>
    <n v="103285"/>
    <n v="1416.35"/>
    <m/>
    <m/>
    <m/>
    <x v="534"/>
    <m/>
  </r>
  <r>
    <n v="50219"/>
    <x v="14"/>
    <s v="WHATS"/>
    <n v="98300"/>
    <n v="2835.05"/>
    <m/>
    <m/>
    <m/>
    <x v="535"/>
    <m/>
  </r>
  <r>
    <n v="501079"/>
    <x v="155"/>
    <s v="WHATS"/>
    <n v="98313"/>
    <n v="2696.5"/>
    <m/>
    <m/>
    <m/>
    <x v="535"/>
    <m/>
  </r>
  <r>
    <n v="761"/>
    <x v="24"/>
    <s v="WHATS"/>
    <s v="103297/97617"/>
    <n v="19891.79"/>
    <m/>
    <m/>
    <m/>
    <x v="535"/>
    <m/>
  </r>
  <r>
    <n v="980"/>
    <x v="80"/>
    <s v="WHATS"/>
    <n v="98203"/>
    <n v="261.17"/>
    <m/>
    <m/>
    <m/>
    <x v="536"/>
    <m/>
  </r>
  <r>
    <n v="50861"/>
    <x v="133"/>
    <s v="WHATS"/>
    <n v="98426"/>
    <n v="778"/>
    <m/>
    <m/>
    <m/>
    <x v="536"/>
    <m/>
  </r>
  <r>
    <n v="705"/>
    <x v="1"/>
    <s v="WHATS"/>
    <s v="98409/103311"/>
    <n v="615.70000000000005"/>
    <m/>
    <m/>
    <m/>
    <x v="536"/>
    <m/>
  </r>
  <r>
    <n v="746"/>
    <x v="3"/>
    <s v="WHATS"/>
    <s v="103317/98416"/>
    <n v="2550.2600000000002"/>
    <m/>
    <m/>
    <m/>
    <x v="536"/>
    <m/>
  </r>
  <r>
    <n v="618"/>
    <x v="26"/>
    <s v="WHATS"/>
    <n v="103308"/>
    <n v="327.75"/>
    <m/>
    <m/>
    <m/>
    <x v="536"/>
    <m/>
  </r>
  <r>
    <n v="501153"/>
    <x v="162"/>
    <s v="WHATS"/>
    <s v="98343/103302"/>
    <n v="6418.89"/>
    <m/>
    <m/>
    <m/>
    <x v="537"/>
    <m/>
  </r>
  <r>
    <n v="1493"/>
    <x v="21"/>
    <s v="WHATS"/>
    <n v="98150"/>
    <n v="528.74"/>
    <m/>
    <m/>
    <m/>
    <x v="537"/>
    <m/>
  </r>
  <r>
    <n v="501079"/>
    <x v="155"/>
    <s v="WHATS"/>
    <n v="98451"/>
    <n v="827.75"/>
    <m/>
    <m/>
    <m/>
    <x v="537"/>
    <m/>
  </r>
  <r>
    <n v="3194"/>
    <x v="18"/>
    <s v="WHATS"/>
    <n v="98447"/>
    <n v="961.44"/>
    <m/>
    <m/>
    <m/>
    <x v="537"/>
    <m/>
  </r>
  <r>
    <n v="501153"/>
    <x v="162"/>
    <s v="WHATS"/>
    <n v="98464"/>
    <n v="559"/>
    <m/>
    <m/>
    <m/>
    <x v="537"/>
    <m/>
  </r>
  <r>
    <n v="690"/>
    <x v="19"/>
    <s v="WHATS"/>
    <s v="97693/103326"/>
    <n v="2946.43"/>
    <m/>
    <m/>
    <m/>
    <x v="537"/>
    <m/>
  </r>
  <r>
    <n v="480"/>
    <x v="39"/>
    <s v="WHATS"/>
    <n v="97942"/>
    <n v="1281"/>
    <m/>
    <m/>
    <m/>
    <x v="537"/>
    <m/>
  </r>
  <r>
    <n v="1533"/>
    <x v="50"/>
    <s v="WHATS"/>
    <s v="98445/103329"/>
    <n v="303"/>
    <m/>
    <m/>
    <m/>
    <x v="537"/>
    <m/>
  </r>
  <r>
    <n v="1016"/>
    <x v="101"/>
    <s v="WHATS"/>
    <s v="103328/98477"/>
    <n v="3564.45"/>
    <m/>
    <m/>
    <m/>
    <x v="537"/>
    <m/>
  </r>
  <r>
    <n v="432"/>
    <x v="43"/>
    <s v="WHATS"/>
    <n v="97828"/>
    <n v="804.35"/>
    <m/>
    <m/>
    <m/>
    <x v="537"/>
    <m/>
  </r>
  <r>
    <n v="1026"/>
    <x v="7"/>
    <s v="WHATS"/>
    <n v="98497"/>
    <n v="1954.78"/>
    <m/>
    <m/>
    <m/>
    <x v="537"/>
    <m/>
  </r>
  <r>
    <n v="2199"/>
    <x v="132"/>
    <s v="PLATAFORMA"/>
    <s v="98039/98496/103333"/>
    <n v="12118.25"/>
    <m/>
    <m/>
    <m/>
    <x v="538"/>
    <s v="ENVIADO PARCIAL"/>
  </r>
  <r>
    <n v="2199"/>
    <x v="132"/>
    <s v="PLATAFORMA"/>
    <n v="98319"/>
    <n v="890"/>
    <m/>
    <m/>
    <m/>
    <x v="538"/>
    <m/>
  </r>
  <r>
    <n v="2199"/>
    <x v="132"/>
    <s v="PLATAFORMA"/>
    <n v="98583"/>
    <n v="968"/>
    <m/>
    <m/>
    <m/>
    <x v="538"/>
    <m/>
  </r>
  <r>
    <n v="3017"/>
    <x v="62"/>
    <s v="WHATS"/>
    <n v="98016"/>
    <n v="1082.24"/>
    <m/>
    <m/>
    <m/>
    <x v="539"/>
    <m/>
  </r>
  <r>
    <n v="1277"/>
    <x v="94"/>
    <s v="WHATS"/>
    <n v="98526"/>
    <n v="2660"/>
    <m/>
    <m/>
    <m/>
    <x v="539"/>
    <m/>
  </r>
  <r>
    <n v="1616"/>
    <x v="83"/>
    <s v="WHATS"/>
    <n v="98533"/>
    <n v="440.4"/>
    <m/>
    <m/>
    <m/>
    <x v="539"/>
    <m/>
  </r>
  <r>
    <n v="725"/>
    <x v="65"/>
    <s v="WHATS"/>
    <n v="98534"/>
    <n v="366.95"/>
    <m/>
    <m/>
    <m/>
    <x v="540"/>
    <m/>
  </r>
  <r>
    <n v="434"/>
    <x v="134"/>
    <s v="WHATS"/>
    <n v="98530"/>
    <n v="2589.69"/>
    <m/>
    <m/>
    <m/>
    <x v="540"/>
    <m/>
  </r>
  <r>
    <n v="171"/>
    <x v="70"/>
    <s v="WHATS"/>
    <n v="97888"/>
    <n v="2888.4"/>
    <m/>
    <m/>
    <m/>
    <x v="540"/>
    <m/>
  </r>
  <r>
    <n v="501160"/>
    <x v="94"/>
    <s v="WHATS"/>
    <n v="98559"/>
    <n v="4662.6000000000004"/>
    <m/>
    <m/>
    <m/>
    <x v="540"/>
    <m/>
  </r>
  <r>
    <n v="708"/>
    <x v="56"/>
    <s v="WHATS"/>
    <n v="98563"/>
    <n v="1653.83"/>
    <m/>
    <m/>
    <m/>
    <x v="540"/>
    <m/>
  </r>
  <r>
    <n v="823"/>
    <x v="17"/>
    <s v="WHATS"/>
    <n v="97830"/>
    <n v="1368"/>
    <m/>
    <m/>
    <m/>
    <x v="540"/>
    <m/>
  </r>
  <r>
    <n v="1234"/>
    <x v="153"/>
    <s v="WHATS"/>
    <n v="98431"/>
    <n v="550.6"/>
    <m/>
    <m/>
    <m/>
    <x v="540"/>
    <m/>
  </r>
  <r>
    <n v="325"/>
    <x v="97"/>
    <s v="WHATS"/>
    <n v="98568"/>
    <n v="728"/>
    <m/>
    <m/>
    <m/>
    <x v="540"/>
    <m/>
  </r>
  <r>
    <n v="581"/>
    <x v="74"/>
    <s v="WHATS"/>
    <s v="103330/98579"/>
    <n v="2930.15"/>
    <m/>
    <m/>
    <m/>
    <x v="540"/>
    <m/>
  </r>
  <r>
    <n v="480"/>
    <x v="39"/>
    <s v="WHATS"/>
    <n v="98591"/>
    <n v="5346.67"/>
    <m/>
    <m/>
    <m/>
    <x v="538"/>
    <m/>
  </r>
  <r>
    <n v="1842"/>
    <x v="47"/>
    <s v="WHATS"/>
    <n v="98356"/>
    <n v="903.45"/>
    <m/>
    <m/>
    <m/>
    <x v="538"/>
    <m/>
  </r>
  <r>
    <n v="325"/>
    <x v="97"/>
    <s v="WHATS"/>
    <s v="103341/98589"/>
    <n v="1471.45"/>
    <m/>
    <m/>
    <m/>
    <x v="538"/>
    <m/>
  </r>
  <r>
    <n v="311"/>
    <x v="46"/>
    <s v="WHATS"/>
    <n v="98641"/>
    <n v="296"/>
    <m/>
    <m/>
    <m/>
    <x v="541"/>
    <m/>
  </r>
  <r>
    <n v="463"/>
    <x v="32"/>
    <s v="WHATS"/>
    <n v="98642"/>
    <n v="1059.75"/>
    <m/>
    <m/>
    <m/>
    <x v="541"/>
    <m/>
  </r>
  <r>
    <n v="311"/>
    <x v="46"/>
    <s v="WHATS"/>
    <n v="98685"/>
    <n v="320"/>
    <m/>
    <m/>
    <m/>
    <x v="541"/>
    <m/>
  </r>
  <r>
    <n v="501153"/>
    <x v="162"/>
    <s v="WHATS"/>
    <s v="103347/98393"/>
    <n v="378"/>
    <m/>
    <m/>
    <m/>
    <x v="542"/>
    <m/>
  </r>
  <r>
    <n v="1989"/>
    <x v="67"/>
    <s v="EMAIL"/>
    <n v="98392"/>
    <n v="616.03"/>
    <m/>
    <m/>
    <m/>
    <x v="542"/>
    <m/>
  </r>
  <r>
    <n v="761"/>
    <x v="24"/>
    <s v="WHATS"/>
    <n v="98704"/>
    <n v="6371.84"/>
    <m/>
    <m/>
    <m/>
    <x v="542"/>
    <m/>
  </r>
  <r>
    <n v="475"/>
    <x v="23"/>
    <s v="WHATS"/>
    <s v="103365/98695"/>
    <n v="12730.59"/>
    <m/>
    <m/>
    <m/>
    <x v="542"/>
    <m/>
  </r>
  <r>
    <n v="311"/>
    <x v="46"/>
    <s v="WHATS"/>
    <n v="98723"/>
    <m/>
    <m/>
    <n v="6480"/>
    <m/>
    <x v="543"/>
    <m/>
  </r>
  <r>
    <n v="500982"/>
    <x v="152"/>
    <s v="WHATS"/>
    <n v="98713"/>
    <n v="1189.95"/>
    <m/>
    <n v="6850"/>
    <m/>
    <x v="542"/>
    <s v="tem coluna"/>
  </r>
  <r>
    <n v="3190"/>
    <x v="60"/>
    <s v="WHATS"/>
    <s v="103349/98609"/>
    <n v="706.7"/>
    <m/>
    <m/>
    <m/>
    <x v="544"/>
    <m/>
  </r>
  <r>
    <n v="501156"/>
    <x v="163"/>
    <s v="EMAIL"/>
    <n v="98371"/>
    <n v="3920"/>
    <m/>
    <m/>
    <m/>
    <x v="544"/>
    <m/>
  </r>
  <r>
    <n v="3441"/>
    <x v="132"/>
    <s v="PLATAFORMA"/>
    <n v="98737"/>
    <n v="672"/>
    <m/>
    <m/>
    <m/>
    <x v="544"/>
    <m/>
  </r>
  <r>
    <n v="2415"/>
    <x v="63"/>
    <s v="WHATS"/>
    <n v="98745"/>
    <n v="648"/>
    <m/>
    <m/>
    <m/>
    <x v="544"/>
    <m/>
  </r>
  <r>
    <n v="2752"/>
    <x v="120"/>
    <s v="WHATS"/>
    <n v="98750"/>
    <n v="96"/>
    <m/>
    <m/>
    <m/>
    <x v="544"/>
    <m/>
  </r>
  <r>
    <n v="311"/>
    <x v="46"/>
    <s v="WHATS"/>
    <n v="103285"/>
    <n v="1732.95"/>
    <m/>
    <m/>
    <m/>
    <x v="544"/>
    <m/>
  </r>
  <r>
    <n v="663"/>
    <x v="116"/>
    <s v="WHATS"/>
    <s v="98756/103375"/>
    <n v="2539.4"/>
    <m/>
    <m/>
    <m/>
    <x v="544"/>
    <m/>
  </r>
  <r>
    <n v="50418"/>
    <x v="35"/>
    <s v="WHATS"/>
    <n v="98773"/>
    <n v="1282.8"/>
    <m/>
    <m/>
    <m/>
    <x v="544"/>
    <m/>
  </r>
  <r>
    <n v="51182"/>
    <x v="146"/>
    <s v="WHATS"/>
    <s v="98806/98786"/>
    <n v="557.79999999999995"/>
    <m/>
    <n v="1899"/>
    <m/>
    <x v="545"/>
    <m/>
  </r>
  <r>
    <n v="704"/>
    <x v="49"/>
    <s v="WHATS"/>
    <s v="96651/103299"/>
    <n v="1166.55"/>
    <m/>
    <m/>
    <m/>
    <x v="545"/>
    <m/>
  </r>
  <r>
    <n v="408"/>
    <x v="142"/>
    <s v="WHATS"/>
    <n v="98086"/>
    <n v="1540"/>
    <m/>
    <m/>
    <m/>
    <x v="546"/>
    <m/>
  </r>
  <r>
    <n v="1164"/>
    <x v="58"/>
    <s v="WHATS"/>
    <n v="98835"/>
    <n v="1714.09"/>
    <m/>
    <m/>
    <m/>
    <x v="546"/>
    <m/>
  </r>
  <r>
    <n v="761"/>
    <x v="24"/>
    <s v="WHATS"/>
    <n v="98297"/>
    <n v="3391.99"/>
    <m/>
    <m/>
    <m/>
    <x v="546"/>
    <m/>
  </r>
  <r>
    <n v="500243"/>
    <x v="110"/>
    <s v="WHATS"/>
    <n v="98443"/>
    <n v="922.11"/>
    <m/>
    <m/>
    <m/>
    <x v="547"/>
    <m/>
  </r>
  <r>
    <n v="2199"/>
    <x v="132"/>
    <s v="PLATAFORMA"/>
    <n v="98877"/>
    <m/>
    <m/>
    <n v="1450"/>
    <m/>
    <x v="547"/>
    <m/>
  </r>
  <r>
    <n v="874"/>
    <x v="53"/>
    <s v="WHATS"/>
    <n v="98891"/>
    <n v="3446.32"/>
    <m/>
    <m/>
    <m/>
    <x v="547"/>
    <m/>
  </r>
  <r>
    <n v="708"/>
    <x v="56"/>
    <s v="WHATS"/>
    <n v="98883"/>
    <n v="508"/>
    <m/>
    <m/>
    <m/>
    <x v="547"/>
    <m/>
  </r>
  <r>
    <n v="516"/>
    <x v="11"/>
    <s v="WHATS"/>
    <n v="98826"/>
    <n v="14222.29"/>
    <m/>
    <m/>
    <m/>
    <x v="547"/>
    <m/>
  </r>
  <r>
    <n v="620"/>
    <x v="69"/>
    <s v="WHATS"/>
    <s v="103398/98865"/>
    <n v="1449.15"/>
    <m/>
    <m/>
    <m/>
    <x v="547"/>
    <m/>
  </r>
  <r>
    <n v="3557"/>
    <x v="139"/>
    <s v="WHATS"/>
    <n v="98931"/>
    <n v="6250"/>
    <m/>
    <m/>
    <m/>
    <x v="548"/>
    <m/>
  </r>
  <r>
    <n v="412"/>
    <x v="90"/>
    <s v="WHATS"/>
    <n v="98931"/>
    <n v="655.07000000000005"/>
    <m/>
    <m/>
    <m/>
    <x v="548"/>
    <m/>
  </r>
  <r>
    <n v="2415"/>
    <x v="63"/>
    <s v="WHATS"/>
    <n v="98882"/>
    <n v="1118.2"/>
    <m/>
    <m/>
    <m/>
    <x v="548"/>
    <m/>
  </r>
  <r>
    <n v="2022"/>
    <x v="28"/>
    <s v="WHATS"/>
    <n v="98872"/>
    <n v="210.6"/>
    <m/>
    <m/>
    <m/>
    <x v="548"/>
    <m/>
  </r>
  <r>
    <n v="784"/>
    <x v="13"/>
    <s v="WHATS"/>
    <n v="98960"/>
    <n v="2948.2"/>
    <m/>
    <m/>
    <m/>
    <x v="548"/>
    <m/>
  </r>
  <r>
    <n v="761"/>
    <x v="24"/>
    <s v="WHATS"/>
    <n v="98988"/>
    <n v="21344.31"/>
    <m/>
    <m/>
    <m/>
    <x v="549"/>
    <m/>
  </r>
  <r>
    <n v="500982"/>
    <x v="152"/>
    <s v="WHATS"/>
    <n v="98982"/>
    <n v="1471.54"/>
    <m/>
    <m/>
    <m/>
    <x v="550"/>
    <m/>
  </r>
  <r>
    <n v="2199"/>
    <x v="132"/>
    <s v="WHATS"/>
    <n v="99012"/>
    <n v="2207"/>
    <m/>
    <m/>
    <m/>
    <x v="550"/>
    <m/>
  </r>
  <r>
    <n v="1493"/>
    <x v="21"/>
    <s v="WHATS"/>
    <n v="98456"/>
    <n v="712.8"/>
    <m/>
    <m/>
    <m/>
    <x v="551"/>
    <m/>
  </r>
  <r>
    <n v="2199"/>
    <x v="132"/>
    <s v="WHATS"/>
    <n v="99066"/>
    <n v="112"/>
    <m/>
    <m/>
    <m/>
    <x v="549"/>
    <m/>
  </r>
  <r>
    <n v="3492"/>
    <x v="132"/>
    <s v="PLATAFORMA"/>
    <s v="99073/99095"/>
    <n v="353.8"/>
    <m/>
    <m/>
    <m/>
    <x v="549"/>
    <m/>
  </r>
  <r>
    <n v="2199"/>
    <x v="132"/>
    <s v="WHATS"/>
    <n v="103437"/>
    <n v="115.5"/>
    <m/>
    <m/>
    <m/>
    <x v="549"/>
    <m/>
  </r>
  <r>
    <n v="1534"/>
    <x v="104"/>
    <s v="WHATS"/>
    <n v="99086"/>
    <n v="88"/>
    <m/>
    <m/>
    <m/>
    <x v="543"/>
    <m/>
  </r>
  <r>
    <n v="500005"/>
    <x v="102"/>
    <s v="WHATS"/>
    <n v="99102"/>
    <m/>
    <m/>
    <n v="4590"/>
    <m/>
    <x v="543"/>
    <m/>
  </r>
  <r>
    <n v="1813"/>
    <x v="48"/>
    <s v="WHATS"/>
    <n v="99109"/>
    <n v="1299.7"/>
    <m/>
    <m/>
    <m/>
    <x v="543"/>
    <m/>
  </r>
  <r>
    <n v="762"/>
    <x v="41"/>
    <s v="WHATS"/>
    <n v="98754"/>
    <n v="4121.1000000000004"/>
    <m/>
    <m/>
    <m/>
    <x v="552"/>
    <m/>
  </r>
  <r>
    <n v="50936"/>
    <x v="93"/>
    <s v="WHATS"/>
    <n v="99153"/>
    <n v="850"/>
    <m/>
    <m/>
    <m/>
    <x v="552"/>
    <m/>
  </r>
  <r>
    <n v="408"/>
    <x v="142"/>
    <s v="WHATS"/>
    <s v="103449/99149"/>
    <n v="2649.8"/>
    <m/>
    <m/>
    <m/>
    <x v="552"/>
    <m/>
  </r>
  <r>
    <n v="2911"/>
    <x v="15"/>
    <s v="WHATS"/>
    <s v="103435/99077"/>
    <n v="2532.1999999999998"/>
    <m/>
    <m/>
    <m/>
    <x v="553"/>
    <m/>
  </r>
  <r>
    <n v="1234"/>
    <x v="153"/>
    <s v="WHATS"/>
    <n v="99138"/>
    <n v="1049"/>
    <m/>
    <m/>
    <m/>
    <x v="552"/>
    <m/>
  </r>
  <r>
    <n v="1616"/>
    <x v="83"/>
    <s v="WHATS"/>
    <n v="99140"/>
    <n v="696"/>
    <m/>
    <m/>
    <m/>
    <x v="552"/>
    <m/>
  </r>
  <r>
    <n v="2980"/>
    <x v="40"/>
    <s v="WHATS"/>
    <s v="99143/103442"/>
    <n v="1494.17"/>
    <m/>
    <m/>
    <m/>
    <x v="552"/>
    <m/>
  </r>
  <r>
    <n v="906"/>
    <x v="27"/>
    <s v="WHATS"/>
    <s v="99104/103441"/>
    <n v="950.68"/>
    <m/>
    <m/>
    <m/>
    <x v="552"/>
    <m/>
  </r>
  <r>
    <n v="3240"/>
    <x v="75"/>
    <s v="WHATS"/>
    <s v="103446/99135"/>
    <n v="414"/>
    <m/>
    <m/>
    <m/>
    <x v="552"/>
    <m/>
  </r>
  <r>
    <n v="822"/>
    <x v="66"/>
    <s v="WHATS"/>
    <s v="99122/103445"/>
    <n v="3158.63"/>
    <m/>
    <m/>
    <m/>
    <x v="553"/>
    <m/>
  </r>
  <r>
    <n v="3492"/>
    <x v="132"/>
    <s v="WHATS"/>
    <n v="103434"/>
    <n v="96"/>
    <m/>
    <m/>
    <m/>
    <x v="553"/>
    <m/>
  </r>
  <r>
    <n v="2199"/>
    <x v="132"/>
    <s v="WHATS"/>
    <s v="103426/103461/99211"/>
    <n v="1306.3499999999999"/>
    <m/>
    <m/>
    <m/>
    <x v="553"/>
    <m/>
  </r>
  <r>
    <n v="3017"/>
    <x v="62"/>
    <s v="WHATS"/>
    <n v="99233"/>
    <n v="704.7"/>
    <m/>
    <m/>
    <m/>
    <x v="553"/>
    <m/>
  </r>
  <r>
    <n v="687"/>
    <x v="16"/>
    <s v="WHATS"/>
    <s v="99238/103468"/>
    <n v="924.3"/>
    <m/>
    <m/>
    <m/>
    <x v="553"/>
    <m/>
  </r>
  <r>
    <n v="50418"/>
    <x v="35"/>
    <s v="WHATS"/>
    <n v="99210"/>
    <n v="351.33"/>
    <m/>
    <m/>
    <m/>
    <x v="553"/>
    <m/>
  </r>
  <r>
    <n v="50861"/>
    <x v="133"/>
    <s v="WHATS"/>
    <n v="99231"/>
    <n v="647"/>
    <m/>
    <m/>
    <m/>
    <x v="553"/>
    <m/>
  </r>
  <r>
    <n v="960"/>
    <x v="30"/>
    <s v="WHATS"/>
    <s v="99245/103471"/>
    <n v="962.38"/>
    <m/>
    <m/>
    <m/>
    <x v="553"/>
    <m/>
  </r>
  <r>
    <n v="2415"/>
    <x v="63"/>
    <s v="WHATS"/>
    <n v="99253"/>
    <n v="912.8"/>
    <m/>
    <m/>
    <m/>
    <x v="554"/>
    <m/>
  </r>
  <r>
    <n v="3153"/>
    <x v="12"/>
    <s v="WHATS"/>
    <n v="99314"/>
    <n v="3424.8"/>
    <m/>
    <m/>
    <m/>
    <x v="555"/>
    <m/>
  </r>
  <r>
    <n v="50219"/>
    <x v="14"/>
    <s v="WHATS"/>
    <s v="99273/103472"/>
    <n v="1828.4"/>
    <m/>
    <m/>
    <m/>
    <x v="555"/>
    <m/>
  </r>
  <r>
    <n v="2702"/>
    <x v="73"/>
    <s v="WHATS"/>
    <n v="99288"/>
    <n v="3446.7"/>
    <m/>
    <m/>
    <m/>
    <x v="555"/>
    <m/>
  </r>
  <r>
    <n v="311"/>
    <x v="46"/>
    <s v="WHATS"/>
    <s v="103287/99341"/>
    <n v="1226.4000000000001"/>
    <m/>
    <m/>
    <m/>
    <x v="555"/>
    <m/>
  </r>
  <r>
    <n v="50558"/>
    <x v="2"/>
    <s v="WHATS"/>
    <n v="99017"/>
    <n v="811.96"/>
    <m/>
    <m/>
    <m/>
    <x v="555"/>
    <m/>
  </r>
  <r>
    <n v="2022"/>
    <x v="28"/>
    <s v="EMAIL"/>
    <n v="99081"/>
    <n v="741.19"/>
    <m/>
    <m/>
    <m/>
    <x v="555"/>
    <m/>
  </r>
  <r>
    <n v="3153"/>
    <x v="12"/>
    <s v="WHATS"/>
    <n v="99368"/>
    <n v="1530"/>
    <m/>
    <m/>
    <m/>
    <x v="556"/>
    <m/>
  </r>
  <r>
    <n v="2199"/>
    <x v="132"/>
    <s v="PLATAFORMA"/>
    <n v="99190"/>
    <n v="672"/>
    <m/>
    <m/>
    <m/>
    <x v="556"/>
    <m/>
  </r>
  <r>
    <n v="50465"/>
    <x v="96"/>
    <s v="WHATS"/>
    <n v="99369"/>
    <n v="1717.63"/>
    <m/>
    <m/>
    <m/>
    <x v="556"/>
    <m/>
  </r>
  <r>
    <n v="620"/>
    <x v="69"/>
    <s v="WHATS"/>
    <n v="98145"/>
    <n v="1082.56"/>
    <m/>
    <m/>
    <m/>
    <x v="556"/>
    <m/>
  </r>
  <r>
    <n v="2022"/>
    <x v="28"/>
    <s v="WHATS"/>
    <n v="99390"/>
    <n v="120"/>
    <m/>
    <m/>
    <m/>
    <x v="556"/>
    <m/>
  </r>
  <r>
    <n v="2415"/>
    <x v="63"/>
    <s v="WHATS"/>
    <n v="99398"/>
    <n v="375.6"/>
    <m/>
    <m/>
    <m/>
    <x v="556"/>
    <m/>
  </r>
  <r>
    <n v="516"/>
    <x v="11"/>
    <s v="WHATS"/>
    <n v="99289"/>
    <n v="493.45"/>
    <m/>
    <m/>
    <m/>
    <x v="556"/>
    <m/>
  </r>
  <r>
    <n v="1164"/>
    <x v="58"/>
    <s v="WHATS"/>
    <s v="103502/99411"/>
    <n v="466.59"/>
    <m/>
    <m/>
    <m/>
    <x v="556"/>
    <s v="ENVIAR AMANHA"/>
  </r>
  <r>
    <n v="432"/>
    <x v="43"/>
    <s v="WHATS"/>
    <n v="99429"/>
    <n v="110.25"/>
    <m/>
    <m/>
    <m/>
    <x v="556"/>
    <m/>
  </r>
  <r>
    <n v="1371"/>
    <x v="119"/>
    <s v="WHATS"/>
    <n v="99426"/>
    <n v="1172.8"/>
    <m/>
    <m/>
    <m/>
    <x v="557"/>
    <m/>
  </r>
  <r>
    <n v="501153"/>
    <x v="162"/>
    <s v="WHATS"/>
    <s v="99342/103490"/>
    <n v="7635.08"/>
    <m/>
    <m/>
    <m/>
    <x v="557"/>
    <m/>
  </r>
  <r>
    <n v="1616"/>
    <x v="83"/>
    <s v="WHATS"/>
    <s v="103484/99331"/>
    <n v="1150.9000000000001"/>
    <m/>
    <m/>
    <m/>
    <x v="557"/>
    <m/>
  </r>
  <r>
    <n v="761"/>
    <x v="24"/>
    <s v="WHATS"/>
    <n v="99460"/>
    <n v="1286.8"/>
    <m/>
    <m/>
    <m/>
    <x v="557"/>
    <m/>
  </r>
  <r>
    <n v="1971"/>
    <x v="29"/>
    <s v="WHATS"/>
    <n v="99481"/>
    <n v="333.6"/>
    <m/>
    <m/>
    <m/>
    <x v="558"/>
    <m/>
  </r>
  <r>
    <n v="708"/>
    <x v="56"/>
    <s v="WHATS"/>
    <n v="99484"/>
    <n v="8348"/>
    <m/>
    <m/>
    <m/>
    <x v="558"/>
    <m/>
  </r>
  <r>
    <n v="2199"/>
    <x v="132"/>
    <s v="WHATS"/>
    <n v="99471"/>
    <n v="672"/>
    <m/>
    <m/>
    <m/>
    <x v="558"/>
    <s v="ENVIAR SEGUNDA FEIRA"/>
  </r>
  <r>
    <n v="500888"/>
    <x v="164"/>
    <s v="WHATS"/>
    <n v="99380"/>
    <m/>
    <m/>
    <n v="5500"/>
    <m/>
    <x v="558"/>
    <s v="PAGO-  AGUARDANDO VIR RETIRAR "/>
  </r>
  <r>
    <n v="500507"/>
    <x v="148"/>
    <s v="WHATS"/>
    <n v="99274"/>
    <n v="607.65"/>
    <m/>
    <m/>
    <m/>
    <x v="558"/>
    <m/>
  </r>
  <r>
    <n v="501070"/>
    <x v="155"/>
    <s v="WHATS"/>
    <n v="99326"/>
    <n v="451.2"/>
    <m/>
    <m/>
    <m/>
    <x v="558"/>
    <m/>
  </r>
  <r>
    <n v="501078"/>
    <x v="155"/>
    <s v="WHATS"/>
    <n v="99323"/>
    <n v="420.65"/>
    <m/>
    <m/>
    <m/>
    <x v="558"/>
    <m/>
  </r>
  <r>
    <n v="501054"/>
    <x v="155"/>
    <s v="WHATS"/>
    <n v="99277"/>
    <n v="1984.75"/>
    <m/>
    <m/>
    <m/>
    <x v="558"/>
    <m/>
  </r>
  <r>
    <n v="501079"/>
    <x v="155"/>
    <s v="WHATS"/>
    <n v="99324"/>
    <n v="2251.88"/>
    <m/>
    <m/>
    <m/>
    <x v="558"/>
    <m/>
  </r>
  <r>
    <n v="475"/>
    <x v="23"/>
    <s v="WHATS"/>
    <s v="98378/103370"/>
    <n v="5387.46"/>
    <m/>
    <m/>
    <m/>
    <x v="558"/>
    <m/>
  </r>
  <r>
    <n v="412"/>
    <x v="90"/>
    <s v="WHATS"/>
    <n v="99539"/>
    <n v="834"/>
    <m/>
    <m/>
    <m/>
    <x v="559"/>
    <m/>
  </r>
  <r>
    <n v="1616"/>
    <x v="83"/>
    <s v="WHATS"/>
    <n v="99534"/>
    <n v="605.6"/>
    <m/>
    <m/>
    <m/>
    <x v="559"/>
    <m/>
  </r>
  <r>
    <n v="2022"/>
    <x v="28"/>
    <s v="WHATS"/>
    <n v="99419"/>
    <n v="281.38"/>
    <m/>
    <m/>
    <m/>
    <x v="560"/>
    <m/>
  </r>
  <r>
    <n v="1905"/>
    <x v="107"/>
    <s v="WHATS"/>
    <n v="99581"/>
    <n v="813.1"/>
    <m/>
    <m/>
    <m/>
    <x v="560"/>
    <m/>
  </r>
  <r>
    <n v="3194"/>
    <x v="18"/>
    <s v="WHATS"/>
    <n v="99538"/>
    <n v="862"/>
    <m/>
    <m/>
    <m/>
    <x v="560"/>
    <m/>
  </r>
  <r>
    <n v="197"/>
    <x v="99"/>
    <s v="WHATS"/>
    <n v="99590"/>
    <n v="682.1"/>
    <m/>
    <m/>
    <m/>
    <x v="560"/>
    <m/>
  </r>
  <r>
    <n v="501153"/>
    <x v="162"/>
    <s v="WHATS"/>
    <n v="98945"/>
    <n v="189"/>
    <m/>
    <m/>
    <m/>
    <x v="560"/>
    <m/>
  </r>
  <r>
    <n v="1989"/>
    <x v="67"/>
    <s v="WHATS"/>
    <n v="98946"/>
    <n v="616.03"/>
    <m/>
    <m/>
    <m/>
    <x v="560"/>
    <m/>
  </r>
  <r>
    <n v="690"/>
    <x v="19"/>
    <s v="WHATS"/>
    <s v="103524/99523"/>
    <n v="2970.7"/>
    <m/>
    <m/>
    <m/>
    <x v="560"/>
    <m/>
  </r>
  <r>
    <n v="581"/>
    <x v="74"/>
    <s v="WHATS"/>
    <n v="99467"/>
    <n v="735.35"/>
    <m/>
    <m/>
    <m/>
    <x v="561"/>
    <m/>
  </r>
  <r>
    <n v="311"/>
    <x v="46"/>
    <s v="WHATS"/>
    <n v="99620"/>
    <n v="386"/>
    <m/>
    <m/>
    <m/>
    <x v="561"/>
    <m/>
  </r>
  <r>
    <n v="761"/>
    <x v="24"/>
    <s v="WHATS"/>
    <n v="98852"/>
    <n v="2356.12"/>
    <m/>
    <m/>
    <m/>
    <x v="561"/>
    <m/>
  </r>
  <r>
    <n v="1493"/>
    <x v="21"/>
    <s v="WHATS"/>
    <n v="99592"/>
    <n v="589.96"/>
    <m/>
    <m/>
    <m/>
    <x v="561"/>
    <m/>
  </r>
  <r>
    <n v="874"/>
    <x v="53"/>
    <s v="WHATS"/>
    <n v="99641"/>
    <n v="2094.1999999999998"/>
    <m/>
    <m/>
    <m/>
    <x v="561"/>
    <m/>
  </r>
  <r>
    <n v="1240"/>
    <x v="25"/>
    <s v="WHATS"/>
    <n v="99552"/>
    <n v="2023.8"/>
    <m/>
    <m/>
    <m/>
    <x v="561"/>
    <m/>
  </r>
  <r>
    <n v="1122"/>
    <x v="87"/>
    <s v="WHATS"/>
    <n v="99656"/>
    <n v="2030"/>
    <m/>
    <m/>
    <m/>
    <x v="561"/>
    <m/>
  </r>
  <r>
    <n v="823"/>
    <x v="17"/>
    <s v="WHATS"/>
    <n v="99537"/>
    <n v="6740.32"/>
    <m/>
    <m/>
    <m/>
    <x v="562"/>
    <m/>
  </r>
  <r>
    <n v="2199"/>
    <x v="132"/>
    <s v="WHATS"/>
    <s v="103552/99685"/>
    <n v="3201.9"/>
    <m/>
    <m/>
    <m/>
    <x v="562"/>
    <m/>
  </r>
  <r>
    <n v="500982"/>
    <x v="152"/>
    <s v="WHATS"/>
    <n v="99695"/>
    <n v="1934.6"/>
    <m/>
    <m/>
    <m/>
    <x v="562"/>
    <m/>
  </r>
  <r>
    <n v="501070"/>
    <x v="155"/>
    <s v="WHATS"/>
    <n v="99731"/>
    <n v="1238.05"/>
    <m/>
    <m/>
    <m/>
    <x v="563"/>
    <m/>
  </r>
  <r>
    <n v="501033"/>
    <x v="155"/>
    <s v="WHATS"/>
    <n v="99565"/>
    <n v="1167"/>
    <m/>
    <m/>
    <m/>
    <x v="563"/>
    <m/>
  </r>
  <r>
    <n v="501035"/>
    <x v="155"/>
    <s v="WHATS"/>
    <n v="99727"/>
    <n v="1008"/>
    <m/>
    <m/>
    <m/>
    <x v="563"/>
    <m/>
  </r>
  <r>
    <n v="2199"/>
    <x v="132"/>
    <s v="WHATS"/>
    <s v="98838/99667"/>
    <n v="4865.25"/>
    <m/>
    <m/>
    <m/>
    <x v="563"/>
    <s v="ENVIAR SEGUNDA FEIRA URGENCIA "/>
  </r>
  <r>
    <n v="1234"/>
    <x v="153"/>
    <s v="WHATS"/>
    <n v="99748"/>
    <n v="1232"/>
    <m/>
    <m/>
    <m/>
    <x v="563"/>
    <m/>
  </r>
  <r>
    <n v="784"/>
    <x v="13"/>
    <s v="WHATS"/>
    <n v="99756"/>
    <n v="58"/>
    <m/>
    <m/>
    <m/>
    <x v="563"/>
    <m/>
  </r>
  <r>
    <n v="1277"/>
    <x v="94"/>
    <s v="WHATS"/>
    <n v="99758"/>
    <n v="1751.8"/>
    <m/>
    <m/>
    <m/>
    <x v="563"/>
    <m/>
  </r>
  <r>
    <n v="1016"/>
    <x v="101"/>
    <s v="WHATS"/>
    <n v="99767"/>
    <n v="2182.5"/>
    <m/>
    <m/>
    <m/>
    <x v="563"/>
    <m/>
  </r>
  <r>
    <n v="3492"/>
    <x v="132"/>
    <s v="PLATAFORMA"/>
    <s v="99718/99670"/>
    <n v="510.5"/>
    <m/>
    <m/>
    <m/>
    <x v="563"/>
    <m/>
  </r>
  <r>
    <n v="501173"/>
    <x v="165"/>
    <s v="WHATS"/>
    <n v="98623"/>
    <n v="499"/>
    <m/>
    <m/>
    <m/>
    <x v="564"/>
    <m/>
  </r>
  <r>
    <n v="501160"/>
    <x v="94"/>
    <s v="WHATS"/>
    <n v="99778"/>
    <n v="410.78"/>
    <m/>
    <m/>
    <m/>
    <x v="564"/>
    <m/>
  </r>
  <r>
    <n v="3557"/>
    <x v="139"/>
    <s v="WHATS"/>
    <n v="99470"/>
    <n v="5000"/>
    <m/>
    <m/>
    <m/>
    <x v="564"/>
    <m/>
  </r>
  <r>
    <n v="432"/>
    <x v="43"/>
    <s v="WHATS"/>
    <n v="103546"/>
    <n v="534.75"/>
    <m/>
    <m/>
    <m/>
    <x v="564"/>
    <m/>
  </r>
  <r>
    <n v="500202"/>
    <x v="132"/>
    <s v="WHATS"/>
    <n v="99676"/>
    <n v="540"/>
    <m/>
    <m/>
    <m/>
    <x v="564"/>
    <m/>
  </r>
  <r>
    <n v="51061"/>
    <x v="138"/>
    <s v="WHATS"/>
    <n v="99768"/>
    <n v="592.5"/>
    <m/>
    <m/>
    <m/>
    <x v="564"/>
    <m/>
  </r>
  <r>
    <n v="51175"/>
    <x v="79"/>
    <s v="WHATS"/>
    <n v="99804"/>
    <m/>
    <m/>
    <n v="1731.5"/>
    <m/>
    <x v="564"/>
    <m/>
  </r>
  <r>
    <n v="50185"/>
    <x v="105"/>
    <s v="WHATS"/>
    <n v="99810"/>
    <n v="143.35"/>
    <m/>
    <m/>
    <m/>
    <x v="564"/>
    <m/>
  </r>
  <r>
    <n v="705"/>
    <x v="1"/>
    <s v="WHATS"/>
    <n v="99829"/>
    <n v="1334"/>
    <m/>
    <m/>
    <m/>
    <x v="565"/>
    <m/>
  </r>
  <r>
    <n v="50558"/>
    <x v="2"/>
    <s v="WHATS"/>
    <n v="99362"/>
    <n v="1623.92"/>
    <m/>
    <m/>
    <m/>
    <x v="565"/>
    <m/>
  </r>
  <r>
    <n v="516"/>
    <x v="11"/>
    <s v="EMAIL"/>
    <n v="97747"/>
    <n v="6270.14"/>
    <m/>
    <m/>
    <m/>
    <x v="566"/>
    <m/>
  </r>
  <r>
    <n v="3017"/>
    <x v="62"/>
    <s v="WHATS"/>
    <n v="99861"/>
    <n v="705.8"/>
    <m/>
    <m/>
    <m/>
    <x v="566"/>
    <m/>
  </r>
  <r>
    <n v="572"/>
    <x v="51"/>
    <s v="WHATS"/>
    <n v="97985"/>
    <n v="915.05"/>
    <m/>
    <m/>
    <m/>
    <x v="566"/>
    <m/>
  </r>
  <r>
    <n v="1652"/>
    <x v="61"/>
    <s v="WHATS"/>
    <n v="103539"/>
    <n v="733.57"/>
    <m/>
    <m/>
    <m/>
    <x v="567"/>
    <m/>
  </r>
  <r>
    <n v="480"/>
    <x v="39"/>
    <s v="WHATS"/>
    <s v="103585/99874"/>
    <n v="1255.75"/>
    <m/>
    <m/>
    <m/>
    <x v="567"/>
    <m/>
  </r>
  <r>
    <n v="761"/>
    <x v="24"/>
    <s v="WHATS"/>
    <s v="99792/103578"/>
    <n v="1371.83"/>
    <m/>
    <m/>
    <m/>
    <x v="567"/>
    <m/>
  </r>
  <r>
    <n v="2415"/>
    <x v="63"/>
    <s v="WHATS"/>
    <n v="99357"/>
    <n v="487.5"/>
    <m/>
    <m/>
    <m/>
    <x v="567"/>
    <m/>
  </r>
  <r>
    <n v="1164"/>
    <x v="58"/>
    <s v="WHATS"/>
    <s v="99683/103556"/>
    <n v="1452.19"/>
    <m/>
    <m/>
    <m/>
    <x v="567"/>
    <m/>
  </r>
  <r>
    <n v="906"/>
    <x v="27"/>
    <s v="WHATS"/>
    <s v="103529/98823"/>
    <n v="1648.53"/>
    <m/>
    <m/>
    <m/>
    <x v="568"/>
    <m/>
  </r>
  <r>
    <n v="822"/>
    <x v="66"/>
    <s v="WHATS"/>
    <s v="99937/103587"/>
    <n v="702.85"/>
    <m/>
    <m/>
    <m/>
    <x v="568"/>
    <m/>
  </r>
  <r>
    <n v="1813"/>
    <x v="48"/>
    <s v="EMAIL"/>
    <n v="99993"/>
    <n v="934.61"/>
    <m/>
    <m/>
    <m/>
    <x v="568"/>
    <m/>
  </r>
  <r>
    <n v="690"/>
    <x v="19"/>
    <s v="WHATS"/>
    <s v="99524/103525"/>
    <n v="2331.5"/>
    <m/>
    <m/>
    <m/>
    <x v="568"/>
    <m/>
  </r>
  <r>
    <n v="475"/>
    <x v="23"/>
    <s v="WHATS"/>
    <s v="103520/99497"/>
    <n v="7600.66"/>
    <m/>
    <m/>
    <m/>
    <x v="568"/>
    <m/>
  </r>
  <r>
    <n v="501266"/>
    <x v="166"/>
    <s v="WHATS"/>
    <n v="99900"/>
    <n v="12152.27"/>
    <m/>
    <m/>
    <m/>
    <x v="568"/>
    <m/>
  </r>
  <r>
    <n v="2199"/>
    <x v="132"/>
    <s v="PLATAFORMA"/>
    <s v="100012/99771"/>
    <n v="4628"/>
    <m/>
    <m/>
    <m/>
    <x v="568"/>
    <m/>
  </r>
  <r>
    <n v="761"/>
    <x v="24"/>
    <s v="WHATS"/>
    <n v="99945"/>
    <n v="16564.53"/>
    <m/>
    <m/>
    <m/>
    <x v="568"/>
    <m/>
  </r>
  <r>
    <n v="500005"/>
    <x v="102"/>
    <s v="WHATS"/>
    <n v="99352"/>
    <n v="634.11"/>
    <m/>
    <m/>
    <m/>
    <x v="568"/>
    <m/>
  </r>
  <r>
    <n v="432"/>
    <x v="43"/>
    <s v="WHATS"/>
    <n v="100015"/>
    <n v="189"/>
    <m/>
    <m/>
    <m/>
    <x v="568"/>
    <m/>
  </r>
  <r>
    <n v="905"/>
    <x v="72"/>
    <s v="WHATS"/>
    <n v="98823"/>
    <n v="1678.06"/>
    <m/>
    <m/>
    <m/>
    <x v="568"/>
    <m/>
  </r>
  <r>
    <n v="51042"/>
    <x v="106"/>
    <s v="WHATS"/>
    <s v="103571/99788"/>
    <n v="317.10000000000002"/>
    <m/>
    <m/>
    <m/>
    <x v="568"/>
    <m/>
  </r>
  <r>
    <n v="708"/>
    <x v="56"/>
    <s v="WHATS"/>
    <n v="99855"/>
    <n v="2067.31"/>
    <m/>
    <m/>
    <m/>
    <x v="569"/>
    <m/>
  </r>
  <r>
    <n v="500873"/>
    <x v="145"/>
    <s v="WHATS"/>
    <s v="103575/99824"/>
    <n v="2008.05"/>
    <m/>
    <m/>
    <m/>
    <x v="569"/>
    <m/>
  </r>
  <r>
    <n v="2199"/>
    <x v="132"/>
    <s v="WHATS"/>
    <s v="100054/103611"/>
    <n v="1180"/>
    <m/>
    <m/>
    <m/>
    <x v="569"/>
    <m/>
  </r>
  <r>
    <n v="762"/>
    <x v="41"/>
    <s v="PLATAFORMA"/>
    <s v="98818/99146"/>
    <n v="2820.45"/>
    <m/>
    <m/>
    <m/>
    <x v="569"/>
    <m/>
  </r>
  <r>
    <n v="1234"/>
    <x v="153"/>
    <s v="WHATS"/>
    <n v="100085"/>
    <n v="861.45"/>
    <m/>
    <m/>
    <m/>
    <x v="570"/>
    <m/>
  </r>
  <r>
    <n v="501070"/>
    <x v="155"/>
    <s v="WHATS"/>
    <n v="98166"/>
    <n v="1670.75"/>
    <m/>
    <m/>
    <m/>
    <x v="570"/>
    <m/>
  </r>
  <r>
    <n v="501078"/>
    <x v="155"/>
    <s v="WHATS"/>
    <n v="99504"/>
    <n v="2037.49"/>
    <m/>
    <m/>
    <m/>
    <x v="570"/>
    <m/>
  </r>
  <r>
    <n v="501054"/>
    <x v="155"/>
    <s v="WHATS"/>
    <n v="98165"/>
    <n v="1881.2"/>
    <m/>
    <m/>
    <m/>
    <x v="570"/>
    <m/>
  </r>
  <r>
    <n v="500507"/>
    <x v="148"/>
    <s v="WHATS"/>
    <n v="98163"/>
    <n v="2155.5700000000002"/>
    <m/>
    <m/>
    <m/>
    <x v="570"/>
    <m/>
  </r>
  <r>
    <n v="501079"/>
    <x v="155"/>
    <s v="WHATS"/>
    <n v="98164"/>
    <n v="5131.3900000000003"/>
    <m/>
    <m/>
    <m/>
    <x v="570"/>
    <m/>
  </r>
  <r>
    <n v="772"/>
    <x v="71"/>
    <s v="WHATS"/>
    <s v="103613/100058"/>
    <n v="1096"/>
    <m/>
    <m/>
    <m/>
    <x v="570"/>
    <m/>
  </r>
  <r>
    <n v="50558"/>
    <x v="2"/>
    <s v="WHATS"/>
    <n v="98459"/>
    <n v="1868"/>
    <m/>
    <m/>
    <m/>
    <x v="570"/>
    <m/>
  </r>
  <r>
    <n v="50418"/>
    <x v="35"/>
    <s v="WHATS"/>
    <n v="100099"/>
    <n v="1382.14"/>
    <m/>
    <m/>
    <m/>
    <x v="570"/>
    <m/>
  </r>
  <r>
    <n v="1164"/>
    <x v="58"/>
    <s v="WHATS"/>
    <s v="99963/103621"/>
    <n v="1031.6400000000001"/>
    <m/>
    <m/>
    <m/>
    <x v="570"/>
    <m/>
  </r>
  <r>
    <n v="2911"/>
    <x v="15"/>
    <s v="WHATS"/>
    <s v="103616/100083"/>
    <n v="1163.3"/>
    <m/>
    <m/>
    <m/>
    <x v="571"/>
    <m/>
  </r>
  <r>
    <n v="474"/>
    <x v="98"/>
    <s v="WHATS"/>
    <s v=" 99776/103572"/>
    <n v="490.21"/>
    <m/>
    <m/>
    <m/>
    <x v="571"/>
    <m/>
  </r>
  <r>
    <n v="572"/>
    <x v="51"/>
    <s v="WHATS"/>
    <n v="100113"/>
    <n v="976.3"/>
    <m/>
    <m/>
    <m/>
    <x v="571"/>
    <m/>
  </r>
  <r>
    <n v="823"/>
    <x v="17"/>
    <s v="WHATS"/>
    <s v="99682/103627"/>
    <n v="2087.85"/>
    <m/>
    <m/>
    <m/>
    <x v="571"/>
    <m/>
  </r>
  <r>
    <n v="3557"/>
    <x v="139"/>
    <s v="PLATAFORMA"/>
    <n v="99798"/>
    <n v="4559.45"/>
    <m/>
    <m/>
    <m/>
    <x v="571"/>
    <m/>
  </r>
  <r>
    <n v="2199"/>
    <x v="132"/>
    <s v="PLATAFORMA"/>
    <n v="99688"/>
    <n v="676"/>
    <m/>
    <m/>
    <m/>
    <x v="571"/>
    <m/>
  </r>
  <r>
    <n v="762"/>
    <x v="41"/>
    <s v="WHATS"/>
    <n v="99418"/>
    <n v="1448.5"/>
    <m/>
    <m/>
    <m/>
    <x v="571"/>
    <m/>
  </r>
  <r>
    <n v="761"/>
    <x v="24"/>
    <s v="WHATS"/>
    <s v="99627/103625"/>
    <n v="17115.82"/>
    <m/>
    <m/>
    <m/>
    <x v="572"/>
    <m/>
  </r>
  <r>
    <n v="3018"/>
    <x v="64"/>
    <s v="WHATS"/>
    <s v="99694/103634"/>
    <n v="1385.33"/>
    <m/>
    <m/>
    <m/>
    <x v="572"/>
    <m/>
  </r>
  <r>
    <n v="50558"/>
    <x v="2"/>
    <s v="WHATS"/>
    <n v="98459"/>
    <n v="1988"/>
    <m/>
    <m/>
    <m/>
    <x v="572"/>
    <m/>
  </r>
  <r>
    <n v="784"/>
    <x v="13"/>
    <s v="WHATS"/>
    <n v="100061"/>
    <n v="2980.94"/>
    <m/>
    <m/>
    <m/>
    <x v="572"/>
    <m/>
  </r>
  <r>
    <n v="618"/>
    <x v="26"/>
    <s v="WHATS"/>
    <s v="103640/100171"/>
    <n v="1261.77"/>
    <m/>
    <m/>
    <m/>
    <x v="572"/>
    <m/>
  </r>
  <r>
    <n v="1206"/>
    <x v="33"/>
    <s v="EMAIL"/>
    <n v="100176"/>
    <n v="1651"/>
    <m/>
    <m/>
    <m/>
    <x v="572"/>
    <m/>
  </r>
  <r>
    <n v="832"/>
    <x v="55"/>
    <s v="WHATS"/>
    <n v="100168"/>
    <n v="2078.14"/>
    <m/>
    <m/>
    <m/>
    <x v="572"/>
    <m/>
  </r>
  <r>
    <n v="500005"/>
    <x v="102"/>
    <s v="WHATS"/>
    <n v="100198"/>
    <n v="2329.85"/>
    <m/>
    <m/>
    <m/>
    <x v="573"/>
    <m/>
  </r>
  <r>
    <n v="761"/>
    <x v="24"/>
    <s v="WHATS"/>
    <n v="100223"/>
    <n v="8684.64"/>
    <m/>
    <m/>
    <m/>
    <x v="573"/>
    <m/>
  </r>
  <r>
    <n v="2163"/>
    <x v="36"/>
    <s v="WHATS"/>
    <n v="100228"/>
    <n v="1362.8"/>
    <m/>
    <m/>
    <m/>
    <x v="573"/>
    <m/>
  </r>
  <r>
    <n v="575"/>
    <x v="45"/>
    <s v="WHATS"/>
    <n v="100237"/>
    <n v="566.05999999999995"/>
    <m/>
    <m/>
    <m/>
    <x v="573"/>
    <m/>
  </r>
  <r>
    <n v="311"/>
    <x v="46"/>
    <s v="WHATS"/>
    <s v="100252/103657"/>
    <n v="1330.55"/>
    <m/>
    <m/>
    <m/>
    <x v="573"/>
    <m/>
  </r>
  <r>
    <n v="3153"/>
    <x v="12"/>
    <s v="WHATS"/>
    <n v="100255"/>
    <n v="1826.9"/>
    <m/>
    <m/>
    <m/>
    <x v="574"/>
    <m/>
  </r>
  <r>
    <n v="325"/>
    <x v="97"/>
    <s v="WHATS"/>
    <s v="103554/99669"/>
    <n v="1469.4"/>
    <m/>
    <m/>
    <m/>
    <x v="574"/>
    <m/>
  </r>
  <r>
    <n v="746"/>
    <x v="3"/>
    <s v="WHATS"/>
    <s v="103665/100271"/>
    <n v="788.56"/>
    <m/>
    <m/>
    <m/>
    <x v="574"/>
    <m/>
  </r>
  <r>
    <n v="3017"/>
    <x v="62"/>
    <s v="WHATS"/>
    <n v="100278"/>
    <n v="1597.14"/>
    <m/>
    <m/>
    <m/>
    <x v="574"/>
    <m/>
  </r>
  <r>
    <n v="960"/>
    <x v="30"/>
    <s v="WHATS"/>
    <s v=" 100310/103674"/>
    <n v="1327.55"/>
    <m/>
    <m/>
    <m/>
    <x v="574"/>
    <m/>
  </r>
  <r>
    <n v="620"/>
    <x v="69"/>
    <s v="WHATS"/>
    <s v="103677/99383"/>
    <n v="471.85"/>
    <m/>
    <m/>
    <m/>
    <x v="575"/>
    <m/>
  </r>
  <r>
    <n v="500243"/>
    <x v="110"/>
    <s v="WHATS"/>
    <n v="99996"/>
    <n v="695.3"/>
    <m/>
    <m/>
    <m/>
    <x v="575"/>
    <m/>
  </r>
  <r>
    <n v="475"/>
    <x v="23"/>
    <s v="WHATS"/>
    <s v="99998/103680"/>
    <n v="15586.8"/>
    <m/>
    <m/>
    <m/>
    <x v="575"/>
    <m/>
  </r>
  <r>
    <n v="1616"/>
    <x v="83"/>
    <s v="WHATS"/>
    <n v="100337"/>
    <n v="388.3"/>
    <m/>
    <m/>
    <m/>
    <x v="575"/>
    <m/>
  </r>
  <r>
    <n v="3019"/>
    <x v="132"/>
    <s v="PLATAFORMA"/>
    <n v="100318"/>
    <n v="844.6"/>
    <m/>
    <m/>
    <m/>
    <x v="575"/>
    <m/>
  </r>
  <r>
    <n v="434"/>
    <x v="134"/>
    <s v="WHATS"/>
    <n v="100361"/>
    <n v="3101.2"/>
    <m/>
    <m/>
    <m/>
    <x v="576"/>
    <m/>
  </r>
  <r>
    <n v="581"/>
    <x v="74"/>
    <s v="WHATS"/>
    <s v="100349/100349"/>
    <n v="3197.08"/>
    <m/>
    <m/>
    <m/>
    <x v="575"/>
    <m/>
  </r>
  <r>
    <n v="761"/>
    <x v="24"/>
    <s v="WHATS"/>
    <n v="100166"/>
    <n v="4562.08"/>
    <m/>
    <m/>
    <m/>
    <x v="576"/>
    <m/>
  </r>
  <r>
    <n v="50219"/>
    <x v="14"/>
    <s v="WHATS"/>
    <s v="103658/100251"/>
    <n v="1608.55"/>
    <m/>
    <m/>
    <m/>
    <x v="576"/>
    <m/>
  </r>
  <r>
    <n v="516"/>
    <x v="11"/>
    <s v="WHATS"/>
    <n v="100388"/>
    <n v="3597.6"/>
    <m/>
    <m/>
    <m/>
    <x v="576"/>
    <m/>
  </r>
  <r>
    <n v="500005"/>
    <x v="102"/>
    <s v="WHATS"/>
    <n v="99654"/>
    <m/>
    <m/>
    <n v="6580"/>
    <m/>
    <x v="576"/>
    <m/>
  </r>
  <r>
    <n v="311"/>
    <x v="46"/>
    <s v="WHATS"/>
    <s v="97583/100394"/>
    <n v="1489.9"/>
    <m/>
    <n v="1340"/>
    <m/>
    <x v="576"/>
    <m/>
  </r>
  <r>
    <n v="51182"/>
    <x v="146"/>
    <s v="WHATS"/>
    <n v="100102"/>
    <n v="999.12"/>
    <m/>
    <m/>
    <m/>
    <x v="576"/>
    <m/>
  </r>
  <r>
    <n v="50961"/>
    <x v="109"/>
    <s v="WHATS"/>
    <n v="100400"/>
    <n v="332.8"/>
    <m/>
    <m/>
    <m/>
    <x v="576"/>
    <m/>
  </r>
  <r>
    <n v="408"/>
    <x v="142"/>
    <s v="WHATS"/>
    <s v="100264/103661"/>
    <n v="1857.8"/>
    <m/>
    <m/>
    <m/>
    <x v="576"/>
    <m/>
  </r>
  <r>
    <n v="500507"/>
    <x v="148"/>
    <s v="WHATS"/>
    <n v="100355"/>
    <n v="2096.67"/>
    <m/>
    <m/>
    <m/>
    <x v="576"/>
    <m/>
  </r>
  <r>
    <n v="501070"/>
    <x v="155"/>
    <s v="WHATS"/>
    <n v="100364"/>
    <n v="1423.75"/>
    <m/>
    <m/>
    <m/>
    <x v="576"/>
    <m/>
  </r>
  <r>
    <n v="501078"/>
    <x v="155"/>
    <s v="WHATS"/>
    <n v="100344"/>
    <n v="1830.57"/>
    <m/>
    <m/>
    <m/>
    <x v="576"/>
    <m/>
  </r>
  <r>
    <n v="501054"/>
    <x v="155"/>
    <s v="WHATS"/>
    <n v="100086"/>
    <n v="1391.7"/>
    <m/>
    <m/>
    <m/>
    <x v="576"/>
    <m/>
  </r>
  <r>
    <n v="501079"/>
    <x v="155"/>
    <s v="WHATS"/>
    <n v="100369"/>
    <n v="4573.24"/>
    <m/>
    <m/>
    <m/>
    <x v="576"/>
    <m/>
  </r>
  <r>
    <n v="501153"/>
    <x v="162"/>
    <s v="WHATS"/>
    <s v="103686/99441"/>
    <n v="4987.79"/>
    <m/>
    <m/>
    <m/>
    <x v="576"/>
    <m/>
  </r>
  <r>
    <n v="690"/>
    <x v="19"/>
    <s v="WHATS"/>
    <s v="103691/99960 "/>
    <n v="4273.04"/>
    <m/>
    <m/>
    <m/>
    <x v="577"/>
    <m/>
  </r>
  <r>
    <n v="2199"/>
    <x v="132"/>
    <s v="WHATS"/>
    <s v="103664/99771/100037"/>
    <n v="1831.8"/>
    <m/>
    <m/>
    <m/>
    <x v="578"/>
    <m/>
  </r>
  <r>
    <n v="501160"/>
    <x v="94"/>
    <s v="WHATS"/>
    <n v="100034"/>
    <n v="1543.2"/>
    <m/>
    <m/>
    <m/>
    <x v="578"/>
    <m/>
  </r>
  <r>
    <n v="51042"/>
    <x v="106"/>
    <s v="WHATS"/>
    <n v="100372"/>
    <n v="246"/>
    <m/>
    <m/>
    <m/>
    <x v="578"/>
    <m/>
  </r>
  <r>
    <n v="663"/>
    <x v="116"/>
    <s v="WHATS"/>
    <n v="100417"/>
    <n v="1938.8"/>
    <m/>
    <m/>
    <m/>
    <x v="578"/>
    <m/>
  </r>
  <r>
    <n v="762"/>
    <x v="41"/>
    <s v="WHATS"/>
    <s v="100392/100389"/>
    <n v="4321.6099999999997"/>
    <m/>
    <m/>
    <m/>
    <x v="578"/>
    <m/>
  </r>
  <r>
    <n v="500873"/>
    <x v="145"/>
    <s v="WHATS"/>
    <s v="103608/98037"/>
    <n v="729.2"/>
    <m/>
    <m/>
    <m/>
    <x v="578"/>
    <m/>
  </r>
  <r>
    <n v="501035"/>
    <x v="155"/>
    <s v="WHATS"/>
    <n v="100467"/>
    <n v="3174.44"/>
    <m/>
    <m/>
    <m/>
    <x v="578"/>
    <m/>
  </r>
  <r>
    <n v="500507"/>
    <x v="148"/>
    <s v="WHATS"/>
    <n v="100468"/>
    <n v="1424.85"/>
    <m/>
    <m/>
    <m/>
    <x v="578"/>
    <m/>
  </r>
  <r>
    <n v="501033"/>
    <x v="155"/>
    <s v="WHATS"/>
    <n v="100469"/>
    <n v="554.11"/>
    <m/>
    <m/>
    <m/>
    <x v="578"/>
    <m/>
  </r>
  <r>
    <n v="50465"/>
    <x v="96"/>
    <s v="WHATS"/>
    <n v="99370"/>
    <n v="2415.98"/>
    <m/>
    <m/>
    <m/>
    <x v="578"/>
    <m/>
  </r>
  <r>
    <n v="480"/>
    <x v="39"/>
    <s v="WHATS"/>
    <n v="100493"/>
    <n v="3258.5"/>
    <m/>
    <m/>
    <m/>
    <x v="579"/>
    <m/>
  </r>
  <r>
    <n v="1277"/>
    <x v="94"/>
    <s v="WHATS"/>
    <n v="100491"/>
    <n v="1886.7"/>
    <m/>
    <m/>
    <m/>
    <x v="579"/>
    <m/>
  </r>
  <r>
    <n v="3557"/>
    <x v="139"/>
    <s v="PLATAFORMA"/>
    <n v="100415"/>
    <n v="5730.55"/>
    <m/>
    <m/>
    <m/>
    <x v="579"/>
    <m/>
  </r>
  <r>
    <n v="2572"/>
    <x v="115"/>
    <s v="WHATS"/>
    <n v="99841"/>
    <n v="3380.62"/>
    <m/>
    <m/>
    <m/>
    <x v="579"/>
    <m/>
  </r>
  <r>
    <n v="2022"/>
    <x v="28"/>
    <s v="WHATS"/>
    <n v="100498"/>
    <n v="574.6"/>
    <m/>
    <m/>
    <m/>
    <x v="579"/>
    <m/>
  </r>
  <r>
    <n v="2955"/>
    <x v="82"/>
    <s v="WHATS"/>
    <n v="100501"/>
    <n v="3931.1"/>
    <m/>
    <m/>
    <m/>
    <x v="579"/>
    <m/>
  </r>
  <r>
    <n v="3475"/>
    <x v="59"/>
    <s v="WHATS"/>
    <n v="100146"/>
    <n v="1378.66"/>
    <m/>
    <m/>
    <m/>
    <x v="580"/>
    <m/>
  </r>
  <r>
    <n v="3105"/>
    <x v="161"/>
    <s v="WHATS"/>
    <n v="100482"/>
    <n v="446.5"/>
    <m/>
    <m/>
    <m/>
    <x v="580"/>
    <m/>
  </r>
  <r>
    <n v="1533"/>
    <x v="50"/>
    <s v="WHATS"/>
    <n v="100494"/>
    <n v="445.6"/>
    <m/>
    <m/>
    <m/>
    <x v="580"/>
    <m/>
  </r>
  <r>
    <n v="500005"/>
    <x v="102"/>
    <s v="WHATS"/>
    <n v="98798"/>
    <n v="1617.25"/>
    <m/>
    <m/>
    <m/>
    <x v="580"/>
    <m/>
  </r>
  <r>
    <n v="500969"/>
    <x v="151"/>
    <s v="WHATS"/>
    <n v="100545"/>
    <n v="113.7"/>
    <m/>
    <m/>
    <m/>
    <x v="580"/>
    <m/>
  </r>
  <r>
    <n v="501153"/>
    <x v="162"/>
    <s v="WHATS"/>
    <n v="100239"/>
    <n v="432.6"/>
    <m/>
    <m/>
    <m/>
    <x v="580"/>
    <m/>
  </r>
  <r>
    <n v="1989"/>
    <x v="67"/>
    <s v="WHATS"/>
    <n v="100238"/>
    <n v="616.03"/>
    <m/>
    <m/>
    <m/>
    <x v="581"/>
    <m/>
  </r>
  <r>
    <n v="3190"/>
    <x v="60"/>
    <s v="WHATS"/>
    <s v="103720/100407"/>
    <n v="1053.1500000000001"/>
    <m/>
    <m/>
    <m/>
    <x v="581"/>
    <m/>
  </r>
  <r>
    <n v="325"/>
    <x v="97"/>
    <s v="WHATS"/>
    <s v="100547/103721"/>
    <n v="2226.0500000000002"/>
    <m/>
    <m/>
    <m/>
    <x v="581"/>
    <m/>
  </r>
  <r>
    <n v="463"/>
    <x v="32"/>
    <s v="WHATS"/>
    <n v="100581"/>
    <n v="1181.8"/>
    <m/>
    <m/>
    <m/>
    <x v="581"/>
    <m/>
  </r>
  <r>
    <n v="432"/>
    <x v="43"/>
    <s v="WHATS"/>
    <n v="103547"/>
    <n v="308.85000000000002"/>
    <m/>
    <m/>
    <m/>
    <x v="581"/>
    <m/>
  </r>
  <r>
    <n v="1971"/>
    <x v="29"/>
    <s v="WHATS"/>
    <n v="100591"/>
    <n v="752"/>
    <m/>
    <m/>
    <m/>
    <x v="581"/>
    <m/>
  </r>
  <r>
    <n v="1813"/>
    <x v="48"/>
    <s v="WHATS"/>
    <n v="100586"/>
    <n v="1192.06"/>
    <m/>
    <m/>
    <m/>
    <x v="582"/>
    <m/>
  </r>
  <r>
    <n v="784"/>
    <x v="13"/>
    <s v="WHATS"/>
    <n v="100283"/>
    <n v="777.84"/>
    <m/>
    <m/>
    <m/>
    <x v="582"/>
    <m/>
  </r>
  <r>
    <n v="762"/>
    <x v="41"/>
    <s v="EMAIL"/>
    <n v="100569"/>
    <n v="3090"/>
    <m/>
    <m/>
    <m/>
    <x v="582"/>
    <m/>
  </r>
  <r>
    <n v="50728"/>
    <x v="84"/>
    <s v="WHATS"/>
    <n v="100615"/>
    <n v="1280.5899999999999"/>
    <m/>
    <m/>
    <m/>
    <x v="582"/>
    <m/>
  </r>
  <r>
    <n v="620"/>
    <x v="69"/>
    <s v="WHATS"/>
    <s v="103692/100612"/>
    <n v="944.25"/>
    <m/>
    <m/>
    <m/>
    <x v="58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067A-F5AE-4AA7-B5F9-4B8272A3B5B9}" name="ped-equip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:H3" firstHeaderRow="1" firstDataRow="1" firstDataCol="0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9">
        <item h="1" x="1"/>
        <item h="1" x="2"/>
        <item x="3"/>
        <item h="1" x="4"/>
        <item h="1" x="5"/>
        <item h="1" x="6"/>
        <item h="1" x="7"/>
        <item h="1" x="0"/>
        <item t="default"/>
      </items>
    </pivotField>
  </pivotFields>
  <rowItems count="1">
    <i/>
  </rowItems>
  <colItems count="1">
    <i/>
  </colItems>
  <dataFields count="1">
    <dataField name="Contagem de PEDIDO EQUIPAMEN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EBD66-07AC-46B4-B698-D05660987384}" name="ped-insu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:F3" firstHeaderRow="1" firstDataRow="1" firstDataCol="0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9">
        <item h="1" x="1"/>
        <item h="1" x="2"/>
        <item x="3"/>
        <item h="1" x="4"/>
        <item h="1" x="5"/>
        <item h="1" x="6"/>
        <item h="1" x="7"/>
        <item h="1" x="0"/>
        <item t="default"/>
      </items>
    </pivotField>
  </pivotFields>
  <rowItems count="1">
    <i/>
  </rowItems>
  <colItems count="1">
    <i/>
  </colItems>
  <dataFields count="1">
    <dataField name="Contagem de PEDIDO INSUMOS" fld="3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AE235-1453-4416-81DC-AEB5301350AC}" name="totais-equip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:D3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9">
        <item h="1" x="1"/>
        <item h="1" x="2"/>
        <item x="3"/>
        <item h="1" x="4"/>
        <item h="1" x="5"/>
        <item h="1" x="6"/>
        <item h="1" x="7"/>
        <item h="1" x="0"/>
        <item t="default"/>
      </items>
    </pivotField>
  </pivotFields>
  <rowItems count="1">
    <i/>
  </rowItems>
  <colItems count="1">
    <i/>
  </colItems>
  <dataFields count="1">
    <dataField name="Soma de VALOR EQUIPAMENTO" fld="6" baseField="0" baseItem="0" numFmtId="44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5C154-EBED-461A-959A-7BB4687527AD}" name="totais-insu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B3" firstHeaderRow="1" firstDataRow="1" firstDataCol="0"/>
  <pivotFields count="13"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5"/>
        <item x="0"/>
        <item t="default"/>
      </items>
    </pivotField>
    <pivotField showAll="0">
      <items count="9">
        <item h="1" sd="0" x="1"/>
        <item h="1" sd="0" x="2"/>
        <item sd="0" x="3"/>
        <item h="1" x="4"/>
        <item h="1" x="5"/>
        <item h="1" x="6"/>
        <item h="1" x="7"/>
        <item h="1" x="0"/>
        <item t="default"/>
      </items>
    </pivotField>
  </pivotFields>
  <rowItems count="1">
    <i/>
  </rowItems>
  <colItems count="1">
    <i/>
  </colItems>
  <dataFields count="1">
    <dataField name="Soma de VALOR INSUMOS" fld="4" baseField="0" baseItem="0" numFmtId="44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6F5A7-1849-4FBD-9492-99673D60DEA0}" name="tTOP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ME">
  <location ref="I3:K24" firstHeaderRow="0" firstDataRow="1" firstDataCol="1"/>
  <pivotFields count="13">
    <pivotField showAll="0"/>
    <pivotField axis="axisRow" showAll="0" measureFilter="1" sortType="descending">
      <items count="169">
        <item m="1" x="167"/>
        <item x="81"/>
        <item x="107"/>
        <item x="40"/>
        <item x="37"/>
        <item x="105"/>
        <item x="108"/>
        <item x="76"/>
        <item x="55"/>
        <item x="102"/>
        <item x="82"/>
        <item x="36"/>
        <item x="15"/>
        <item x="48"/>
        <item x="60"/>
        <item x="10"/>
        <item x="21"/>
        <item x="46"/>
        <item x="18"/>
        <item x="104"/>
        <item x="79"/>
        <item x="106"/>
        <item x="74"/>
        <item x="111"/>
        <item x="77"/>
        <item x="45"/>
        <item x="78"/>
        <item x="24"/>
        <item x="97"/>
        <item x="117"/>
        <item x="44"/>
        <item x="2"/>
        <item x="87"/>
        <item x="70"/>
        <item x="89"/>
        <item x="56"/>
        <item x="62"/>
        <item x="113"/>
        <item x="121"/>
        <item x="34"/>
        <item x="1"/>
        <item x="72"/>
        <item x="16"/>
        <item x="6"/>
        <item x="103"/>
        <item x="39"/>
        <item x="115"/>
        <item x="5"/>
        <item x="65"/>
        <item x="85"/>
        <item x="42"/>
        <item x="26"/>
        <item x="58"/>
        <item x="80"/>
        <item x="28"/>
        <item x="116"/>
        <item x="49"/>
        <item x="61"/>
        <item x="53"/>
        <item x="13"/>
        <item x="57"/>
        <item x="101"/>
        <item x="3"/>
        <item x="99"/>
        <item x="90"/>
        <item x="69"/>
        <item x="8"/>
        <item x="86"/>
        <item x="98"/>
        <item x="27"/>
        <item x="50"/>
        <item x="92"/>
        <item x="95"/>
        <item x="93"/>
        <item x="54"/>
        <item x="23"/>
        <item x="96"/>
        <item x="114"/>
        <item x="52"/>
        <item x="51"/>
        <item x="43"/>
        <item x="29"/>
        <item x="33"/>
        <item x="22"/>
        <item x="35"/>
        <item x="47"/>
        <item x="9"/>
        <item x="75"/>
        <item x="7"/>
        <item x="59"/>
        <item x="30"/>
        <item x="32"/>
        <item x="88"/>
        <item x="71"/>
        <item x="119"/>
        <item x="122"/>
        <item x="25"/>
        <item x="38"/>
        <item x="118"/>
        <item x="83"/>
        <item x="64"/>
        <item x="100"/>
        <item x="63"/>
        <item x="120"/>
        <item x="123"/>
        <item x="73"/>
        <item x="67"/>
        <item x="66"/>
        <item x="20"/>
        <item x="19"/>
        <item x="84"/>
        <item x="109"/>
        <item x="41"/>
        <item x="11"/>
        <item x="4"/>
        <item x="110"/>
        <item x="12"/>
        <item x="14"/>
        <item x="31"/>
        <item x="91"/>
        <item x="0"/>
        <item x="124"/>
        <item x="125"/>
        <item x="126"/>
        <item x="127"/>
        <item x="128"/>
        <item x="129"/>
        <item x="94"/>
        <item x="130"/>
        <item x="131"/>
        <item x="17"/>
        <item x="68"/>
        <item x="136"/>
        <item x="137"/>
        <item x="138"/>
        <item x="139"/>
        <item x="132"/>
        <item x="134"/>
        <item x="140"/>
        <item x="141"/>
        <item x="133"/>
        <item x="142"/>
        <item x="143"/>
        <item x="144"/>
        <item x="135"/>
        <item x="145"/>
        <item x="146"/>
        <item x="147"/>
        <item x="148"/>
        <item x="149"/>
        <item x="150"/>
        <item x="112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9">
        <item h="1" x="1"/>
        <item h="1" x="2"/>
        <item x="3"/>
        <item h="1" x="4"/>
        <item h="1" x="5"/>
        <item h="1" x="6"/>
        <item h="1" x="7"/>
        <item h="1" x="0"/>
        <item t="default"/>
      </items>
    </pivotField>
  </pivotFields>
  <rowFields count="1">
    <field x="1"/>
  </rowFields>
  <rowItems count="21">
    <i>
      <x v="75"/>
    </i>
    <i>
      <x v="27"/>
    </i>
    <i>
      <x v="156"/>
    </i>
    <i>
      <x v="112"/>
    </i>
    <i>
      <x v="135"/>
    </i>
    <i>
      <x v="163"/>
    </i>
    <i>
      <x v="109"/>
    </i>
    <i>
      <x v="9"/>
    </i>
    <i>
      <x v="10"/>
    </i>
    <i>
      <x v="28"/>
    </i>
    <i>
      <x v="113"/>
    </i>
    <i>
      <x v="148"/>
    </i>
    <i>
      <x v="127"/>
    </i>
    <i>
      <x v="46"/>
    </i>
    <i>
      <x v="45"/>
    </i>
    <i>
      <x v="22"/>
    </i>
    <i>
      <x v="137"/>
    </i>
    <i>
      <x v="17"/>
    </i>
    <i>
      <x v="136"/>
    </i>
    <i>
      <x v="76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ES INSUMOS" fld="4" baseField="0" baseItem="0" numFmtId="44"/>
    <dataField name="VALORES EQUIPAMENTOS" fld="6" baseField="0" baseItem="0"/>
  </dataFields>
  <formats count="11"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dataOnly="0" labelOnly="1" outline="0" axis="axisValues" fieldPosition="0"/>
    </format>
    <format dxfId="13">
      <pivotArea field="1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19">
            <x v="4"/>
            <x v="14"/>
            <x v="31"/>
            <x v="32"/>
            <x v="35"/>
            <x v="45"/>
            <x v="51"/>
            <x v="52"/>
            <x v="59"/>
            <x v="62"/>
            <x v="66"/>
            <x v="75"/>
            <x v="80"/>
            <x v="108"/>
            <x v="109"/>
            <x v="112"/>
            <x v="113"/>
            <x v="114"/>
            <x v="116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__DATA" xr10:uid="{993C64C1-B242-43D5-BC58-0C68AD936EF6}" sourceName="Anos (DATA)">
  <pivotTables>
    <pivotTable tabId="6" name="totais-insu"/>
    <pivotTable tabId="5" name="tTOP20"/>
    <pivotTable tabId="6" name="ped-equip"/>
    <pivotTable tabId="6" name="ped-insu"/>
    <pivotTable tabId="6" name="totais-equip"/>
  </pivotTables>
  <data>
    <tabular pivotCacheId="1720379860">
      <items count="8">
        <i x="1"/>
        <i x="2"/>
        <i x="3" s="1"/>
        <i x="0" nd="1"/>
        <i x="7" nd="1"/>
        <i x="4" nd="1"/>
        <i x="5" nd="1"/>
        <i x="6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" xr10:uid="{344F46E7-3D34-4502-907B-CAC8CA5E65EE}" sourceName="Meses (DATA)">
  <pivotTables>
    <pivotTable tabId="6" name="totais-insu"/>
    <pivotTable tabId="5" name="tTOP20"/>
    <pivotTable tabId="6" name="ped-equip"/>
    <pivotTable tabId="6" name="ped-insu"/>
    <pivotTable tabId="6" name="totais-equip"/>
  </pivotTables>
  <data>
    <tabular pivotCacheId="1720379860" showMissing="0">
      <items count="14">
        <i x="1"/>
        <i x="2"/>
        <i x="3"/>
        <i x="4"/>
        <i x="5"/>
        <i x="6"/>
        <i x="7"/>
        <i x="8" s="1"/>
        <i x="9" nd="1"/>
        <i x="10" nd="1"/>
        <i x="11" nd="1"/>
        <i x="12" nd="1"/>
        <i x="0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 (DATA)" xr10:uid="{B1DD1935-DF63-4729-BEEA-6D1FE64D01BB}" cache="SegmentaçãodeDados_Anos__DATA" caption="Anos (DATA)" rowHeight="241300"/>
  <slicer name="Meses (DATA)" xr10:uid="{2023CEDE-3AB9-43BE-BE46-F0B19CCD0EE6}" cache="SegmentaçãodeDados_Meses__DATA" caption="Meses (DATA)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 (DATA) 1" xr10:uid="{698E54BD-8056-4B67-9406-00F8B6256818}" cache="SegmentaçãodeDados_Anos__DATA" caption="Anos (DATA)" rowHeight="241300"/>
  <slicer name="Meses (DATA) 1" xr10:uid="{4A22BCA9-2CE4-4A87-818E-AA6CF78AA82C}" cache="SegmentaçãodeDados_Meses__DATA" caption="Meses (DATA)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8F7F69-6EA3-4206-96E5-DD0667C4DF40}" name="LIG" displayName="LIG" ref="A1:I2" totalsRowShown="0" headerRowDxfId="37" headerRowBorderDxfId="36" tableBorderDxfId="35">
  <autoFilter ref="A1:I2" xr:uid="{298F7F69-6EA3-4206-96E5-DD0667C4DF40}"/>
  <tableColumns count="9">
    <tableColumn id="1" xr3:uid="{27AEFBB0-F7D3-46C6-B76D-453CA6ACA2BD}" name="CLIENTE"/>
    <tableColumn id="2" xr3:uid="{D932BBBB-6D07-4A0D-8196-7834C4660237}" name="NOME">
      <calculatedColumnFormula>IFERROR(VLOOKUP(A2,CLIENTES!A:E,2,0),"CADASTRAR CLIENTE")</calculatedColumnFormula>
    </tableColumn>
    <tableColumn id="3" xr3:uid="{7BED3286-D25C-4EE0-BFF4-4032731262F1}" name="RESPONSÁVEL"/>
    <tableColumn id="4" xr3:uid="{2C1FB025-1CF4-4E40-9B25-79ADA2A9BCA6}" name="DATA" dataDxfId="34"/>
    <tableColumn id="5" xr3:uid="{7A88052B-54F6-4448-A7CF-FAFAB96508F7}" name="HORA" dataDxfId="33"/>
    <tableColumn id="6" xr3:uid="{C274668A-E36D-4F2F-A0D5-2EAF787300C8}" name="ATENDEU"/>
    <tableColumn id="7" xr3:uid="{BDE6DE29-391C-485B-907E-04BB3D43C93F}" name="OBSERVAÇÃO"/>
    <tableColumn id="8" xr3:uid="{9080AC18-54CD-4BF3-9315-69A924B1F1C1}" name="VISITA"/>
    <tableColumn id="9" xr3:uid="{900E3664-F457-4A03-B798-2002422C2102}" name="MOTIVO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E84CEA-9C5F-49F9-962D-FE7ECFE62A26}" name="CLI" displayName="CLI" ref="A1:K186" totalsRowShown="0" headerRowDxfId="32" dataDxfId="30" headerRowBorderDxfId="31" tableBorderDxfId="29" totalsRowBorderDxfId="28">
  <autoFilter ref="A1:K186" xr:uid="{74E84CEA-9C5F-49F9-962D-FE7ECFE62A26}"/>
  <tableColumns count="11">
    <tableColumn id="1" xr3:uid="{9C6E8D59-47DD-46BF-9269-0B685DF95931}" name="SKU" dataDxfId="27"/>
    <tableColumn id="2" xr3:uid="{5489E9DC-3D74-4EFA-84E7-CD4F5C3F0F7A}" name="NOME" dataDxfId="26"/>
    <tableColumn id="3" xr3:uid="{73625F97-E74F-48B0-B4DF-5C9DCCDB73AE}" name="EMAIL" dataDxfId="25"/>
    <tableColumn id="4" xr3:uid="{3573CBCC-80DD-48C3-AC1C-67A3159798F9}" name="WHATS" dataDxfId="24"/>
    <tableColumn id="5" xr3:uid="{3A443CD7-4FCA-4BD2-AC31-06FEDEF4A07D}" name="CIDADE" dataDxfId="23"/>
    <tableColumn id="10" xr3:uid="{5B7C7F8F-C303-4875-ADFA-1D50CF3B407D}" name="SEGMENTO" dataDxfId="22" dataCellStyle="Hiperlink"/>
    <tableColumn id="6" xr3:uid="{2DF2A923-D2F1-44F3-9ED0-939801F74E14}" name="PRIMEIRA COMPRA" dataDxfId="21"/>
    <tableColumn id="7" xr3:uid="{7998C5A4-87C1-45B5-9378-F291D9B941EF}" name="ULTIMA COMPRA" dataDxfId="20"/>
    <tableColumn id="8" xr3:uid="{B8FD1CF7-5E34-490B-81FE-73E0CC653A54}" name="INAT(DIAS)" dataDxfId="19"/>
    <tableColumn id="9" xr3:uid="{C95EB2A0-B64E-4EF7-9B80-A1BF4AB8E70A}" name="EMAIL " dataDxfId="18" dataCellStyle="Hiperlink"/>
    <tableColumn id="11" xr3:uid="{203C8B9F-98B0-43AE-9243-18744001D602}" name="OBSERVAÇÃO" dataDxfId="17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2EB8A-F10F-4CD4-83FA-62D01FD8FC77}" name="tVendas" displayName="tVendas" ref="A1:I3550" totalsRowShown="0" headerRowDxfId="53" dataDxfId="51" headerRowBorderDxfId="52" tableBorderDxfId="50" totalsRowBorderDxfId="49">
  <autoFilter ref="A1:I3550" xr:uid="{FF02EB8A-F10F-4CD4-83FA-62D01FD8FC77}"/>
  <tableColumns count="9">
    <tableColumn id="1" xr3:uid="{3BB643D8-6CAD-48D2-9E3A-4871E6440795}" name="CLIENTE" dataDxfId="48"/>
    <tableColumn id="2" xr3:uid="{383C322A-82D2-4DCA-A6FC-81D8E50AA590}" name="NOME" dataDxfId="47">
      <calculatedColumnFormula>IFERROR(VLOOKUP(A2,CLIENTES!A:E,2,0),"CADASTRAR CLIENTE")</calculatedColumnFormula>
    </tableColumn>
    <tableColumn id="3" xr3:uid="{817BBA6F-A47C-4856-9922-8147FDB75DDE}" name="ENVIO" dataDxfId="46"/>
    <tableColumn id="4" xr3:uid="{05CCEA0A-09FF-4BB6-A5CB-7FDF1D1C8D06}" name="PEDIDO INSUMOS" dataDxfId="45"/>
    <tableColumn id="5" xr3:uid="{1A33E653-9A54-456B-9852-8FD0AEC4569F}" name="VALOR INSUMOS" dataDxfId="44" dataCellStyle="Moeda"/>
    <tableColumn id="6" xr3:uid="{448BD062-BE3C-4767-B43B-04A73245A11D}" name="PEDIDO EQUIPAMENTO" dataDxfId="43"/>
    <tableColumn id="7" xr3:uid="{108C1FD2-52BA-475F-BD16-8E4D5B130D4D}" name="VALOR EQUIPAMENTO" dataDxfId="42" dataCellStyle="Moeda"/>
    <tableColumn id="8" xr3:uid="{F847CAA3-AF59-43DC-91B7-B73343BD9845}" name="LOCAÇÃO" dataDxfId="41"/>
    <tableColumn id="9" xr3:uid="{AE8F68F6-A181-4BF0-820B-8C8D34D20DE9}" name="DATA" dataDxfId="4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onex@gmail.com" TargetMode="External"/><Relationship Id="rId1" Type="http://schemas.openxmlformats.org/officeDocument/2006/relationships/hyperlink" Target="mailto:compras@medsaoroque.com.br" TargetMode="Externa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FFB3-C98F-405D-879F-881CB653B5D9}">
  <dimension ref="A1:G13"/>
  <sheetViews>
    <sheetView zoomScaleNormal="100" workbookViewId="0">
      <selection activeCell="B4" sqref="B4"/>
    </sheetView>
  </sheetViews>
  <sheetFormatPr defaultRowHeight="15"/>
  <cols>
    <col min="2" max="2" width="13.85546875" bestFit="1" customWidth="1"/>
    <col min="5" max="5" width="10.7109375" bestFit="1" customWidth="1"/>
    <col min="6" max="6" width="41.140625" bestFit="1" customWidth="1"/>
    <col min="7" max="7" width="21.85546875" bestFit="1" customWidth="1"/>
  </cols>
  <sheetData>
    <row r="1" spans="1:7">
      <c r="A1" t="s">
        <v>322</v>
      </c>
      <c r="E1" s="1">
        <f ca="1">TODAY()</f>
        <v>46254</v>
      </c>
      <c r="G1" s="2" t="s">
        <v>323</v>
      </c>
    </row>
    <row r="2" spans="1:7">
      <c r="A2" t="s">
        <v>324</v>
      </c>
      <c r="B2" s="3" t="s">
        <v>325</v>
      </c>
      <c r="G2" s="4"/>
    </row>
    <row r="3" spans="1:7">
      <c r="B3" s="5">
        <v>288000</v>
      </c>
      <c r="G3" t="s">
        <v>361</v>
      </c>
    </row>
    <row r="4" spans="1:7">
      <c r="B4" s="109"/>
    </row>
    <row r="5" spans="1:7">
      <c r="A5" t="s">
        <v>326</v>
      </c>
    </row>
    <row r="7" spans="1:7">
      <c r="B7" t="s">
        <v>385</v>
      </c>
    </row>
    <row r="8" spans="1:7">
      <c r="B8" t="s">
        <v>384</v>
      </c>
    </row>
    <row r="9" spans="1:7">
      <c r="B9" t="s">
        <v>383</v>
      </c>
    </row>
    <row r="10" spans="1:7">
      <c r="B10" t="s">
        <v>382</v>
      </c>
    </row>
    <row r="11" spans="1:7">
      <c r="B11" t="s">
        <v>386</v>
      </c>
    </row>
    <row r="12" spans="1:7">
      <c r="B12" t="s">
        <v>387</v>
      </c>
    </row>
    <row r="13" spans="1:7">
      <c r="B13" t="s">
        <v>390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D4EB-EC39-4228-BD07-C55A952DA704}">
  <dimension ref="B1:H3"/>
  <sheetViews>
    <sheetView workbookViewId="0">
      <selection activeCell="B3552" sqref="B3552"/>
    </sheetView>
  </sheetViews>
  <sheetFormatPr defaultRowHeight="15"/>
  <cols>
    <col min="2" max="3" width="24.5703125" bestFit="1" customWidth="1"/>
    <col min="4" max="4" width="29.7109375" bestFit="1" customWidth="1"/>
    <col min="6" max="6" width="29.7109375" bestFit="1" customWidth="1"/>
    <col min="8" max="8" width="34.7109375" bestFit="1" customWidth="1"/>
  </cols>
  <sheetData>
    <row r="1" spans="2:8">
      <c r="B1" s="7">
        <f>GETPIVOTDATA("VALOR INSUMOS",$B$2)</f>
        <v>135392.18000000002</v>
      </c>
      <c r="D1" s="7">
        <f>GETPIVOTDATA("VALOR EQUIPAMENTO",$D$2)</f>
        <v>7920</v>
      </c>
      <c r="F1">
        <f>GETPIVOTDATA("PEDIDO INSUMOS",$F$2)</f>
        <v>47</v>
      </c>
      <c r="H1">
        <f>GETPIVOTDATA("PEDIDO EQUIPAMENTO",$H$2)</f>
        <v>0</v>
      </c>
    </row>
    <row r="2" spans="2:8">
      <c r="B2" t="s">
        <v>366</v>
      </c>
      <c r="D2" t="s">
        <v>369</v>
      </c>
      <c r="F2" t="s">
        <v>375</v>
      </c>
      <c r="H2" t="s">
        <v>376</v>
      </c>
    </row>
    <row r="3" spans="2:8">
      <c r="B3" s="8">
        <v>135392.18000000002</v>
      </c>
      <c r="D3" s="8">
        <v>7920</v>
      </c>
      <c r="F3">
        <v>47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F2CB-DD9A-4EBB-AC05-A19C0898FE67}">
  <dimension ref="A1:I2"/>
  <sheetViews>
    <sheetView zoomScale="98" zoomScaleNormal="98" workbookViewId="0">
      <selection activeCell="A3" sqref="A3"/>
    </sheetView>
  </sheetViews>
  <sheetFormatPr defaultRowHeight="15"/>
  <cols>
    <col min="1" max="1" width="10.140625" customWidth="1"/>
    <col min="2" max="2" width="45" bestFit="1" customWidth="1"/>
    <col min="3" max="3" width="15.7109375" customWidth="1"/>
    <col min="4" max="4" width="10.7109375" bestFit="1" customWidth="1"/>
    <col min="5" max="5" width="12" bestFit="1" customWidth="1"/>
    <col min="6" max="6" width="11.5703125" customWidth="1"/>
    <col min="7" max="7" width="23.42578125" bestFit="1" customWidth="1"/>
    <col min="8" max="8" width="11.28515625" bestFit="1" customWidth="1"/>
    <col min="9" max="9" width="13.140625" bestFit="1" customWidth="1"/>
  </cols>
  <sheetData>
    <row r="1" spans="1:9" s="24" customFormat="1">
      <c r="A1" s="10" t="s">
        <v>346</v>
      </c>
      <c r="B1" s="10" t="s">
        <v>1</v>
      </c>
      <c r="C1" s="10" t="s">
        <v>354</v>
      </c>
      <c r="D1" s="10" t="s">
        <v>353</v>
      </c>
      <c r="E1" s="11" t="s">
        <v>355</v>
      </c>
      <c r="F1" s="10" t="s">
        <v>356</v>
      </c>
      <c r="G1" s="11" t="s">
        <v>357</v>
      </c>
      <c r="H1" s="10" t="s">
        <v>358</v>
      </c>
      <c r="I1" s="12" t="s">
        <v>359</v>
      </c>
    </row>
    <row r="2" spans="1:9">
      <c r="A2">
        <v>704</v>
      </c>
      <c r="B2" t="str">
        <f>IFERROR(VLOOKUP(A2,CLIENTES!A:E,2,0),"CADASTRAR CLIENTE")</f>
        <v>LAB. ONUMA E BASILIO S/C LTDA</v>
      </c>
      <c r="C2" t="s">
        <v>469</v>
      </c>
      <c r="D2" s="1">
        <v>45723</v>
      </c>
      <c r="E2" s="6">
        <v>0.4375</v>
      </c>
    </row>
  </sheetData>
  <conditionalFormatting sqref="B1:B1048576">
    <cfRule type="containsText" dxfId="5" priority="1" operator="containsText" text="CADASTRAR CLIENTE">
      <formula>NOT(ISERROR(SEARCH("CADASTRAR CLIENTE",B1)))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42B0-031A-4413-BE95-410716EF0270}">
  <dimension ref="A1:L186"/>
  <sheetViews>
    <sheetView showGridLines="0" zoomScale="73" zoomScaleNormal="73" workbookViewId="0">
      <pane ySplit="1" topLeftCell="A2" activePane="bottomLeft" state="frozen"/>
      <selection pane="bottomLeft" activeCell="G185" sqref="G185:G186"/>
    </sheetView>
  </sheetViews>
  <sheetFormatPr defaultRowHeight="15.75"/>
  <cols>
    <col min="1" max="1" width="8.5703125" style="45" bestFit="1" customWidth="1"/>
    <col min="2" max="2" width="77.28515625" style="45" bestFit="1" customWidth="1"/>
    <col min="3" max="3" width="44.7109375" style="45" customWidth="1"/>
    <col min="4" max="4" width="14.28515625" style="45" bestFit="1" customWidth="1"/>
    <col min="5" max="5" width="33.85546875" style="45" bestFit="1" customWidth="1"/>
    <col min="6" max="6" width="16.7109375" style="45" customWidth="1"/>
    <col min="7" max="7" width="20.85546875" style="46" bestFit="1" customWidth="1"/>
    <col min="8" max="8" width="19" style="46" bestFit="1" customWidth="1"/>
    <col min="9" max="9" width="13.28515625" style="46" bestFit="1" customWidth="1"/>
    <col min="10" max="10" width="15.85546875" style="45" customWidth="1"/>
    <col min="11" max="11" width="15.5703125" style="45" bestFit="1" customWidth="1"/>
    <col min="12" max="12" width="15.5703125" bestFit="1" customWidth="1"/>
  </cols>
  <sheetData>
    <row r="1" spans="1:11" s="14" customFormat="1">
      <c r="A1" s="33" t="s">
        <v>0</v>
      </c>
      <c r="B1" s="34" t="s">
        <v>1</v>
      </c>
      <c r="C1" s="34" t="s">
        <v>2</v>
      </c>
      <c r="D1" s="34" t="s">
        <v>3</v>
      </c>
      <c r="E1" s="35" t="s">
        <v>4</v>
      </c>
      <c r="F1" s="36" t="s">
        <v>381</v>
      </c>
      <c r="G1" s="34" t="s">
        <v>5</v>
      </c>
      <c r="H1" s="35" t="s">
        <v>6</v>
      </c>
      <c r="I1" s="34" t="s">
        <v>362</v>
      </c>
      <c r="J1" s="37" t="s">
        <v>360</v>
      </c>
      <c r="K1" s="38" t="s">
        <v>357</v>
      </c>
    </row>
    <row r="2" spans="1:11">
      <c r="A2" s="39">
        <v>171</v>
      </c>
      <c r="B2" s="40" t="s">
        <v>8</v>
      </c>
      <c r="C2" s="40" t="s">
        <v>9</v>
      </c>
      <c r="D2" s="40"/>
      <c r="E2" s="40" t="s">
        <v>10</v>
      </c>
      <c r="F2" s="43"/>
      <c r="G2" s="41">
        <f>_xlfn.MINIFS(DADOS!$I:$I,DADOS!$B:$B,B2)</f>
        <v>45377</v>
      </c>
      <c r="H2" s="41">
        <f>_xlfn.MAXIFS(DADOS!$I:$I,DADOS!$B:$B,B2)</f>
        <v>46185</v>
      </c>
      <c r="I2" s="42">
        <f ca="1">CONFIG!$E$1-CLIENTES!H2</f>
        <v>69</v>
      </c>
      <c r="J2" s="43" t="str">
        <f>HYPERLINK("mailto:"&amp;C2&amp;"?subject="&amp;CONFIG!$G$1&amp;"&amp;body="&amp;CONFIG!$G$3,"Enviar e-mail")</f>
        <v>Enviar e-mail</v>
      </c>
      <c r="K2" s="44"/>
    </row>
    <row r="3" spans="1:11">
      <c r="A3" s="39">
        <v>197</v>
      </c>
      <c r="B3" s="40" t="s">
        <v>11</v>
      </c>
      <c r="C3" s="40" t="s">
        <v>12</v>
      </c>
      <c r="D3" s="40"/>
      <c r="E3" s="40" t="s">
        <v>13</v>
      </c>
      <c r="F3" s="43"/>
      <c r="G3" s="41">
        <f>_xlfn.MINIFS(DADOS!$I:$I,DADOS!$B:$B,B3)</f>
        <v>45432</v>
      </c>
      <c r="H3" s="41">
        <f>_xlfn.MAXIFS(DADOS!$I:$I,DADOS!$B:$B,B3)</f>
        <v>46217</v>
      </c>
      <c r="I3" s="42">
        <f ca="1">CONFIG!$E$1-CLIENTES!H3</f>
        <v>37</v>
      </c>
      <c r="J3" s="43" t="str">
        <f>HYPERLINK("mailto:"&amp;C3&amp;"?subject="&amp;CONFIG!$G$1&amp;"&amp;body="&amp;CONFIG!$G$3,"Enviar e-mail")</f>
        <v>Enviar e-mail</v>
      </c>
      <c r="K3" s="44"/>
    </row>
    <row r="4" spans="1:11">
      <c r="A4" s="39">
        <v>311</v>
      </c>
      <c r="B4" s="40" t="s">
        <v>14</v>
      </c>
      <c r="C4" s="40" t="s">
        <v>15</v>
      </c>
      <c r="D4" s="40"/>
      <c r="E4" s="40" t="s">
        <v>16</v>
      </c>
      <c r="F4" s="43"/>
      <c r="G4" s="41">
        <f>_xlfn.MINIFS(DADOS!$I:$I,DADOS!$B:$B,B4)</f>
        <v>45369</v>
      </c>
      <c r="H4" s="41">
        <f>_xlfn.MAXIFS(DADOS!$I:$I,DADOS!$B:$B,B4)</f>
        <v>46240</v>
      </c>
      <c r="I4" s="42">
        <f ca="1">CONFIG!$E$1-CLIENTES!H4</f>
        <v>14</v>
      </c>
      <c r="J4" s="43" t="str">
        <f>HYPERLINK("mailto:"&amp;C4&amp;"?subject="&amp;CONFIG!$G$1&amp;"&amp;body="&amp;CONFIG!$G$3,"Enviar e-mail")</f>
        <v>Enviar e-mail</v>
      </c>
      <c r="K4" s="44"/>
    </row>
    <row r="5" spans="1:11">
      <c r="A5" s="39">
        <v>325</v>
      </c>
      <c r="B5" s="40" t="s">
        <v>17</v>
      </c>
      <c r="C5" s="40" t="s">
        <v>18</v>
      </c>
      <c r="D5" s="40"/>
      <c r="E5" s="40" t="s">
        <v>16</v>
      </c>
      <c r="F5" s="43"/>
      <c r="G5" s="41">
        <f>_xlfn.MINIFS(DADOS!$I:$I,DADOS!$B:$B,B5)</f>
        <v>45421</v>
      </c>
      <c r="H5" s="41">
        <f>_xlfn.MAXIFS(DADOS!$I:$I,DADOS!$B:$B,B5)</f>
        <v>46247</v>
      </c>
      <c r="I5" s="42">
        <f ca="1">CONFIG!$E$1-CLIENTES!H5</f>
        <v>7</v>
      </c>
      <c r="J5" s="43" t="str">
        <f>HYPERLINK("mailto:"&amp;C5&amp;"?subject="&amp;CONFIG!$G$1&amp;"&amp;body="&amp;CONFIG!$G$3,"Enviar e-mail")</f>
        <v>Enviar e-mail</v>
      </c>
      <c r="K5" s="44"/>
    </row>
    <row r="6" spans="1:11">
      <c r="A6" s="39">
        <v>335</v>
      </c>
      <c r="B6" s="40" t="s">
        <v>19</v>
      </c>
      <c r="C6" s="40" t="s">
        <v>20</v>
      </c>
      <c r="D6" s="40"/>
      <c r="E6" s="40" t="s">
        <v>21</v>
      </c>
      <c r="F6" s="43"/>
      <c r="G6" s="41">
        <f>_xlfn.MINIFS(DADOS!$I:$I,DADOS!$B:$B,B6)</f>
        <v>45352</v>
      </c>
      <c r="H6" s="41">
        <f>_xlfn.MAXIFS(DADOS!$I:$I,DADOS!$B:$B,B6)</f>
        <v>45588</v>
      </c>
      <c r="I6" s="42">
        <f ca="1">CONFIG!$E$1-CLIENTES!H6</f>
        <v>666</v>
      </c>
      <c r="J6" s="43" t="str">
        <f>HYPERLINK("mailto:"&amp;C6&amp;"?subject="&amp;CONFIG!$G$1&amp;"&amp;body="&amp;CONFIG!$G$3,"Enviar e-mail")</f>
        <v>Enviar e-mail</v>
      </c>
      <c r="K6" s="44"/>
    </row>
    <row r="7" spans="1:11">
      <c r="A7" s="39">
        <v>364</v>
      </c>
      <c r="B7" s="40" t="s">
        <v>22</v>
      </c>
      <c r="C7" s="40" t="s">
        <v>23</v>
      </c>
      <c r="D7" s="40"/>
      <c r="E7" s="40" t="s">
        <v>24</v>
      </c>
      <c r="F7" s="43"/>
      <c r="G7" s="41">
        <f>_xlfn.MINIFS(DADOS!$I:$I,DADOS!$B:$B,B7)</f>
        <v>45359</v>
      </c>
      <c r="H7" s="41">
        <f>_xlfn.MAXIFS(DADOS!$I:$I,DADOS!$B:$B,B7)</f>
        <v>46093</v>
      </c>
      <c r="I7" s="42">
        <f ca="1">CONFIG!$E$1-CLIENTES!H7</f>
        <v>161</v>
      </c>
      <c r="J7" s="43" t="str">
        <f>HYPERLINK("mailto:"&amp;C7&amp;"?subject="&amp;CONFIG!$G$1&amp;"&amp;body="&amp;CONFIG!$G$3,"Enviar e-mail")</f>
        <v>Enviar e-mail</v>
      </c>
      <c r="K7" s="44"/>
    </row>
    <row r="8" spans="1:11">
      <c r="A8" s="39">
        <v>380</v>
      </c>
      <c r="B8" s="40" t="s">
        <v>25</v>
      </c>
      <c r="C8" s="40" t="s">
        <v>26</v>
      </c>
      <c r="D8" s="40"/>
      <c r="E8" s="40" t="s">
        <v>27</v>
      </c>
      <c r="F8" s="43"/>
      <c r="G8" s="41">
        <f>_xlfn.MINIFS(DADOS!$I:$I,DADOS!$B:$B,B8)</f>
        <v>45594</v>
      </c>
      <c r="H8" s="41">
        <f>_xlfn.MAXIFS(DADOS!$I:$I,DADOS!$B:$B,B8)</f>
        <v>45594</v>
      </c>
      <c r="I8" s="42">
        <f ca="1">CONFIG!$E$1-CLIENTES!H8</f>
        <v>660</v>
      </c>
      <c r="J8" s="43" t="str">
        <f>HYPERLINK("mailto:"&amp;C8&amp;"?subject="&amp;CONFIG!$G$1&amp;"&amp;body="&amp;CONFIG!$G$3,"Enviar e-mail")</f>
        <v>Enviar e-mail</v>
      </c>
      <c r="K8" s="44"/>
    </row>
    <row r="9" spans="1:11">
      <c r="A9" s="39">
        <v>412</v>
      </c>
      <c r="B9" s="40" t="s">
        <v>28</v>
      </c>
      <c r="C9" s="40" t="s">
        <v>29</v>
      </c>
      <c r="D9" s="40"/>
      <c r="E9" s="40" t="s">
        <v>30</v>
      </c>
      <c r="F9" s="43"/>
      <c r="G9" s="41">
        <f>_xlfn.MINIFS(DADOS!$I:$I,DADOS!$B:$B,B9)</f>
        <v>45414</v>
      </c>
      <c r="H9" s="41">
        <f>_xlfn.MAXIFS(DADOS!$I:$I,DADOS!$B:$B,B9)</f>
        <v>46216</v>
      </c>
      <c r="I9" s="42">
        <f ca="1">CONFIG!$E$1-CLIENTES!H9</f>
        <v>38</v>
      </c>
      <c r="J9" s="43" t="str">
        <f>HYPERLINK("mailto:"&amp;C9&amp;"?subject="&amp;CONFIG!$G$1&amp;"&amp;body="&amp;CONFIG!$G$3,"Enviar e-mail")</f>
        <v>Enviar e-mail</v>
      </c>
      <c r="K9" s="44"/>
    </row>
    <row r="10" spans="1:11">
      <c r="A10" s="39">
        <v>432</v>
      </c>
      <c r="B10" s="40" t="s">
        <v>31</v>
      </c>
      <c r="C10" s="40" t="s">
        <v>32</v>
      </c>
      <c r="D10" s="40"/>
      <c r="E10" s="40" t="s">
        <v>33</v>
      </c>
      <c r="F10" s="43"/>
      <c r="G10" s="41">
        <f>_xlfn.MINIFS(DADOS!$I:$I,DADOS!$B:$B,B10)</f>
        <v>45366</v>
      </c>
      <c r="H10" s="41">
        <f>_xlfn.MAXIFS(DADOS!$I:$I,DADOS!$B:$B,B10)</f>
        <v>46247</v>
      </c>
      <c r="I10" s="42">
        <f ca="1">CONFIG!$E$1-CLIENTES!H10</f>
        <v>7</v>
      </c>
      <c r="J10" s="43" t="str">
        <f>HYPERLINK("mailto:"&amp;C10&amp;"?subject="&amp;CONFIG!$G$1&amp;"&amp;body="&amp;CONFIG!$G$3,"Enviar e-mail")</f>
        <v>Enviar e-mail</v>
      </c>
      <c r="K10" s="44"/>
    </row>
    <row r="11" spans="1:11">
      <c r="A11" s="39">
        <v>463</v>
      </c>
      <c r="B11" s="40" t="s">
        <v>34</v>
      </c>
      <c r="C11" s="40" t="s">
        <v>35</v>
      </c>
      <c r="D11" s="40"/>
      <c r="E11" s="40" t="s">
        <v>36</v>
      </c>
      <c r="F11" s="43"/>
      <c r="G11" s="41">
        <f>_xlfn.MINIFS(DADOS!$I:$I,DADOS!$B:$B,B11)</f>
        <v>45359</v>
      </c>
      <c r="H11" s="41">
        <f>_xlfn.MAXIFS(DADOS!$I:$I,DADOS!$B:$B,B11)</f>
        <v>46247</v>
      </c>
      <c r="I11" s="42">
        <f ca="1">CONFIG!$E$1-CLIENTES!H11</f>
        <v>7</v>
      </c>
      <c r="J11" s="43" t="str">
        <f>HYPERLINK("mailto:"&amp;C11&amp;"?subject="&amp;CONFIG!$G$1&amp;"&amp;body="&amp;CONFIG!$G$3,"Enviar e-mail")</f>
        <v>Enviar e-mail</v>
      </c>
      <c r="K11" s="44"/>
    </row>
    <row r="12" spans="1:11">
      <c r="A12" s="39">
        <v>474</v>
      </c>
      <c r="B12" s="40" t="s">
        <v>37</v>
      </c>
      <c r="C12" s="40" t="s">
        <v>38</v>
      </c>
      <c r="D12" s="40"/>
      <c r="E12" s="40" t="s">
        <v>39</v>
      </c>
      <c r="F12" s="43"/>
      <c r="G12" s="41">
        <f>_xlfn.MINIFS(DADOS!$I:$I,DADOS!$B:$B,B12)</f>
        <v>45428</v>
      </c>
      <c r="H12" s="41">
        <f>_xlfn.MAXIFS(DADOS!$I:$I,DADOS!$B:$B,B12)</f>
        <v>46233</v>
      </c>
      <c r="I12" s="42">
        <f ca="1">CONFIG!$E$1-CLIENTES!H12</f>
        <v>21</v>
      </c>
      <c r="J12" s="43" t="str">
        <f>HYPERLINK("mailto:"&amp;C12&amp;"?subject="&amp;CONFIG!$G$1&amp;"&amp;body="&amp;CONFIG!$G$3,"Enviar e-mail")</f>
        <v>Enviar e-mail</v>
      </c>
      <c r="K12" s="44"/>
    </row>
    <row r="13" spans="1:11">
      <c r="A13" s="39">
        <v>475</v>
      </c>
      <c r="B13" s="40" t="s">
        <v>40</v>
      </c>
      <c r="C13" s="40" t="s">
        <v>41</v>
      </c>
      <c r="D13" s="40"/>
      <c r="E13" s="40" t="s">
        <v>42</v>
      </c>
      <c r="F13" s="43"/>
      <c r="G13" s="41">
        <f>_xlfn.MINIFS(DADOS!$I:$I,DADOS!$B:$B,B13)</f>
        <v>45357</v>
      </c>
      <c r="H13" s="41">
        <f>_xlfn.MAXIFS(DADOS!$I:$I,DADOS!$B:$B,B13)</f>
        <v>46239</v>
      </c>
      <c r="I13" s="42">
        <f ca="1">CONFIG!$E$1-CLIENTES!H13</f>
        <v>15</v>
      </c>
      <c r="J13" s="43" t="str">
        <f>HYPERLINK("mailto:"&amp;C13&amp;"?subject="&amp;CONFIG!$G$1&amp;"&amp;body="&amp;CONFIG!$G$3,"Enviar e-mail")</f>
        <v>Enviar e-mail</v>
      </c>
      <c r="K13" s="44"/>
    </row>
    <row r="14" spans="1:11">
      <c r="A14" s="39">
        <v>480</v>
      </c>
      <c r="B14" s="40" t="s">
        <v>43</v>
      </c>
      <c r="C14" s="40" t="s">
        <v>44</v>
      </c>
      <c r="D14" s="40"/>
      <c r="E14" s="40" t="s">
        <v>45</v>
      </c>
      <c r="F14" s="43"/>
      <c r="G14" s="41">
        <f>_xlfn.MINIFS(DADOS!$I:$I,DADOS!$B:$B,B14)</f>
        <v>45363</v>
      </c>
      <c r="H14" s="41">
        <f>_xlfn.MAXIFS(DADOS!$I:$I,DADOS!$B:$B,B14)</f>
        <v>46245</v>
      </c>
      <c r="I14" s="42">
        <f ca="1">CONFIG!$E$1-CLIENTES!H14</f>
        <v>9</v>
      </c>
      <c r="J14" s="43" t="str">
        <f>HYPERLINK("mailto:"&amp;C14&amp;"?subject="&amp;CONFIG!$G$1&amp;"&amp;body="&amp;CONFIG!$G$3,"Enviar e-mail")</f>
        <v>Enviar e-mail</v>
      </c>
      <c r="K14" s="44"/>
    </row>
    <row r="15" spans="1:11">
      <c r="A15" s="39">
        <v>516</v>
      </c>
      <c r="B15" s="40" t="s">
        <v>46</v>
      </c>
      <c r="C15" s="40" t="s">
        <v>47</v>
      </c>
      <c r="D15" s="40"/>
      <c r="E15" s="40" t="s">
        <v>48</v>
      </c>
      <c r="F15" s="43"/>
      <c r="G15" s="41">
        <f>_xlfn.MINIFS(DADOS!$I:$I,DADOS!$B:$B,B15)</f>
        <v>45355</v>
      </c>
      <c r="H15" s="41">
        <f>_xlfn.MAXIFS(DADOS!$I:$I,DADOS!$B:$B,B15)</f>
        <v>46240</v>
      </c>
      <c r="I15" s="42">
        <f ca="1">CONFIG!$E$1-CLIENTES!H15</f>
        <v>14</v>
      </c>
      <c r="J15" s="43" t="str">
        <f>HYPERLINK("mailto:"&amp;C15&amp;"?subject="&amp;CONFIG!$G$1&amp;"&amp;body="&amp;CONFIG!$G$3,"Enviar e-mail")</f>
        <v>Enviar e-mail</v>
      </c>
      <c r="K15" s="44"/>
    </row>
    <row r="16" spans="1:11">
      <c r="A16" s="39">
        <v>572</v>
      </c>
      <c r="B16" s="40" t="s">
        <v>50</v>
      </c>
      <c r="C16" s="40" t="s">
        <v>51</v>
      </c>
      <c r="D16" s="40"/>
      <c r="E16" s="40" t="s">
        <v>52</v>
      </c>
      <c r="F16" s="43"/>
      <c r="G16" s="41">
        <f>_xlfn.MINIFS(DADOS!$I:$I,DADOS!$B:$B,B16)</f>
        <v>45369</v>
      </c>
      <c r="H16" s="41">
        <f>_xlfn.MAXIFS(DADOS!$I:$I,DADOS!$B:$B,B16)</f>
        <v>46233</v>
      </c>
      <c r="I16" s="42">
        <f ca="1">CONFIG!$E$1-CLIENTES!H16</f>
        <v>21</v>
      </c>
      <c r="J16" s="43" t="str">
        <f>HYPERLINK("mailto:"&amp;C16&amp;"?subject="&amp;CONFIG!$G$1&amp;"&amp;body="&amp;CONFIG!$G$3,"Enviar e-mail")</f>
        <v>Enviar e-mail</v>
      </c>
      <c r="K16" s="44"/>
    </row>
    <row r="17" spans="1:11">
      <c r="A17" s="39">
        <v>575</v>
      </c>
      <c r="B17" s="40" t="s">
        <v>53</v>
      </c>
      <c r="C17" s="40" t="s">
        <v>54</v>
      </c>
      <c r="D17" s="40"/>
      <c r="E17" s="40" t="s">
        <v>52</v>
      </c>
      <c r="F17" s="43"/>
      <c r="G17" s="41">
        <f>_xlfn.MINIFS(DADOS!$I:$I,DADOS!$B:$B,B17)</f>
        <v>45369</v>
      </c>
      <c r="H17" s="41">
        <f>_xlfn.MAXIFS(DADOS!$I:$I,DADOS!$B:$B,B17)</f>
        <v>46237</v>
      </c>
      <c r="I17" s="42">
        <f ca="1">CONFIG!$E$1-CLIENTES!H17</f>
        <v>17</v>
      </c>
      <c r="J17" s="43" t="str">
        <f>HYPERLINK("mailto:"&amp;C17&amp;"?subject="&amp;CONFIG!$G$1&amp;"&amp;body="&amp;CONFIG!$G$3,"Enviar e-mail")</f>
        <v>Enviar e-mail</v>
      </c>
      <c r="K17" s="44"/>
    </row>
    <row r="18" spans="1:11">
      <c r="A18" s="39">
        <v>581</v>
      </c>
      <c r="B18" s="40" t="s">
        <v>55</v>
      </c>
      <c r="C18" s="40" t="s">
        <v>56</v>
      </c>
      <c r="D18" s="40"/>
      <c r="E18" s="40" t="s">
        <v>57</v>
      </c>
      <c r="F18" s="43"/>
      <c r="G18" s="41">
        <f>_xlfn.MINIFS(DADOS!$I:$I,DADOS!$B:$B,B18)</f>
        <v>45386</v>
      </c>
      <c r="H18" s="41">
        <f>_xlfn.MAXIFS(DADOS!$I:$I,DADOS!$B:$B,B18)</f>
        <v>46239</v>
      </c>
      <c r="I18" s="42">
        <f ca="1">CONFIG!$E$1-CLIENTES!H18</f>
        <v>15</v>
      </c>
      <c r="J18" s="43" t="str">
        <f>HYPERLINK("mailto:"&amp;C18&amp;"?subject="&amp;CONFIG!$G$1&amp;"&amp;body="&amp;CONFIG!$G$3,"Enviar e-mail")</f>
        <v>Enviar e-mail</v>
      </c>
      <c r="K18" s="44"/>
    </row>
    <row r="19" spans="1:11">
      <c r="A19" s="39">
        <v>618</v>
      </c>
      <c r="B19" s="40" t="s">
        <v>58</v>
      </c>
      <c r="C19" s="40" t="s">
        <v>59</v>
      </c>
      <c r="D19" s="40"/>
      <c r="E19" s="40" t="s">
        <v>60</v>
      </c>
      <c r="F19" s="43"/>
      <c r="G19" s="41">
        <f>_xlfn.MINIFS(DADOS!$I:$I,DADOS!$B:$B,B19)</f>
        <v>45358</v>
      </c>
      <c r="H19" s="41">
        <f>_xlfn.MAXIFS(DADOS!$I:$I,DADOS!$B:$B,B19)</f>
        <v>46234</v>
      </c>
      <c r="I19" s="42">
        <f ca="1">CONFIG!$E$1-CLIENTES!H19</f>
        <v>20</v>
      </c>
      <c r="J19" s="43" t="str">
        <f>HYPERLINK("mailto:"&amp;C19&amp;"?subject="&amp;CONFIG!$G$1&amp;"&amp;body="&amp;CONFIG!$G$3,"Enviar e-mail")</f>
        <v>Enviar e-mail</v>
      </c>
      <c r="K19" s="44"/>
    </row>
    <row r="20" spans="1:11">
      <c r="A20" s="39">
        <v>620</v>
      </c>
      <c r="B20" s="40" t="s">
        <v>61</v>
      </c>
      <c r="C20" s="40" t="s">
        <v>62</v>
      </c>
      <c r="D20" s="40"/>
      <c r="E20" s="40" t="s">
        <v>63</v>
      </c>
      <c r="F20" s="43"/>
      <c r="G20" s="41">
        <f>_xlfn.MINIFS(DADOS!$I:$I,DADOS!$B:$B,B20)</f>
        <v>45378</v>
      </c>
      <c r="H20" s="41">
        <f>_xlfn.MAXIFS(DADOS!$I:$I,DADOS!$B:$B,B20)</f>
        <v>46251</v>
      </c>
      <c r="I20" s="42">
        <f ca="1">CONFIG!$E$1-CLIENTES!H20</f>
        <v>3</v>
      </c>
      <c r="J20" s="43" t="str">
        <f>HYPERLINK("mailto:"&amp;C20&amp;"?subject="&amp;CONFIG!$G$1&amp;"&amp;body="&amp;CONFIG!$G$3,"Enviar e-mail")</f>
        <v>Enviar e-mail</v>
      </c>
      <c r="K20" s="44"/>
    </row>
    <row r="21" spans="1:11">
      <c r="A21" s="39">
        <v>663</v>
      </c>
      <c r="B21" s="40" t="s">
        <v>64</v>
      </c>
      <c r="C21" s="40" t="s">
        <v>65</v>
      </c>
      <c r="D21" s="40"/>
      <c r="E21" s="40" t="s">
        <v>66</v>
      </c>
      <c r="F21" s="43"/>
      <c r="G21" s="41">
        <f>_xlfn.MINIFS(DADOS!$I:$I,DADOS!$B:$B,B21)</f>
        <v>45580</v>
      </c>
      <c r="H21" s="41">
        <f>_xlfn.MAXIFS(DADOS!$I:$I,DADOS!$B:$B,B21)</f>
        <v>46244</v>
      </c>
      <c r="I21" s="42">
        <f ca="1">CONFIG!$E$1-CLIENTES!H21</f>
        <v>10</v>
      </c>
      <c r="J21" s="43" t="str">
        <f>HYPERLINK("mailto:"&amp;C21&amp;"?subject="&amp;CONFIG!$G$1&amp;"&amp;body="&amp;CONFIG!$G$3,"Enviar e-mail")</f>
        <v>Enviar e-mail</v>
      </c>
      <c r="K21" s="44"/>
    </row>
    <row r="22" spans="1:11">
      <c r="A22" s="39">
        <v>668</v>
      </c>
      <c r="B22" s="40" t="s">
        <v>67</v>
      </c>
      <c r="C22" s="40" t="s">
        <v>68</v>
      </c>
      <c r="D22" s="40"/>
      <c r="E22" s="40" t="s">
        <v>69</v>
      </c>
      <c r="F22" s="43"/>
      <c r="G22" s="41">
        <f>_xlfn.MINIFS(DADOS!$I:$I,DADOS!$B:$B,B22)</f>
        <v>45589</v>
      </c>
      <c r="H22" s="41">
        <f>_xlfn.MAXIFS(DADOS!$I:$I,DADOS!$B:$B,B22)</f>
        <v>45589</v>
      </c>
      <c r="I22" s="42">
        <f ca="1">CONFIG!$E$1-CLIENTES!H22</f>
        <v>665</v>
      </c>
      <c r="J22" s="43" t="str">
        <f>HYPERLINK("mailto:"&amp;C22&amp;"?subject="&amp;CONFIG!$G$1&amp;"&amp;body="&amp;CONFIG!$G$3,"Enviar e-mail")</f>
        <v>Enviar e-mail</v>
      </c>
      <c r="K22" s="44"/>
    </row>
    <row r="23" spans="1:11">
      <c r="A23" s="39">
        <v>687</v>
      </c>
      <c r="B23" s="40" t="s">
        <v>70</v>
      </c>
      <c r="C23" s="40" t="s">
        <v>71</v>
      </c>
      <c r="D23" s="40"/>
      <c r="E23" s="40" t="s">
        <v>72</v>
      </c>
      <c r="F23" s="43"/>
      <c r="G23" s="41">
        <f>_xlfn.MINIFS(DADOS!$I:$I,DADOS!$B:$B,B23)</f>
        <v>45356</v>
      </c>
      <c r="H23" s="41">
        <f>_xlfn.MAXIFS(DADOS!$I:$I,DADOS!$B:$B,B23)</f>
        <v>46205</v>
      </c>
      <c r="I23" s="42">
        <f ca="1">CONFIG!$E$1-CLIENTES!H23</f>
        <v>49</v>
      </c>
      <c r="J23" s="43" t="str">
        <f>HYPERLINK("mailto:"&amp;C23&amp;"?subject="&amp;CONFIG!$G$1&amp;"&amp;body="&amp;CONFIG!$G$3,"Enviar e-mail")</f>
        <v>Enviar e-mail</v>
      </c>
      <c r="K23" s="44"/>
    </row>
    <row r="24" spans="1:11">
      <c r="A24" s="39">
        <v>690</v>
      </c>
      <c r="B24" s="40" t="s">
        <v>73</v>
      </c>
      <c r="C24" s="40" t="s">
        <v>74</v>
      </c>
      <c r="D24" s="40"/>
      <c r="E24" s="40" t="s">
        <v>75</v>
      </c>
      <c r="F24" s="43"/>
      <c r="G24" s="41">
        <f>_xlfn.MINIFS(DADOS!$I:$I,DADOS!$B:$B,B24)</f>
        <v>45357</v>
      </c>
      <c r="H24" s="41">
        <f>_xlfn.MAXIFS(DADOS!$I:$I,DADOS!$B:$B,B24)</f>
        <v>46241</v>
      </c>
      <c r="I24" s="42">
        <f ca="1">CONFIG!$E$1-CLIENTES!H24</f>
        <v>13</v>
      </c>
      <c r="J24" s="43" t="str">
        <f>HYPERLINK("mailto:"&amp;C24&amp;"?subject="&amp;CONFIG!$G$1&amp;"&amp;body="&amp;CONFIG!$G$3,"Enviar e-mail")</f>
        <v>Enviar e-mail</v>
      </c>
      <c r="K24" s="44"/>
    </row>
    <row r="25" spans="1:11">
      <c r="A25" s="39">
        <v>704</v>
      </c>
      <c r="B25" s="40" t="s">
        <v>76</v>
      </c>
      <c r="C25" s="40" t="s">
        <v>77</v>
      </c>
      <c r="D25" s="40"/>
      <c r="E25" s="40" t="s">
        <v>78</v>
      </c>
      <c r="F25" s="43"/>
      <c r="G25" s="41">
        <f>_xlfn.MINIFS(DADOS!$I:$I,DADOS!$B:$B,B25)</f>
        <v>45369</v>
      </c>
      <c r="H25" s="41">
        <f>_xlfn.MAXIFS(DADOS!$I:$I,DADOS!$B:$B,B25)</f>
        <v>46192</v>
      </c>
      <c r="I25" s="42">
        <f ca="1">CONFIG!$E$1-CLIENTES!H25</f>
        <v>62</v>
      </c>
      <c r="J25" s="43" t="str">
        <f>HYPERLINK("mailto:"&amp;C25&amp;"?subject="&amp;CONFIG!$G$1&amp;"&amp;body="&amp;CONFIG!$G$3,"Enviar e-mail")</f>
        <v>Enviar e-mail</v>
      </c>
      <c r="K25" s="44"/>
    </row>
    <row r="26" spans="1:11">
      <c r="A26" s="39">
        <v>705</v>
      </c>
      <c r="B26" s="40" t="s">
        <v>79</v>
      </c>
      <c r="C26" s="40" t="s">
        <v>80</v>
      </c>
      <c r="D26" s="40"/>
      <c r="E26" s="40" t="s">
        <v>36</v>
      </c>
      <c r="F26" s="43"/>
      <c r="G26" s="41">
        <f>_xlfn.MINIFS(DADOS!$I:$I,DADOS!$B:$B,B26)</f>
        <v>45352</v>
      </c>
      <c r="H26" s="41">
        <f>_xlfn.MAXIFS(DADOS!$I:$I,DADOS!$B:$B,B26)</f>
        <v>46224</v>
      </c>
      <c r="I26" s="42">
        <f ca="1">CONFIG!$E$1-CLIENTES!H26</f>
        <v>30</v>
      </c>
      <c r="J26" s="43" t="str">
        <f>HYPERLINK("mailto:"&amp;C26&amp;"?subject="&amp;CONFIG!$G$1&amp;"&amp;body="&amp;CONFIG!$G$3,"Enviar e-mail")</f>
        <v>Enviar e-mail</v>
      </c>
      <c r="K26" s="44"/>
    </row>
    <row r="27" spans="1:11">
      <c r="A27" s="39">
        <v>708</v>
      </c>
      <c r="B27" s="40" t="s">
        <v>81</v>
      </c>
      <c r="C27" s="40" t="s">
        <v>82</v>
      </c>
      <c r="D27" s="40"/>
      <c r="E27" s="40" t="s">
        <v>83</v>
      </c>
      <c r="F27" s="43"/>
      <c r="G27" s="41">
        <f>_xlfn.MINIFS(DADOS!$I:$I,DADOS!$B:$B,B27)</f>
        <v>45371</v>
      </c>
      <c r="H27" s="41">
        <f>_xlfn.MAXIFS(DADOS!$I:$I,DADOS!$B:$B,B27)</f>
        <v>46231</v>
      </c>
      <c r="I27" s="42">
        <f ca="1">CONFIG!$E$1-CLIENTES!H27</f>
        <v>23</v>
      </c>
      <c r="J27" s="43" t="str">
        <f>HYPERLINK("mailto:"&amp;C27&amp;"?subject="&amp;CONFIG!$G$1&amp;"&amp;body="&amp;CONFIG!$G$3,"Enviar e-mail")</f>
        <v>Enviar e-mail</v>
      </c>
      <c r="K27" s="44"/>
    </row>
    <row r="28" spans="1:11">
      <c r="A28" s="39">
        <v>724</v>
      </c>
      <c r="B28" s="40" t="s">
        <v>84</v>
      </c>
      <c r="C28" s="40" t="s">
        <v>85</v>
      </c>
      <c r="D28" s="40"/>
      <c r="E28" s="40" t="s">
        <v>86</v>
      </c>
      <c r="F28" s="43"/>
      <c r="G28" s="41">
        <f>_xlfn.MINIFS(DADOS!$I:$I,DADOS!$B:$B,B28)</f>
        <v>45364</v>
      </c>
      <c r="H28" s="41">
        <f>_xlfn.MAXIFS(DADOS!$I:$I,DADOS!$B:$B,B28)</f>
        <v>46174</v>
      </c>
      <c r="I28" s="42">
        <f ca="1">CONFIG!$E$1-CLIENTES!H28</f>
        <v>80</v>
      </c>
      <c r="J28" s="43" t="str">
        <f>HYPERLINK("mailto:"&amp;C28&amp;"?subject="&amp;CONFIG!$G$1&amp;"&amp;body="&amp;CONFIG!$G$3,"Enviar e-mail")</f>
        <v>Enviar e-mail</v>
      </c>
      <c r="K28" s="44"/>
    </row>
    <row r="29" spans="1:11">
      <c r="A29" s="39">
        <v>725</v>
      </c>
      <c r="B29" s="40" t="s">
        <v>87</v>
      </c>
      <c r="C29" s="40" t="s">
        <v>88</v>
      </c>
      <c r="D29" s="40"/>
      <c r="E29" s="40" t="s">
        <v>86</v>
      </c>
      <c r="F29" s="43"/>
      <c r="G29" s="41">
        <f>_xlfn.MINIFS(DADOS!$I:$I,DADOS!$B:$B,B29)</f>
        <v>45376</v>
      </c>
      <c r="H29" s="41">
        <f>_xlfn.MAXIFS(DADOS!$I:$I,DADOS!$B:$B,B29)</f>
        <v>46185</v>
      </c>
      <c r="I29" s="42">
        <f ca="1">CONFIG!$E$1-CLIENTES!H29</f>
        <v>69</v>
      </c>
      <c r="J29" s="43" t="str">
        <f>HYPERLINK("mailto:"&amp;C29&amp;"?subject="&amp;CONFIG!$G$1&amp;"&amp;body="&amp;CONFIG!$G$3,"Enviar e-mail")</f>
        <v>Enviar e-mail</v>
      </c>
      <c r="K29" s="44"/>
    </row>
    <row r="30" spans="1:11">
      <c r="A30" s="39">
        <v>731</v>
      </c>
      <c r="B30" s="40" t="s">
        <v>89</v>
      </c>
      <c r="C30" s="40" t="s">
        <v>90</v>
      </c>
      <c r="D30" s="40"/>
      <c r="E30" s="40" t="s">
        <v>86</v>
      </c>
      <c r="F30" s="43"/>
      <c r="G30" s="41">
        <f>_xlfn.MINIFS(DADOS!$I:$I,DADOS!$B:$B,B30)</f>
        <v>45352</v>
      </c>
      <c r="H30" s="41">
        <f>_xlfn.MAXIFS(DADOS!$I:$I,DADOS!$B:$B,B30)</f>
        <v>46162</v>
      </c>
      <c r="I30" s="42">
        <f ca="1">CONFIG!$E$1-CLIENTES!H30</f>
        <v>92</v>
      </c>
      <c r="J30" s="43" t="str">
        <f>HYPERLINK("mailto:"&amp;C30&amp;"?subject="&amp;CONFIG!$G$1&amp;"&amp;body="&amp;CONFIG!$G$3,"Enviar e-mail")</f>
        <v>Enviar e-mail</v>
      </c>
      <c r="K30" s="44"/>
    </row>
    <row r="31" spans="1:11">
      <c r="A31" s="39">
        <v>741</v>
      </c>
      <c r="B31" s="40" t="s">
        <v>91</v>
      </c>
      <c r="C31" s="40" t="s">
        <v>92</v>
      </c>
      <c r="D31" s="40"/>
      <c r="E31" s="40" t="s">
        <v>93</v>
      </c>
      <c r="F31" s="43"/>
      <c r="G31" s="41">
        <f>_xlfn.MINIFS(DADOS!$I:$I,DADOS!$B:$B,B31)</f>
        <v>45407</v>
      </c>
      <c r="H31" s="41">
        <f>_xlfn.MAXIFS(DADOS!$I:$I,DADOS!$B:$B,B31)</f>
        <v>45777</v>
      </c>
      <c r="I31" s="42">
        <f ca="1">CONFIG!$E$1-CLIENTES!H31</f>
        <v>477</v>
      </c>
      <c r="J31" s="43" t="str">
        <f>HYPERLINK("mailto:"&amp;C31&amp;"?subject="&amp;CONFIG!$G$1&amp;"&amp;body="&amp;CONFIG!$G$3,"Enviar e-mail")</f>
        <v>Enviar e-mail</v>
      </c>
      <c r="K31" s="44"/>
    </row>
    <row r="32" spans="1:11">
      <c r="A32" s="39">
        <v>746</v>
      </c>
      <c r="B32" s="40" t="s">
        <v>94</v>
      </c>
      <c r="C32" s="40" t="s">
        <v>95</v>
      </c>
      <c r="D32" s="40"/>
      <c r="E32" s="40" t="s">
        <v>96</v>
      </c>
      <c r="F32" s="43"/>
      <c r="G32" s="41">
        <f>_xlfn.MINIFS(DADOS!$I:$I,DADOS!$B:$B,B32)</f>
        <v>45352</v>
      </c>
      <c r="H32" s="41">
        <f>_xlfn.MAXIFS(DADOS!$I:$I,DADOS!$B:$B,B32)</f>
        <v>46238</v>
      </c>
      <c r="I32" s="42">
        <f ca="1">CONFIG!$E$1-CLIENTES!H32</f>
        <v>16</v>
      </c>
      <c r="J32" s="43" t="str">
        <f>HYPERLINK("mailto:"&amp;C32&amp;"?subject="&amp;CONFIG!$G$1&amp;"&amp;body="&amp;CONFIG!$G$3,"Enviar e-mail")</f>
        <v>Enviar e-mail</v>
      </c>
      <c r="K32" s="44"/>
    </row>
    <row r="33" spans="1:11">
      <c r="A33" s="39">
        <v>756</v>
      </c>
      <c r="B33" s="40" t="s">
        <v>97</v>
      </c>
      <c r="C33" s="40" t="s">
        <v>98</v>
      </c>
      <c r="D33" s="40"/>
      <c r="E33" s="40" t="s">
        <v>99</v>
      </c>
      <c r="F33" s="43"/>
      <c r="G33" s="41">
        <f>_xlfn.MINIFS(DADOS!$I:$I,DADOS!$B:$B,B33)</f>
        <v>45352</v>
      </c>
      <c r="H33" s="41">
        <f>_xlfn.MAXIFS(DADOS!$I:$I,DADOS!$B:$B,B33)</f>
        <v>45614</v>
      </c>
      <c r="I33" s="42">
        <f ca="1">CONFIG!$E$1-CLIENTES!H33</f>
        <v>640</v>
      </c>
      <c r="J33" s="43" t="str">
        <f>HYPERLINK("mailto:"&amp;C33&amp;"?subject="&amp;CONFIG!$G$1&amp;"&amp;body="&amp;CONFIG!$G$3,"Enviar e-mail")</f>
        <v>Enviar e-mail</v>
      </c>
      <c r="K33" s="44"/>
    </row>
    <row r="34" spans="1:11">
      <c r="A34" s="39">
        <v>761</v>
      </c>
      <c r="B34" s="40" t="s">
        <v>100</v>
      </c>
      <c r="C34" s="40" t="s">
        <v>101</v>
      </c>
      <c r="D34" s="40"/>
      <c r="E34" s="40" t="s">
        <v>99</v>
      </c>
      <c r="F34" s="43"/>
      <c r="G34" s="41">
        <f>_xlfn.MINIFS(DADOS!$I:$I,DADOS!$B:$B,B34)</f>
        <v>45357</v>
      </c>
      <c r="H34" s="41">
        <f>_xlfn.MAXIFS(DADOS!$I:$I,DADOS!$B:$B,B34)</f>
        <v>46240</v>
      </c>
      <c r="I34" s="42">
        <f ca="1">CONFIG!$E$1-CLIENTES!H34</f>
        <v>14</v>
      </c>
      <c r="J34" s="43" t="str">
        <f>HYPERLINK("mailto:"&amp;C34&amp;"?subject="&amp;CONFIG!$G$1&amp;"&amp;body="&amp;CONFIG!$G$3,"Enviar e-mail")</f>
        <v>Enviar e-mail</v>
      </c>
      <c r="K34" s="44"/>
    </row>
    <row r="35" spans="1:11">
      <c r="A35" s="39">
        <v>762</v>
      </c>
      <c r="B35" s="40" t="s">
        <v>102</v>
      </c>
      <c r="C35" s="40" t="s">
        <v>103</v>
      </c>
      <c r="D35" s="40"/>
      <c r="E35" s="40" t="s">
        <v>99</v>
      </c>
      <c r="F35" s="43"/>
      <c r="G35" s="41">
        <f>_xlfn.MINIFS(DADOS!$I:$I,DADOS!$B:$B,B35)</f>
        <v>45364</v>
      </c>
      <c r="H35" s="41">
        <f>_xlfn.MAXIFS(DADOS!$I:$I,DADOS!$B:$B,B35)</f>
        <v>46248</v>
      </c>
      <c r="I35" s="42">
        <f ca="1">CONFIG!$E$1-CLIENTES!H35</f>
        <v>6</v>
      </c>
      <c r="J35" s="43" t="str">
        <f>HYPERLINK("mailto:"&amp;C35&amp;"?subject="&amp;CONFIG!$G$1&amp;"&amp;body="&amp;CONFIG!$G$3,"Enviar e-mail")</f>
        <v>Enviar e-mail</v>
      </c>
      <c r="K35" s="44"/>
    </row>
    <row r="36" spans="1:11">
      <c r="A36" s="39">
        <v>772</v>
      </c>
      <c r="B36" s="40" t="s">
        <v>104</v>
      </c>
      <c r="C36" s="40" t="s">
        <v>105</v>
      </c>
      <c r="D36" s="40"/>
      <c r="E36" s="40" t="s">
        <v>106</v>
      </c>
      <c r="F36" s="43"/>
      <c r="G36" s="41">
        <f>_xlfn.MINIFS(DADOS!$I:$I,DADOS!$B:$B,B36)</f>
        <v>45383</v>
      </c>
      <c r="H36" s="41">
        <f>_xlfn.MAXIFS(DADOS!$I:$I,DADOS!$B:$B,B36)</f>
        <v>46232</v>
      </c>
      <c r="I36" s="42">
        <f ca="1">CONFIG!$E$1-CLIENTES!H36</f>
        <v>22</v>
      </c>
      <c r="J36" s="43" t="str">
        <f>HYPERLINK("mailto:"&amp;C36&amp;"?subject="&amp;CONFIG!$G$1&amp;"&amp;body="&amp;CONFIG!$G$3,"Enviar e-mail")</f>
        <v>Enviar e-mail</v>
      </c>
      <c r="K36" s="44"/>
    </row>
    <row r="37" spans="1:11">
      <c r="A37" s="39">
        <v>784</v>
      </c>
      <c r="B37" s="40" t="s">
        <v>107</v>
      </c>
      <c r="C37" s="40" t="s">
        <v>108</v>
      </c>
      <c r="D37" s="40"/>
      <c r="E37" s="40" t="s">
        <v>109</v>
      </c>
      <c r="F37" s="43"/>
      <c r="G37" s="41">
        <f>_xlfn.MINIFS(DADOS!$I:$I,DADOS!$B:$B,B37)</f>
        <v>45356</v>
      </c>
      <c r="H37" s="41">
        <f>_xlfn.MAXIFS(DADOS!$I:$I,DADOS!$B:$B,B37)</f>
        <v>46248</v>
      </c>
      <c r="I37" s="42">
        <f ca="1">CONFIG!$E$1-CLIENTES!H37</f>
        <v>6</v>
      </c>
      <c r="J37" s="43" t="str">
        <f>HYPERLINK("mailto:"&amp;C37&amp;"?subject="&amp;CONFIG!$G$1&amp;"&amp;body="&amp;CONFIG!$G$3,"Enviar e-mail")</f>
        <v>Enviar e-mail</v>
      </c>
      <c r="K37" s="44"/>
    </row>
    <row r="38" spans="1:11">
      <c r="A38" s="39">
        <v>822</v>
      </c>
      <c r="B38" s="40" t="s">
        <v>110</v>
      </c>
      <c r="C38" s="40" t="s">
        <v>111</v>
      </c>
      <c r="D38" s="40"/>
      <c r="E38" s="40" t="s">
        <v>42</v>
      </c>
      <c r="F38" s="43"/>
      <c r="G38" s="41">
        <f>_xlfn.MINIFS(DADOS!$I:$I,DADOS!$B:$B,B38)</f>
        <v>45377</v>
      </c>
      <c r="H38" s="41">
        <f>_xlfn.MAXIFS(DADOS!$I:$I,DADOS!$B:$B,B38)</f>
        <v>46230</v>
      </c>
      <c r="I38" s="42">
        <f ca="1">CONFIG!$E$1-CLIENTES!H38</f>
        <v>24</v>
      </c>
      <c r="J38" s="43" t="str">
        <f>HYPERLINK("mailto:"&amp;C38&amp;"?subject="&amp;CONFIG!$G$1&amp;"&amp;body="&amp;CONFIG!$G$3,"Enviar e-mail")</f>
        <v>Enviar e-mail</v>
      </c>
      <c r="K38" s="44"/>
    </row>
    <row r="39" spans="1:11">
      <c r="A39" s="39">
        <v>823</v>
      </c>
      <c r="B39" s="40" t="s">
        <v>613</v>
      </c>
      <c r="C39" s="40" t="s">
        <v>112</v>
      </c>
      <c r="D39" s="40"/>
      <c r="E39" s="40" t="s">
        <v>42</v>
      </c>
      <c r="F39" s="43"/>
      <c r="G39" s="41">
        <f>_xlfn.MINIFS(DADOS!$I:$I,DADOS!$B:$B,B39)</f>
        <v>45356</v>
      </c>
      <c r="H39" s="41">
        <f>_xlfn.MAXIFS(DADOS!$I:$I,DADOS!$B:$B,B39)</f>
        <v>46233</v>
      </c>
      <c r="I39" s="42">
        <f ca="1">CONFIG!$E$1-CLIENTES!H39</f>
        <v>21</v>
      </c>
      <c r="J39" s="43" t="str">
        <f>HYPERLINK("mailto:"&amp;C39&amp;"?subject="&amp;CONFIG!$G$1&amp;"&amp;body="&amp;CONFIG!$G$3,"Enviar e-mail")</f>
        <v>Enviar e-mail</v>
      </c>
      <c r="K39" s="44"/>
    </row>
    <row r="40" spans="1:11">
      <c r="A40" s="39">
        <v>832</v>
      </c>
      <c r="B40" s="40" t="s">
        <v>113</v>
      </c>
      <c r="C40" s="40" t="s">
        <v>114</v>
      </c>
      <c r="D40" s="40"/>
      <c r="E40" s="40" t="s">
        <v>115</v>
      </c>
      <c r="F40" s="43" t="s">
        <v>387</v>
      </c>
      <c r="G40" s="41">
        <f>_xlfn.MINIFS(DADOS!$I:$I,DADOS!$B:$B,B40)</f>
        <v>45359</v>
      </c>
      <c r="H40" s="41">
        <f>_xlfn.MAXIFS(DADOS!$I:$I,DADOS!$B:$B,B40)</f>
        <v>46234</v>
      </c>
      <c r="I40" s="42">
        <f ca="1">CONFIG!$E$1-CLIENTES!H40</f>
        <v>20</v>
      </c>
      <c r="J40" s="43" t="str">
        <f>HYPERLINK("mailto:"&amp;C40&amp;"?subject="&amp;CONFIG!$G$1&amp;"&amp;body="&amp;CONFIG!$G$3,"Enviar e-mail")</f>
        <v>Enviar e-mail</v>
      </c>
      <c r="K40" s="44"/>
    </row>
    <row r="41" spans="1:11">
      <c r="A41" s="39">
        <v>874</v>
      </c>
      <c r="B41" s="40" t="s">
        <v>116</v>
      </c>
      <c r="C41" s="40" t="s">
        <v>117</v>
      </c>
      <c r="D41" s="40"/>
      <c r="E41" s="40" t="s">
        <v>118</v>
      </c>
      <c r="F41" s="43"/>
      <c r="G41" s="41">
        <f>_xlfn.MINIFS(DADOS!$I:$I,DADOS!$B:$B,B41)</f>
        <v>45370</v>
      </c>
      <c r="H41" s="41">
        <f>_xlfn.MAXIFS(DADOS!$I:$I,DADOS!$B:$B,B41)</f>
        <v>46218</v>
      </c>
      <c r="I41" s="42">
        <f ca="1">CONFIG!$E$1-CLIENTES!H41</f>
        <v>36</v>
      </c>
      <c r="J41" s="43" t="str">
        <f>HYPERLINK("mailto:"&amp;C41&amp;"?subject="&amp;CONFIG!$G$1&amp;"&amp;body="&amp;CONFIG!$G$3,"Enviar e-mail")</f>
        <v>Enviar e-mail</v>
      </c>
      <c r="K41" s="44"/>
    </row>
    <row r="42" spans="1:11">
      <c r="A42" s="39">
        <v>885</v>
      </c>
      <c r="B42" s="40" t="s">
        <v>119</v>
      </c>
      <c r="C42" s="40" t="s">
        <v>120</v>
      </c>
      <c r="D42" s="40"/>
      <c r="E42" s="40" t="s">
        <v>121</v>
      </c>
      <c r="F42" s="43" t="s">
        <v>385</v>
      </c>
      <c r="G42" s="41">
        <f>_xlfn.MINIFS(DADOS!$I:$I,DADOS!$B:$B,B42)</f>
        <v>45414</v>
      </c>
      <c r="H42" s="41">
        <f>_xlfn.MAXIFS(DADOS!$I:$I,DADOS!$B:$B,B42)</f>
        <v>45663</v>
      </c>
      <c r="I42" s="42">
        <f ca="1">CONFIG!$E$1-CLIENTES!H42</f>
        <v>591</v>
      </c>
      <c r="J42" s="43" t="str">
        <f>HYPERLINK("mailto:"&amp;C42&amp;"?subject="&amp;CONFIG!$G$1&amp;"&amp;body="&amp;CONFIG!$G$3,"Enviar e-mail")</f>
        <v>Enviar e-mail</v>
      </c>
      <c r="K42" s="44"/>
    </row>
    <row r="43" spans="1:11">
      <c r="A43" s="39">
        <v>905</v>
      </c>
      <c r="B43" s="40" t="s">
        <v>122</v>
      </c>
      <c r="C43" s="40" t="s">
        <v>123</v>
      </c>
      <c r="D43" s="40"/>
      <c r="E43" s="40" t="s">
        <v>124</v>
      </c>
      <c r="F43" s="43" t="s">
        <v>385</v>
      </c>
      <c r="G43" s="41">
        <f>_xlfn.MINIFS(DADOS!$I:$I,DADOS!$B:$B,B43)</f>
        <v>45384</v>
      </c>
      <c r="H43" s="41">
        <f>_xlfn.MAXIFS(DADOS!$I:$I,DADOS!$B:$B,B43)</f>
        <v>46230</v>
      </c>
      <c r="I43" s="42">
        <f ca="1">CONFIG!$E$1-CLIENTES!H43</f>
        <v>24</v>
      </c>
      <c r="J43" s="43" t="str">
        <f>HYPERLINK("mailto:"&amp;C43&amp;"?subject="&amp;CONFIG!$G$1&amp;"&amp;body="&amp;CONFIG!$G$3,"Enviar e-mail")</f>
        <v>Enviar e-mail</v>
      </c>
      <c r="K43" s="44"/>
    </row>
    <row r="44" spans="1:11">
      <c r="A44" s="39">
        <v>906</v>
      </c>
      <c r="B44" s="40" t="s">
        <v>125</v>
      </c>
      <c r="C44" s="40" t="s">
        <v>126</v>
      </c>
      <c r="D44" s="40"/>
      <c r="E44" s="40" t="s">
        <v>127</v>
      </c>
      <c r="F44" s="43"/>
      <c r="G44" s="41">
        <f>_xlfn.MINIFS(DADOS!$I:$I,DADOS!$B:$B,B44)</f>
        <v>45358</v>
      </c>
      <c r="H44" s="41">
        <f>_xlfn.MAXIFS(DADOS!$I:$I,DADOS!$B:$B,B44)</f>
        <v>46230</v>
      </c>
      <c r="I44" s="42">
        <f ca="1">CONFIG!$E$1-CLIENTES!H44</f>
        <v>24</v>
      </c>
      <c r="J44" s="43" t="str">
        <f>HYPERLINK("mailto:"&amp;C44&amp;"?subject="&amp;CONFIG!$G$1&amp;"&amp;body="&amp;CONFIG!$G$3,"Enviar e-mail")</f>
        <v>Enviar e-mail</v>
      </c>
      <c r="K44" s="44"/>
    </row>
    <row r="45" spans="1:11">
      <c r="A45" s="39">
        <v>960</v>
      </c>
      <c r="B45" s="40" t="s">
        <v>128</v>
      </c>
      <c r="C45" s="40" t="s">
        <v>129</v>
      </c>
      <c r="D45" s="40"/>
      <c r="E45" s="40" t="s">
        <v>130</v>
      </c>
      <c r="F45" s="43"/>
      <c r="G45" s="41">
        <f>_xlfn.MINIFS(DADOS!$I:$I,DADOS!$B:$B,B45)</f>
        <v>45359</v>
      </c>
      <c r="H45" s="41">
        <f>_xlfn.MAXIFS(DADOS!$I:$I,DADOS!$B:$B,B45)</f>
        <v>46238</v>
      </c>
      <c r="I45" s="42">
        <f ca="1">CONFIG!$E$1-CLIENTES!H45</f>
        <v>16</v>
      </c>
      <c r="J45" s="43" t="str">
        <f>HYPERLINK("mailto:"&amp;C45&amp;"?subject="&amp;CONFIG!$G$1&amp;"&amp;body="&amp;CONFIG!$G$3,"Enviar e-mail")</f>
        <v>Enviar e-mail</v>
      </c>
      <c r="K45" s="44"/>
    </row>
    <row r="46" spans="1:11">
      <c r="A46" s="39">
        <v>980</v>
      </c>
      <c r="B46" s="40" t="s">
        <v>131</v>
      </c>
      <c r="C46" s="40" t="s">
        <v>132</v>
      </c>
      <c r="D46" s="40"/>
      <c r="E46" s="40" t="s">
        <v>133</v>
      </c>
      <c r="F46" s="43" t="s">
        <v>385</v>
      </c>
      <c r="G46" s="41">
        <f>_xlfn.MINIFS(DADOS!$I:$I,DADOS!$B:$B,B46)</f>
        <v>45397</v>
      </c>
      <c r="H46" s="41">
        <f>_xlfn.MAXIFS(DADOS!$I:$I,DADOS!$B:$B,B46)</f>
        <v>46182</v>
      </c>
      <c r="I46" s="42">
        <f ca="1">CONFIG!$E$1-CLIENTES!H46</f>
        <v>72</v>
      </c>
      <c r="J46" s="43" t="str">
        <f>HYPERLINK("mailto:"&amp;C46&amp;"?subject="&amp;CONFIG!$G$1&amp;"&amp;body="&amp;CONFIG!$G$3,"Enviar e-mail")</f>
        <v>Enviar e-mail</v>
      </c>
      <c r="K46" s="44"/>
    </row>
    <row r="47" spans="1:11">
      <c r="A47" s="39">
        <v>1016</v>
      </c>
      <c r="B47" s="40" t="s">
        <v>134</v>
      </c>
      <c r="C47" s="40" t="s">
        <v>135</v>
      </c>
      <c r="D47" s="40"/>
      <c r="E47" s="40" t="s">
        <v>136</v>
      </c>
      <c r="F47" s="43"/>
      <c r="G47" s="41">
        <f>_xlfn.MINIFS(DADOS!$I:$I,DADOS!$B:$B,B47)</f>
        <v>45446</v>
      </c>
      <c r="H47" s="41">
        <f>_xlfn.MAXIFS(DADOS!$I:$I,DADOS!$B:$B,B47)</f>
        <v>46220</v>
      </c>
      <c r="I47" s="42">
        <f ca="1">CONFIG!$E$1-CLIENTES!H47</f>
        <v>34</v>
      </c>
      <c r="J47" s="43" t="str">
        <f>HYPERLINK("mailto:"&amp;C47&amp;"?subject="&amp;CONFIG!$G$1&amp;"&amp;body="&amp;CONFIG!$G$3,"Enviar e-mail")</f>
        <v>Enviar e-mail</v>
      </c>
      <c r="K47" s="44"/>
    </row>
    <row r="48" spans="1:11">
      <c r="A48" s="39">
        <v>1026</v>
      </c>
      <c r="B48" s="40" t="s">
        <v>137</v>
      </c>
      <c r="C48" s="40" t="s">
        <v>138</v>
      </c>
      <c r="D48" s="40"/>
      <c r="E48" s="40" t="s">
        <v>139</v>
      </c>
      <c r="F48" s="43"/>
      <c r="G48" s="41">
        <f>_xlfn.MINIFS(DADOS!$I:$I,DADOS!$B:$B,B48)</f>
        <v>45352</v>
      </c>
      <c r="H48" s="41">
        <f>_xlfn.MAXIFS(DADOS!$I:$I,DADOS!$B:$B,B48)</f>
        <v>46183</v>
      </c>
      <c r="I48" s="42">
        <f ca="1">CONFIG!$E$1-CLIENTES!H48</f>
        <v>71</v>
      </c>
      <c r="J48" s="43" t="str">
        <f>HYPERLINK("mailto:"&amp;C48&amp;"?subject="&amp;CONFIG!$G$1&amp;"&amp;body="&amp;CONFIG!$G$3,"Enviar e-mail")</f>
        <v>Enviar e-mail</v>
      </c>
      <c r="K48" s="44"/>
    </row>
    <row r="49" spans="1:11">
      <c r="A49" s="39">
        <v>1041</v>
      </c>
      <c r="B49" s="40" t="s">
        <v>140</v>
      </c>
      <c r="C49" s="40" t="s">
        <v>141</v>
      </c>
      <c r="D49" s="40"/>
      <c r="E49" s="40" t="s">
        <v>142</v>
      </c>
      <c r="F49" s="43"/>
      <c r="G49" s="41">
        <f>_xlfn.MINIFS(DADOS!$I:$I,DADOS!$B:$B,B49)</f>
        <v>45394</v>
      </c>
      <c r="H49" s="41">
        <f>_xlfn.MAXIFS(DADOS!$I:$I,DADOS!$B:$B,B49)</f>
        <v>45841</v>
      </c>
      <c r="I49" s="42">
        <f ca="1">CONFIG!$E$1-CLIENTES!H49</f>
        <v>413</v>
      </c>
      <c r="J49" s="43" t="str">
        <f>HYPERLINK("mailto:"&amp;C49&amp;"?subject="&amp;CONFIG!$G$1&amp;"&amp;body="&amp;CONFIG!$G$3,"Enviar e-mail")</f>
        <v>Enviar e-mail</v>
      </c>
      <c r="K49" s="44"/>
    </row>
    <row r="50" spans="1:11">
      <c r="A50" s="39">
        <v>1058</v>
      </c>
      <c r="B50" s="40" t="s">
        <v>143</v>
      </c>
      <c r="C50" s="40" t="s">
        <v>144</v>
      </c>
      <c r="D50" s="40"/>
      <c r="E50" s="40" t="s">
        <v>145</v>
      </c>
      <c r="F50" s="43" t="s">
        <v>385</v>
      </c>
      <c r="G50" s="41">
        <f>_xlfn.MINIFS(DADOS!$I:$I,DADOS!$B:$B,B50)</f>
        <v>45352</v>
      </c>
      <c r="H50" s="41">
        <f>_xlfn.MAXIFS(DADOS!$I:$I,DADOS!$B:$B,B50)</f>
        <v>46128</v>
      </c>
      <c r="I50" s="42">
        <f ca="1">CONFIG!$E$1-CLIENTES!H50</f>
        <v>126</v>
      </c>
      <c r="J50" s="43" t="str">
        <f>HYPERLINK("mailto:"&amp;C50&amp;"?subject="&amp;CONFIG!$G$1&amp;"&amp;body="&amp;CONFIG!$G$3,"Enviar e-mail")</f>
        <v>Enviar e-mail</v>
      </c>
      <c r="K50" s="44"/>
    </row>
    <row r="51" spans="1:11">
      <c r="A51" s="39">
        <v>1122</v>
      </c>
      <c r="B51" s="40" t="s">
        <v>146</v>
      </c>
      <c r="C51" s="40" t="s">
        <v>147</v>
      </c>
      <c r="D51" s="40"/>
      <c r="E51" s="40" t="s">
        <v>148</v>
      </c>
      <c r="F51" s="43"/>
      <c r="G51" s="41">
        <f>_xlfn.MINIFS(DADOS!$I:$I,DADOS!$B:$B,B51)</f>
        <v>45411</v>
      </c>
      <c r="H51" s="41">
        <f>_xlfn.MAXIFS(DADOS!$I:$I,DADOS!$B:$B,B51)</f>
        <v>46218</v>
      </c>
      <c r="I51" s="42">
        <f ca="1">CONFIG!$E$1-CLIENTES!H51</f>
        <v>36</v>
      </c>
      <c r="J51" s="43" t="str">
        <f>HYPERLINK("mailto:"&amp;C51&amp;"?subject="&amp;CONFIG!$G$1&amp;"&amp;body="&amp;CONFIG!$G$3,"Enviar e-mail")</f>
        <v>Enviar e-mail</v>
      </c>
      <c r="K51" s="44"/>
    </row>
    <row r="52" spans="1:11">
      <c r="A52" s="39">
        <v>1158</v>
      </c>
      <c r="B52" s="40" t="s">
        <v>149</v>
      </c>
      <c r="C52" s="40" t="s">
        <v>150</v>
      </c>
      <c r="D52" s="40"/>
      <c r="E52" s="40" t="s">
        <v>151</v>
      </c>
      <c r="F52" s="43"/>
      <c r="G52" s="41">
        <f>_xlfn.MINIFS(DADOS!$I:$I,DADOS!$B:$B,B52)</f>
        <v>45586</v>
      </c>
      <c r="H52" s="41">
        <f>_xlfn.MAXIFS(DADOS!$I:$I,DADOS!$B:$B,B52)</f>
        <v>45586</v>
      </c>
      <c r="I52" s="42">
        <f ca="1">CONFIG!$E$1-CLIENTES!H52</f>
        <v>668</v>
      </c>
      <c r="J52" s="43" t="str">
        <f>HYPERLINK("mailto:"&amp;C52&amp;"?subject="&amp;CONFIG!$G$1&amp;"&amp;body="&amp;CONFIG!$G$3,"Enviar e-mail")</f>
        <v>Enviar e-mail</v>
      </c>
      <c r="K52" s="44"/>
    </row>
    <row r="53" spans="1:11">
      <c r="A53" s="39">
        <v>1164</v>
      </c>
      <c r="B53" s="40" t="s">
        <v>152</v>
      </c>
      <c r="C53" s="40" t="s">
        <v>153</v>
      </c>
      <c r="D53" s="40"/>
      <c r="E53" s="40" t="s">
        <v>154</v>
      </c>
      <c r="F53" s="43"/>
      <c r="G53" s="41">
        <f>_xlfn.MINIFS(DADOS!$I:$I,DADOS!$B:$B,B53)</f>
        <v>45372</v>
      </c>
      <c r="H53" s="41">
        <f>_xlfn.MAXIFS(DADOS!$I:$I,DADOS!$B:$B,B53)</f>
        <v>46232</v>
      </c>
      <c r="I53" s="42">
        <f ca="1">CONFIG!$E$1-CLIENTES!H53</f>
        <v>22</v>
      </c>
      <c r="J53" s="43" t="str">
        <f>HYPERLINK("mailto:"&amp;C53&amp;"?subject="&amp;CONFIG!$G$1&amp;"&amp;body="&amp;CONFIG!$G$3,"Enviar e-mail")</f>
        <v>Enviar e-mail</v>
      </c>
      <c r="K53" s="44"/>
    </row>
    <row r="54" spans="1:11">
      <c r="A54" s="39">
        <v>1206</v>
      </c>
      <c r="B54" s="40" t="s">
        <v>155</v>
      </c>
      <c r="C54" s="40" t="s">
        <v>156</v>
      </c>
      <c r="D54" s="40"/>
      <c r="E54" s="40" t="s">
        <v>157</v>
      </c>
      <c r="F54" s="43"/>
      <c r="G54" s="41">
        <f>_xlfn.MINIFS(DADOS!$I:$I,DADOS!$B:$B,B54)</f>
        <v>45362</v>
      </c>
      <c r="H54" s="41">
        <f>_xlfn.MAXIFS(DADOS!$I:$I,DADOS!$B:$B,B54)</f>
        <v>46234</v>
      </c>
      <c r="I54" s="42">
        <f ca="1">CONFIG!$E$1-CLIENTES!H54</f>
        <v>20</v>
      </c>
      <c r="J54" s="43" t="str">
        <f>HYPERLINK("mailto:"&amp;C54&amp;"?subject="&amp;CONFIG!$G$1&amp;"&amp;body="&amp;CONFIG!$G$3,"Enviar e-mail")</f>
        <v>Enviar e-mail</v>
      </c>
      <c r="K54" s="44"/>
    </row>
    <row r="55" spans="1:11">
      <c r="A55" s="39">
        <v>1240</v>
      </c>
      <c r="B55" s="40" t="s">
        <v>158</v>
      </c>
      <c r="C55" s="40" t="s">
        <v>159</v>
      </c>
      <c r="D55" s="40"/>
      <c r="E55" s="40" t="s">
        <v>160</v>
      </c>
      <c r="F55" s="43"/>
      <c r="G55" s="41">
        <f>_xlfn.MINIFS(DADOS!$I:$I,DADOS!$B:$B,B55)</f>
        <v>45357</v>
      </c>
      <c r="H55" s="41">
        <f>_xlfn.MAXIFS(DADOS!$I:$I,DADOS!$B:$B,B55)</f>
        <v>46218</v>
      </c>
      <c r="I55" s="42">
        <f ca="1">CONFIG!$E$1-CLIENTES!H55</f>
        <v>36</v>
      </c>
      <c r="J55" s="43" t="str">
        <f>HYPERLINK("mailto:"&amp;C55&amp;"?subject="&amp;CONFIG!$G$1&amp;"&amp;body="&amp;CONFIG!$G$3,"Enviar e-mail")</f>
        <v>Enviar e-mail</v>
      </c>
      <c r="K55" s="44"/>
    </row>
    <row r="56" spans="1:11">
      <c r="A56" s="39">
        <v>1318</v>
      </c>
      <c r="B56" s="40" t="s">
        <v>161</v>
      </c>
      <c r="C56" s="40" t="s">
        <v>162</v>
      </c>
      <c r="D56" s="40"/>
      <c r="E56" s="40" t="s">
        <v>7</v>
      </c>
      <c r="F56" s="43"/>
      <c r="G56" s="41">
        <f>_xlfn.MINIFS(DADOS!$I:$I,DADOS!$B:$B,B56)</f>
        <v>45567</v>
      </c>
      <c r="H56" s="41">
        <f>_xlfn.MAXIFS(DADOS!$I:$I,DADOS!$B:$B,B56)</f>
        <v>45567</v>
      </c>
      <c r="I56" s="42">
        <f ca="1">CONFIG!$E$1-CLIENTES!H56</f>
        <v>687</v>
      </c>
      <c r="J56" s="43" t="str">
        <f>HYPERLINK("mailto:"&amp;C56&amp;"?subject="&amp;CONFIG!$G$1&amp;"&amp;body="&amp;CONFIG!$G$3,"Enviar e-mail")</f>
        <v>Enviar e-mail</v>
      </c>
      <c r="K56" s="44"/>
    </row>
    <row r="57" spans="1:11">
      <c r="A57" s="39">
        <v>1371</v>
      </c>
      <c r="B57" s="40" t="s">
        <v>163</v>
      </c>
      <c r="C57" s="40" t="s">
        <v>164</v>
      </c>
      <c r="D57" s="40"/>
      <c r="E57" s="40" t="s">
        <v>165</v>
      </c>
      <c r="F57" s="43"/>
      <c r="G57" s="41">
        <f>_xlfn.MINIFS(DADOS!$I:$I,DADOS!$B:$B,B57)</f>
        <v>45588</v>
      </c>
      <c r="H57" s="41">
        <f>_xlfn.MAXIFS(DADOS!$I:$I,DADOS!$B:$B,B57)</f>
        <v>46211</v>
      </c>
      <c r="I57" s="42">
        <f ca="1">CONFIG!$E$1-CLIENTES!H57</f>
        <v>43</v>
      </c>
      <c r="J57" s="43" t="str">
        <f>HYPERLINK("mailto:"&amp;C57&amp;"?subject="&amp;CONFIG!$G$1&amp;"&amp;body="&amp;CONFIG!$G$3,"Enviar e-mail")</f>
        <v>Enviar e-mail</v>
      </c>
      <c r="K57" s="44"/>
    </row>
    <row r="58" spans="1:11">
      <c r="A58" s="39">
        <v>1493</v>
      </c>
      <c r="B58" s="40" t="s">
        <v>166</v>
      </c>
      <c r="C58" s="40" t="s">
        <v>167</v>
      </c>
      <c r="D58" s="40"/>
      <c r="E58" s="40" t="s">
        <v>168</v>
      </c>
      <c r="F58" s="43"/>
      <c r="G58" s="41">
        <f>_xlfn.MINIFS(DADOS!$I:$I,DADOS!$B:$B,B58)</f>
        <v>45357</v>
      </c>
      <c r="H58" s="41">
        <f>_xlfn.MAXIFS(DADOS!$I:$I,DADOS!$B:$B,B58)</f>
        <v>46218</v>
      </c>
      <c r="I58" s="42">
        <f ca="1">CONFIG!$E$1-CLIENTES!H58</f>
        <v>36</v>
      </c>
      <c r="J58" s="43" t="str">
        <f>HYPERLINK("mailto:"&amp;C58&amp;"?subject="&amp;CONFIG!$G$1&amp;"&amp;body="&amp;CONFIG!$G$3,"Enviar e-mail")</f>
        <v>Enviar e-mail</v>
      </c>
      <c r="K58" s="44"/>
    </row>
    <row r="59" spans="1:11">
      <c r="A59" s="39">
        <v>1502</v>
      </c>
      <c r="B59" s="40" t="s">
        <v>169</v>
      </c>
      <c r="C59" s="40" t="s">
        <v>170</v>
      </c>
      <c r="D59" s="40"/>
      <c r="E59" s="40" t="s">
        <v>171</v>
      </c>
      <c r="F59" s="43"/>
      <c r="G59" s="41">
        <f>_xlfn.MINIFS(DADOS!$I:$I,DADOS!$B:$B,B59)</f>
        <v>45387</v>
      </c>
      <c r="H59" s="41">
        <f>_xlfn.MAXIFS(DADOS!$I:$I,DADOS!$B:$B,B59)</f>
        <v>45953</v>
      </c>
      <c r="I59" s="42">
        <f ca="1">CONFIG!$E$1-CLIENTES!H59</f>
        <v>301</v>
      </c>
      <c r="J59" s="43" t="str">
        <f>HYPERLINK("mailto:"&amp;C59&amp;"?subject="&amp;CONFIG!$G$1&amp;"&amp;body="&amp;CONFIG!$G$3,"Enviar e-mail")</f>
        <v>Enviar e-mail</v>
      </c>
      <c r="K59" s="44"/>
    </row>
    <row r="60" spans="1:11">
      <c r="A60" s="39">
        <v>1533</v>
      </c>
      <c r="B60" s="40" t="s">
        <v>172</v>
      </c>
      <c r="C60" s="40" t="s">
        <v>173</v>
      </c>
      <c r="D60" s="40"/>
      <c r="E60" s="40" t="s">
        <v>174</v>
      </c>
      <c r="F60" s="43"/>
      <c r="G60" s="41">
        <f>_xlfn.MINIFS(DADOS!$I:$I,DADOS!$B:$B,B60)</f>
        <v>45369</v>
      </c>
      <c r="H60" s="41">
        <f>_xlfn.MAXIFS(DADOS!$I:$I,DADOS!$B:$B,B60)</f>
        <v>46246</v>
      </c>
      <c r="I60" s="42">
        <f ca="1">CONFIG!$E$1-CLIENTES!H60</f>
        <v>8</v>
      </c>
      <c r="J60" s="43" t="str">
        <f>HYPERLINK("mailto:"&amp;C60&amp;"?subject="&amp;CONFIG!$G$1&amp;"&amp;body="&amp;CONFIG!$G$3,"Enviar e-mail")</f>
        <v>Enviar e-mail</v>
      </c>
      <c r="K60" s="44"/>
    </row>
    <row r="61" spans="1:11">
      <c r="A61" s="39">
        <v>1534</v>
      </c>
      <c r="B61" s="40" t="s">
        <v>175</v>
      </c>
      <c r="C61" s="40" t="s">
        <v>176</v>
      </c>
      <c r="D61" s="40"/>
      <c r="E61" s="40" t="s">
        <v>7</v>
      </c>
      <c r="F61" s="43" t="s">
        <v>385</v>
      </c>
      <c r="G61" s="41">
        <f>_xlfn.MINIFS(DADOS!$I:$I,DADOS!$B:$B,B61)</f>
        <v>45474</v>
      </c>
      <c r="H61" s="41">
        <f>_xlfn.MAXIFS(DADOS!$I:$I,DADOS!$B:$B,B61)</f>
        <v>46203</v>
      </c>
      <c r="I61" s="42">
        <f ca="1">CONFIG!$E$1-CLIENTES!H61</f>
        <v>51</v>
      </c>
      <c r="J61" s="43" t="str">
        <f>HYPERLINK("mailto:"&amp;C61&amp;"?subject="&amp;CONFIG!$G$1&amp;"&amp;body="&amp;CONFIG!$G$3,"Enviar e-mail")</f>
        <v>Enviar e-mail</v>
      </c>
      <c r="K61" s="44"/>
    </row>
    <row r="62" spans="1:11">
      <c r="A62" s="39">
        <v>1616</v>
      </c>
      <c r="B62" s="40" t="s">
        <v>177</v>
      </c>
      <c r="C62" s="40" t="s">
        <v>178</v>
      </c>
      <c r="D62" s="40"/>
      <c r="E62" s="40" t="s">
        <v>179</v>
      </c>
      <c r="F62" s="43"/>
      <c r="G62" s="41">
        <f>_xlfn.MINIFS(DADOS!$I:$I,DADOS!$B:$B,B62)</f>
        <v>45406</v>
      </c>
      <c r="H62" s="41">
        <f>_xlfn.MAXIFS(DADOS!$I:$I,DADOS!$B:$B,B62)</f>
        <v>46239</v>
      </c>
      <c r="I62" s="42">
        <f ca="1">CONFIG!$E$1-CLIENTES!H62</f>
        <v>15</v>
      </c>
      <c r="J62" s="43" t="str">
        <f>HYPERLINK("mailto:"&amp;C62&amp;"?subject="&amp;CONFIG!$G$1&amp;"&amp;body="&amp;CONFIG!$G$3,"Enviar e-mail")</f>
        <v>Enviar e-mail</v>
      </c>
      <c r="K62" s="44"/>
    </row>
    <row r="63" spans="1:11">
      <c r="A63" s="39">
        <v>1623</v>
      </c>
      <c r="B63" s="40" t="s">
        <v>180</v>
      </c>
      <c r="C63" s="40" t="s">
        <v>181</v>
      </c>
      <c r="D63" s="40"/>
      <c r="E63" s="40" t="s">
        <v>182</v>
      </c>
      <c r="F63" s="43"/>
      <c r="G63" s="41">
        <f>_xlfn.MINIFS(DADOS!$I:$I,DADOS!$B:$B,B63)</f>
        <v>45371</v>
      </c>
      <c r="H63" s="41">
        <f>_xlfn.MAXIFS(DADOS!$I:$I,DADOS!$B:$B,B63)</f>
        <v>46136</v>
      </c>
      <c r="I63" s="42">
        <f ca="1">CONFIG!$E$1-CLIENTES!H63</f>
        <v>118</v>
      </c>
      <c r="J63" s="43" t="str">
        <f>HYPERLINK("mailto:"&amp;C63&amp;"?subject="&amp;CONFIG!$G$1&amp;"&amp;body="&amp;CONFIG!$G$3,"Enviar e-mail")</f>
        <v>Enviar e-mail</v>
      </c>
      <c r="K63" s="44"/>
    </row>
    <row r="64" spans="1:11">
      <c r="A64" s="39">
        <v>1652</v>
      </c>
      <c r="B64" s="40" t="s">
        <v>183</v>
      </c>
      <c r="C64" s="40" t="s">
        <v>184</v>
      </c>
      <c r="D64" s="40"/>
      <c r="E64" s="40" t="s">
        <v>69</v>
      </c>
      <c r="F64" s="43"/>
      <c r="G64" s="41">
        <f>_xlfn.MINIFS(DADOS!$I:$I,DADOS!$B:$B,B64)</f>
        <v>45376</v>
      </c>
      <c r="H64" s="41">
        <f>_xlfn.MAXIFS(DADOS!$I:$I,DADOS!$B:$B,B64)</f>
        <v>46226</v>
      </c>
      <c r="I64" s="42">
        <f ca="1">CONFIG!$E$1-CLIENTES!H64</f>
        <v>28</v>
      </c>
      <c r="J64" s="43" t="str">
        <f>HYPERLINK("mailto:"&amp;C64&amp;"?subject="&amp;CONFIG!$G$1&amp;"&amp;body="&amp;CONFIG!$G$3,"Enviar e-mail")</f>
        <v>Enviar e-mail</v>
      </c>
      <c r="K64" s="44"/>
    </row>
    <row r="65" spans="1:11">
      <c r="A65" s="39">
        <v>1726</v>
      </c>
      <c r="B65" s="40" t="s">
        <v>185</v>
      </c>
      <c r="C65" s="40" t="s">
        <v>186</v>
      </c>
      <c r="D65" s="40"/>
      <c r="E65" s="40" t="s">
        <v>49</v>
      </c>
      <c r="F65" s="43"/>
      <c r="G65" s="41">
        <f>_xlfn.MINIFS(DADOS!$I:$I,DADOS!$B:$B,B65)</f>
        <v>45362</v>
      </c>
      <c r="H65" s="41">
        <f>_xlfn.MAXIFS(DADOS!$I:$I,DADOS!$B:$B,B65)</f>
        <v>46108</v>
      </c>
      <c r="I65" s="42">
        <f ca="1">CONFIG!$E$1-CLIENTES!H65</f>
        <v>146</v>
      </c>
      <c r="J65" s="43" t="str">
        <f>HYPERLINK("mailto:"&amp;C65&amp;"?subject="&amp;CONFIG!$G$1&amp;"&amp;body="&amp;CONFIG!$G$3,"Enviar e-mail")</f>
        <v>Enviar e-mail</v>
      </c>
      <c r="K65" s="44"/>
    </row>
    <row r="66" spans="1:11">
      <c r="A66" s="39">
        <v>1742</v>
      </c>
      <c r="B66" s="40" t="s">
        <v>187</v>
      </c>
      <c r="C66" s="40" t="s">
        <v>188</v>
      </c>
      <c r="D66" s="40"/>
      <c r="E66" s="40" t="s">
        <v>189</v>
      </c>
      <c r="F66" s="43"/>
      <c r="G66" s="41">
        <f>_xlfn.MINIFS(DADOS!$I:$I,DADOS!$B:$B,B66)</f>
        <v>45401</v>
      </c>
      <c r="H66" s="41">
        <f>_xlfn.MAXIFS(DADOS!$I:$I,DADOS!$B:$B,B66)</f>
        <v>45615</v>
      </c>
      <c r="I66" s="42">
        <f ca="1">CONFIG!$E$1-CLIENTES!H66</f>
        <v>639</v>
      </c>
      <c r="J66" s="43" t="str">
        <f>HYPERLINK("mailto:"&amp;C66&amp;"?subject="&amp;CONFIG!$G$1&amp;"&amp;body="&amp;CONFIG!$G$3,"Enviar e-mail")</f>
        <v>Enviar e-mail</v>
      </c>
      <c r="K66" s="44"/>
    </row>
    <row r="67" spans="1:11">
      <c r="A67" s="39">
        <v>1788</v>
      </c>
      <c r="B67" s="40" t="s">
        <v>190</v>
      </c>
      <c r="C67" s="40" t="s">
        <v>191</v>
      </c>
      <c r="D67" s="40"/>
      <c r="E67" s="40" t="s">
        <v>192</v>
      </c>
      <c r="F67" s="43"/>
      <c r="G67" s="41">
        <f>_xlfn.MINIFS(DADOS!$I:$I,DADOS!$B:$B,B67)</f>
        <v>45415</v>
      </c>
      <c r="H67" s="41">
        <f>_xlfn.MAXIFS(DADOS!$I:$I,DADOS!$B:$B,B67)</f>
        <v>46042</v>
      </c>
      <c r="I67" s="42">
        <f ca="1">CONFIG!$E$1-CLIENTES!H67</f>
        <v>212</v>
      </c>
      <c r="J67" s="43" t="str">
        <f>HYPERLINK("mailto:"&amp;C67&amp;"?subject="&amp;CONFIG!$G$1&amp;"&amp;body="&amp;CONFIG!$G$3,"Enviar e-mail")</f>
        <v>Enviar e-mail</v>
      </c>
      <c r="K67" s="44"/>
    </row>
    <row r="68" spans="1:11">
      <c r="A68" s="39">
        <v>1806</v>
      </c>
      <c r="B68" s="40" t="s">
        <v>193</v>
      </c>
      <c r="C68" s="40" t="s">
        <v>194</v>
      </c>
      <c r="D68" s="40"/>
      <c r="E68" s="40" t="s">
        <v>195</v>
      </c>
      <c r="F68" s="43" t="s">
        <v>385</v>
      </c>
      <c r="G68" s="41">
        <f>_xlfn.MINIFS(DADOS!$I:$I,DADOS!$B:$B,B68)</f>
        <v>45371</v>
      </c>
      <c r="H68" s="41">
        <f>_xlfn.MAXIFS(DADOS!$I:$I,DADOS!$B:$B,B68)</f>
        <v>45429</v>
      </c>
      <c r="I68" s="42">
        <f ca="1">CONFIG!$E$1-CLIENTES!H68</f>
        <v>825</v>
      </c>
      <c r="J68" s="43" t="str">
        <f>HYPERLINK("mailto:"&amp;C68&amp;"?subject="&amp;CONFIG!$G$1&amp;"&amp;body="&amp;CONFIG!$G$3,"Enviar e-mail")</f>
        <v>Enviar e-mail</v>
      </c>
      <c r="K68" s="44"/>
    </row>
    <row r="69" spans="1:11">
      <c r="A69" s="39">
        <v>1813</v>
      </c>
      <c r="B69" s="40" t="s">
        <v>196</v>
      </c>
      <c r="C69" s="40" t="s">
        <v>197</v>
      </c>
      <c r="D69" s="40"/>
      <c r="E69" s="40" t="s">
        <v>57</v>
      </c>
      <c r="F69" s="43"/>
      <c r="G69" s="41">
        <f>_xlfn.MINIFS(DADOS!$I:$I,DADOS!$B:$B,B69)</f>
        <v>45369</v>
      </c>
      <c r="H69" s="41">
        <f>_xlfn.MAXIFS(DADOS!$I:$I,DADOS!$B:$B,B69)</f>
        <v>46248</v>
      </c>
      <c r="I69" s="42">
        <f ca="1">CONFIG!$E$1-CLIENTES!H69</f>
        <v>6</v>
      </c>
      <c r="J69" s="43" t="str">
        <f>HYPERLINK("mailto:"&amp;C69&amp;"?subject="&amp;CONFIG!$G$1&amp;"&amp;body="&amp;CONFIG!$G$3,"Enviar e-mail")</f>
        <v>Enviar e-mail</v>
      </c>
      <c r="K69" s="44"/>
    </row>
    <row r="70" spans="1:11">
      <c r="A70" s="39">
        <v>1842</v>
      </c>
      <c r="B70" s="40" t="s">
        <v>198</v>
      </c>
      <c r="C70" s="40" t="s">
        <v>199</v>
      </c>
      <c r="D70" s="40"/>
      <c r="E70" s="40" t="s">
        <v>200</v>
      </c>
      <c r="F70" s="43"/>
      <c r="G70" s="41">
        <f>_xlfn.MINIFS(DADOS!$I:$I,DADOS!$B:$B,B70)</f>
        <v>45369</v>
      </c>
      <c r="H70" s="41">
        <f>_xlfn.MAXIFS(DADOS!$I:$I,DADOS!$B:$B,B70)</f>
        <v>46188</v>
      </c>
      <c r="I70" s="42">
        <f ca="1">CONFIG!$E$1-CLIENTES!H70</f>
        <v>66</v>
      </c>
      <c r="J70" s="43" t="str">
        <f>HYPERLINK("mailto:"&amp;C70&amp;"?subject="&amp;CONFIG!$G$1&amp;"&amp;body="&amp;CONFIG!$G$3,"Enviar e-mail")</f>
        <v>Enviar e-mail</v>
      </c>
      <c r="K70" s="44"/>
    </row>
    <row r="71" spans="1:11">
      <c r="A71" s="39">
        <v>1905</v>
      </c>
      <c r="B71" s="40" t="s">
        <v>201</v>
      </c>
      <c r="C71" s="40" t="s">
        <v>202</v>
      </c>
      <c r="D71" s="40"/>
      <c r="E71" s="40" t="s">
        <v>195</v>
      </c>
      <c r="F71" s="43"/>
      <c r="G71" s="41">
        <f>_xlfn.MINIFS(DADOS!$I:$I,DADOS!$B:$B,B71)</f>
        <v>45490</v>
      </c>
      <c r="H71" s="41">
        <f>_xlfn.MAXIFS(DADOS!$I:$I,DADOS!$B:$B,B71)</f>
        <v>46217</v>
      </c>
      <c r="I71" s="42">
        <f ca="1">CONFIG!$E$1-CLIENTES!H71</f>
        <v>37</v>
      </c>
      <c r="J71" s="43" t="str">
        <f>HYPERLINK("mailto:"&amp;C71&amp;"?subject="&amp;CONFIG!$G$1&amp;"&amp;body="&amp;CONFIG!$G$3,"Enviar e-mail")</f>
        <v>Enviar e-mail</v>
      </c>
      <c r="K71" s="44"/>
    </row>
    <row r="72" spans="1:11">
      <c r="A72" s="39">
        <v>1971</v>
      </c>
      <c r="B72" s="40" t="s">
        <v>203</v>
      </c>
      <c r="C72" s="40" t="s">
        <v>204</v>
      </c>
      <c r="D72" s="40"/>
      <c r="E72" s="40" t="s">
        <v>57</v>
      </c>
      <c r="F72" s="43"/>
      <c r="G72" s="41">
        <f>_xlfn.MINIFS(DADOS!$I:$I,DADOS!$B:$B,B72)</f>
        <v>45358</v>
      </c>
      <c r="H72" s="41">
        <f>_xlfn.MAXIFS(DADOS!$I:$I,DADOS!$B:$B,B72)</f>
        <v>46247</v>
      </c>
      <c r="I72" s="42">
        <f ca="1">CONFIG!$E$1-CLIENTES!H72</f>
        <v>7</v>
      </c>
      <c r="J72" s="43" t="str">
        <f>HYPERLINK("mailto:"&amp;C72&amp;"?subject="&amp;CONFIG!$G$1&amp;"&amp;body="&amp;CONFIG!$G$3,"Enviar e-mail")</f>
        <v>Enviar e-mail</v>
      </c>
      <c r="K72" s="44"/>
    </row>
    <row r="73" spans="1:11">
      <c r="A73" s="39">
        <v>1989</v>
      </c>
      <c r="B73" s="40" t="s">
        <v>205</v>
      </c>
      <c r="C73" s="40" t="s">
        <v>206</v>
      </c>
      <c r="D73" s="40"/>
      <c r="E73" s="40" t="s">
        <v>127</v>
      </c>
      <c r="F73" s="43"/>
      <c r="G73" s="41">
        <f>_xlfn.MINIFS(DADOS!$I:$I,DADOS!$B:$B,B73)</f>
        <v>45377</v>
      </c>
      <c r="H73" s="41">
        <f>_xlfn.MAXIFS(DADOS!$I:$I,DADOS!$B:$B,B73)</f>
        <v>46247</v>
      </c>
      <c r="I73" s="42">
        <f ca="1">CONFIG!$E$1-CLIENTES!H73</f>
        <v>7</v>
      </c>
      <c r="J73" s="43" t="str">
        <f>HYPERLINK("mailto:"&amp;C73&amp;"?subject="&amp;CONFIG!$G$1&amp;"&amp;body="&amp;CONFIG!$G$3,"Enviar e-mail")</f>
        <v>Enviar e-mail</v>
      </c>
      <c r="K73" s="44"/>
    </row>
    <row r="74" spans="1:11">
      <c r="A74" s="39">
        <v>2022</v>
      </c>
      <c r="B74" s="40" t="s">
        <v>207</v>
      </c>
      <c r="C74" s="40" t="s">
        <v>208</v>
      </c>
      <c r="D74" s="40"/>
      <c r="E74" s="40" t="s">
        <v>209</v>
      </c>
      <c r="F74" s="43"/>
      <c r="G74" s="41">
        <f>_xlfn.MINIFS(DADOS!$I:$I,DADOS!$B:$B,B74)</f>
        <v>45358</v>
      </c>
      <c r="H74" s="41">
        <f>_xlfn.MAXIFS(DADOS!$I:$I,DADOS!$B:$B,B74)</f>
        <v>46245</v>
      </c>
      <c r="I74" s="42">
        <f ca="1">CONFIG!$E$1-CLIENTES!H74</f>
        <v>9</v>
      </c>
      <c r="J74" s="43" t="str">
        <f>HYPERLINK("mailto:"&amp;C74&amp;"?subject="&amp;CONFIG!$G$1&amp;"&amp;body="&amp;CONFIG!$G$3,"Enviar e-mail")</f>
        <v>Enviar e-mail</v>
      </c>
      <c r="K74" s="44"/>
    </row>
    <row r="75" spans="1:11">
      <c r="A75" s="39">
        <v>2163</v>
      </c>
      <c r="B75" s="40" t="s">
        <v>210</v>
      </c>
      <c r="C75" s="40" t="s">
        <v>211</v>
      </c>
      <c r="D75" s="40"/>
      <c r="E75" s="40" t="s">
        <v>212</v>
      </c>
      <c r="F75" s="43"/>
      <c r="G75" s="41">
        <f>_xlfn.MINIFS(DADOS!$I:$I,DADOS!$B:$B,B75)</f>
        <v>45363</v>
      </c>
      <c r="H75" s="41">
        <f>_xlfn.MAXIFS(DADOS!$I:$I,DADOS!$B:$B,B75)</f>
        <v>46237</v>
      </c>
      <c r="I75" s="42">
        <f ca="1">CONFIG!$E$1-CLIENTES!H75</f>
        <v>17</v>
      </c>
      <c r="J75" s="43" t="str">
        <f>HYPERLINK("mailto:"&amp;C75&amp;"?subject="&amp;CONFIG!$G$1&amp;"&amp;body="&amp;CONFIG!$G$3,"Enviar e-mail")</f>
        <v>Enviar e-mail</v>
      </c>
      <c r="K75" s="44"/>
    </row>
    <row r="76" spans="1:11">
      <c r="A76" s="39">
        <v>2198</v>
      </c>
      <c r="B76" s="40" t="s">
        <v>213</v>
      </c>
      <c r="C76" s="40" t="s">
        <v>214</v>
      </c>
      <c r="D76" s="40"/>
      <c r="E76" s="40" t="s">
        <v>115</v>
      </c>
      <c r="F76" s="43"/>
      <c r="G76" s="41">
        <f>_xlfn.MINIFS(DADOS!$I:$I,DADOS!$B:$B,B76)</f>
        <v>45418</v>
      </c>
      <c r="H76" s="41">
        <f>_xlfn.MAXIFS(DADOS!$I:$I,DADOS!$B:$B,B76)</f>
        <v>46001</v>
      </c>
      <c r="I76" s="42">
        <f ca="1">CONFIG!$E$1-CLIENTES!H76</f>
        <v>253</v>
      </c>
      <c r="J76" s="43" t="str">
        <f>HYPERLINK("mailto:"&amp;C76&amp;"?subject="&amp;CONFIG!$G$1&amp;"&amp;body="&amp;CONFIG!$G$3,"Enviar e-mail")</f>
        <v>Enviar e-mail</v>
      </c>
      <c r="K76" s="44"/>
    </row>
    <row r="77" spans="1:11">
      <c r="A77" s="39">
        <v>2203</v>
      </c>
      <c r="B77" s="40" t="s">
        <v>215</v>
      </c>
      <c r="C77" s="40" t="s">
        <v>216</v>
      </c>
      <c r="D77" s="40"/>
      <c r="E77" s="40" t="s">
        <v>96</v>
      </c>
      <c r="F77" s="43" t="s">
        <v>387</v>
      </c>
      <c r="G77" s="41">
        <f>_xlfn.MINIFS(DADOS!$I:$I,DADOS!$B:$B,B77)</f>
        <v>45366</v>
      </c>
      <c r="H77" s="41">
        <f>_xlfn.MAXIFS(DADOS!$I:$I,DADOS!$B:$B,B77)</f>
        <v>46050</v>
      </c>
      <c r="I77" s="42">
        <f ca="1">CONFIG!$E$1-CLIENTES!H77</f>
        <v>204</v>
      </c>
      <c r="J77" s="43" t="str">
        <f>HYPERLINK("mailto:"&amp;C77&amp;"?subject="&amp;CONFIG!$G$1&amp;"&amp;body="&amp;CONFIG!$G$3,"Enviar e-mail")</f>
        <v>Enviar e-mail</v>
      </c>
      <c r="K77" s="44"/>
    </row>
    <row r="78" spans="1:11">
      <c r="A78" s="39">
        <v>2397</v>
      </c>
      <c r="B78" s="40" t="s">
        <v>217</v>
      </c>
      <c r="C78" s="40" t="s">
        <v>218</v>
      </c>
      <c r="D78" s="40"/>
      <c r="E78" s="40" t="s">
        <v>219</v>
      </c>
      <c r="F78" s="43"/>
      <c r="G78" s="41">
        <f>_xlfn.MINIFS(DADOS!$I:$I,DADOS!$B:$B,B78)</f>
        <v>45352</v>
      </c>
      <c r="H78" s="41">
        <f>_xlfn.MAXIFS(DADOS!$I:$I,DADOS!$B:$B,B78)</f>
        <v>46161</v>
      </c>
      <c r="I78" s="42">
        <f ca="1">CONFIG!$E$1-CLIENTES!H78</f>
        <v>93</v>
      </c>
      <c r="J78" s="43" t="str">
        <f>HYPERLINK("mailto:"&amp;C78&amp;"?subject="&amp;CONFIG!$G$1&amp;"&amp;body="&amp;CONFIG!$G$3,"Enviar e-mail")</f>
        <v>Enviar e-mail</v>
      </c>
      <c r="K78" s="44"/>
    </row>
    <row r="79" spans="1:11">
      <c r="A79" s="39">
        <v>2415</v>
      </c>
      <c r="B79" s="40" t="s">
        <v>220</v>
      </c>
      <c r="C79" s="40" t="s">
        <v>221</v>
      </c>
      <c r="D79" s="40"/>
      <c r="E79" s="40" t="s">
        <v>222</v>
      </c>
      <c r="F79" s="43"/>
      <c r="G79" s="41">
        <f>_xlfn.MINIFS(DADOS!$I:$I,DADOS!$B:$B,B79)</f>
        <v>45376</v>
      </c>
      <c r="H79" s="41">
        <f>_xlfn.MAXIFS(DADOS!$I:$I,DADOS!$B:$B,B79)</f>
        <v>46226</v>
      </c>
      <c r="I79" s="42">
        <f ca="1">CONFIG!$E$1-CLIENTES!H79</f>
        <v>28</v>
      </c>
      <c r="J79" s="43" t="str">
        <f>HYPERLINK("mailto:"&amp;C79&amp;"?subject="&amp;CONFIG!$G$1&amp;"&amp;body="&amp;CONFIG!$G$3,"Enviar e-mail")</f>
        <v>Enviar e-mail</v>
      </c>
      <c r="K79" s="44"/>
    </row>
    <row r="80" spans="1:11">
      <c r="A80" s="39">
        <v>2572</v>
      </c>
      <c r="B80" s="40" t="s">
        <v>223</v>
      </c>
      <c r="C80" s="40" t="s">
        <v>224</v>
      </c>
      <c r="D80" s="40"/>
      <c r="E80" s="40" t="s">
        <v>225</v>
      </c>
      <c r="F80" s="43"/>
      <c r="G80" s="41">
        <f>_xlfn.MINIFS(DADOS!$I:$I,DADOS!$B:$B,B80)</f>
        <v>45567</v>
      </c>
      <c r="H80" s="41">
        <f>_xlfn.MAXIFS(DADOS!$I:$I,DADOS!$B:$B,B80)</f>
        <v>46245</v>
      </c>
      <c r="I80" s="42">
        <f ca="1">CONFIG!$E$1-CLIENTES!H80</f>
        <v>9</v>
      </c>
      <c r="J80" s="43" t="str">
        <f>HYPERLINK("mailto:"&amp;C80&amp;"?subject="&amp;CONFIG!$G$1&amp;"&amp;body="&amp;CONFIG!$G$3,"Enviar e-mail")</f>
        <v>Enviar e-mail</v>
      </c>
      <c r="K80" s="44"/>
    </row>
    <row r="81" spans="1:11">
      <c r="A81" s="39">
        <v>2655</v>
      </c>
      <c r="B81" s="40" t="s">
        <v>226</v>
      </c>
      <c r="C81" s="40" t="s">
        <v>227</v>
      </c>
      <c r="D81" s="40"/>
      <c r="E81" s="40" t="s">
        <v>228</v>
      </c>
      <c r="F81" s="43" t="s">
        <v>385</v>
      </c>
      <c r="G81" s="41">
        <f>_xlfn.MINIFS(DADOS!$I:$I,DADOS!$B:$B,B81)</f>
        <v>45370</v>
      </c>
      <c r="H81" s="41">
        <f>_xlfn.MAXIFS(DADOS!$I:$I,DADOS!$B:$B,B81)</f>
        <v>45504</v>
      </c>
      <c r="I81" s="42">
        <f ca="1">CONFIG!$E$1-CLIENTES!H81</f>
        <v>750</v>
      </c>
      <c r="J81" s="43" t="str">
        <f>HYPERLINK("mailto:"&amp;C81&amp;"?subject="&amp;CONFIG!$G$1&amp;"&amp;body="&amp;CONFIG!$G$3,"Enviar e-mail")</f>
        <v>Enviar e-mail</v>
      </c>
      <c r="K81" s="44"/>
    </row>
    <row r="82" spans="1:11">
      <c r="A82" s="39">
        <v>2702</v>
      </c>
      <c r="B82" s="40" t="s">
        <v>229</v>
      </c>
      <c r="C82" s="40" t="s">
        <v>230</v>
      </c>
      <c r="D82" s="40"/>
      <c r="E82" s="40" t="s">
        <v>231</v>
      </c>
      <c r="F82" s="43"/>
      <c r="G82" s="41">
        <f>_xlfn.MINIFS(DADOS!$I:$I,DADOS!$B:$B,B82)</f>
        <v>45385</v>
      </c>
      <c r="H82" s="41">
        <f>_xlfn.MAXIFS(DADOS!$I:$I,DADOS!$B:$B,B82)</f>
        <v>46209</v>
      </c>
      <c r="I82" s="42">
        <f ca="1">CONFIG!$E$1-CLIENTES!H82</f>
        <v>45</v>
      </c>
      <c r="J82" s="43" t="str">
        <f>HYPERLINK("mailto:"&amp;C82&amp;"?subject="&amp;CONFIG!$G$1&amp;"&amp;body="&amp;CONFIG!$G$3,"Enviar e-mail")</f>
        <v>Enviar e-mail</v>
      </c>
      <c r="K82" s="44"/>
    </row>
    <row r="83" spans="1:11">
      <c r="A83" s="39">
        <v>2752</v>
      </c>
      <c r="B83" s="40" t="s">
        <v>232</v>
      </c>
      <c r="C83" s="40" t="s">
        <v>233</v>
      </c>
      <c r="D83" s="40"/>
      <c r="E83" s="40" t="s">
        <v>49</v>
      </c>
      <c r="F83" s="43"/>
      <c r="G83" s="41">
        <f>_xlfn.MINIFS(DADOS!$I:$I,DADOS!$B:$B,B83)</f>
        <v>45588</v>
      </c>
      <c r="H83" s="41">
        <f>_xlfn.MAXIFS(DADOS!$I:$I,DADOS!$B:$B,B83)</f>
        <v>46191</v>
      </c>
      <c r="I83" s="42">
        <f ca="1">CONFIG!$E$1-CLIENTES!H83</f>
        <v>63</v>
      </c>
      <c r="J83" s="43" t="str">
        <f>HYPERLINK("mailto:"&amp;C83&amp;"?subject="&amp;CONFIG!$G$1&amp;"&amp;body="&amp;CONFIG!$G$3,"Enviar e-mail")</f>
        <v>Enviar e-mail</v>
      </c>
      <c r="K83" s="44"/>
    </row>
    <row r="84" spans="1:11">
      <c r="A84" s="39">
        <v>2795</v>
      </c>
      <c r="B84" s="40" t="s">
        <v>234</v>
      </c>
      <c r="C84" s="40" t="s">
        <v>235</v>
      </c>
      <c r="D84" s="40"/>
      <c r="E84" s="40" t="s">
        <v>66</v>
      </c>
      <c r="F84" s="43"/>
      <c r="G84" s="41">
        <f>_xlfn.MINIFS(DADOS!$I:$I,DADOS!$B:$B,B84)</f>
        <v>45540</v>
      </c>
      <c r="H84" s="41">
        <f>_xlfn.MAXIFS(DADOS!$I:$I,DADOS!$B:$B,B84)</f>
        <v>45579</v>
      </c>
      <c r="I84" s="42">
        <f ca="1">CONFIG!$E$1-CLIENTES!H84</f>
        <v>675</v>
      </c>
      <c r="J84" s="43" t="str">
        <f>HYPERLINK("mailto:"&amp;C84&amp;"?subject="&amp;CONFIG!$G$1&amp;"&amp;body="&amp;CONFIG!$G$3,"Enviar e-mail")</f>
        <v>Enviar e-mail</v>
      </c>
      <c r="K84" s="44"/>
    </row>
    <row r="85" spans="1:11">
      <c r="A85" s="39">
        <v>2911</v>
      </c>
      <c r="B85" s="40" t="s">
        <v>236</v>
      </c>
      <c r="C85" s="40" t="s">
        <v>237</v>
      </c>
      <c r="D85" s="40"/>
      <c r="E85" s="40" t="s">
        <v>238</v>
      </c>
      <c r="F85" s="43"/>
      <c r="G85" s="41">
        <f>_xlfn.MINIFS(DADOS!$I:$I,DADOS!$B:$B,B85)</f>
        <v>45356</v>
      </c>
      <c r="H85" s="41">
        <f>_xlfn.MAXIFS(DADOS!$I:$I,DADOS!$B:$B,B85)</f>
        <v>46233</v>
      </c>
      <c r="I85" s="42">
        <f ca="1">CONFIG!$E$1-CLIENTES!H85</f>
        <v>21</v>
      </c>
      <c r="J85" s="43" t="str">
        <f>HYPERLINK("mailto:"&amp;C85&amp;"?subject="&amp;CONFIG!$G$1&amp;"&amp;body="&amp;CONFIG!$G$3,"Enviar e-mail")</f>
        <v>Enviar e-mail</v>
      </c>
      <c r="K85" s="44"/>
    </row>
    <row r="86" spans="1:11">
      <c r="A86" s="39">
        <v>2955</v>
      </c>
      <c r="B86" s="40" t="s">
        <v>239</v>
      </c>
      <c r="C86" s="40" t="s">
        <v>240</v>
      </c>
      <c r="D86" s="40"/>
      <c r="E86" s="40" t="s">
        <v>99</v>
      </c>
      <c r="F86" s="43" t="s">
        <v>386</v>
      </c>
      <c r="G86" s="41">
        <f>_xlfn.MINIFS(DADOS!$I:$I,DADOS!$B:$B,B86)</f>
        <v>45401</v>
      </c>
      <c r="H86" s="41">
        <f>_xlfn.MAXIFS(DADOS!$I:$I,DADOS!$B:$B,B86)</f>
        <v>46245</v>
      </c>
      <c r="I86" s="42">
        <f ca="1">CONFIG!$E$1-CLIENTES!H86</f>
        <v>9</v>
      </c>
      <c r="J86" s="43" t="str">
        <f>HYPERLINK("mailto:"&amp;C86&amp;"?subject="&amp;CONFIG!$G$1&amp;"&amp;body="&amp;CONFIG!$G$3,"Enviar e-mail")</f>
        <v>Enviar e-mail</v>
      </c>
      <c r="K86" s="44"/>
    </row>
    <row r="87" spans="1:11">
      <c r="A87" s="39">
        <v>2980</v>
      </c>
      <c r="B87" s="40" t="s">
        <v>241</v>
      </c>
      <c r="C87" s="40" t="s">
        <v>242</v>
      </c>
      <c r="D87" s="40"/>
      <c r="E87" s="40" t="s">
        <v>45</v>
      </c>
      <c r="F87" s="43"/>
      <c r="G87" s="41">
        <f>_xlfn.MINIFS(DADOS!$I:$I,DADOS!$B:$B,B87)</f>
        <v>45363</v>
      </c>
      <c r="H87" s="41">
        <f>_xlfn.MAXIFS(DADOS!$I:$I,DADOS!$B:$B,B87)</f>
        <v>46204</v>
      </c>
      <c r="I87" s="42">
        <f ca="1">CONFIG!$E$1-CLIENTES!H87</f>
        <v>50</v>
      </c>
      <c r="J87" s="43" t="str">
        <f>HYPERLINK("mailto:"&amp;C87&amp;"?subject="&amp;CONFIG!$G$1&amp;"&amp;body="&amp;CONFIG!$G$3,"Enviar e-mail")</f>
        <v>Enviar e-mail</v>
      </c>
      <c r="K87" s="44"/>
    </row>
    <row r="88" spans="1:11">
      <c r="A88" s="39">
        <v>3017</v>
      </c>
      <c r="B88" s="40" t="s">
        <v>243</v>
      </c>
      <c r="C88" s="40" t="s">
        <v>244</v>
      </c>
      <c r="D88" s="40"/>
      <c r="E88" s="40" t="s">
        <v>245</v>
      </c>
      <c r="F88" s="43"/>
      <c r="G88" s="41">
        <f>_xlfn.MINIFS(DADOS!$I:$I,DADOS!$B:$B,B88)</f>
        <v>45376</v>
      </c>
      <c r="H88" s="41">
        <f>_xlfn.MAXIFS(DADOS!$I:$I,DADOS!$B:$B,B88)</f>
        <v>46238</v>
      </c>
      <c r="I88" s="42">
        <f ca="1">CONFIG!$E$1-CLIENTES!H88</f>
        <v>16</v>
      </c>
      <c r="J88" s="43" t="str">
        <f>HYPERLINK("mailto:"&amp;C88&amp;"?subject="&amp;CONFIG!$G$1&amp;"&amp;body="&amp;CONFIG!$G$3,"Enviar e-mail")</f>
        <v>Enviar e-mail</v>
      </c>
      <c r="K88" s="44"/>
    </row>
    <row r="89" spans="1:11">
      <c r="A89" s="39">
        <v>3018</v>
      </c>
      <c r="B89" s="40" t="s">
        <v>246</v>
      </c>
      <c r="C89" s="40" t="s">
        <v>247</v>
      </c>
      <c r="D89" s="40"/>
      <c r="E89" s="40" t="s">
        <v>248</v>
      </c>
      <c r="F89" s="43"/>
      <c r="G89" s="41">
        <f>_xlfn.MINIFS(DADOS!$I:$I,DADOS!$B:$B,B89)</f>
        <v>45376</v>
      </c>
      <c r="H89" s="41">
        <f>_xlfn.MAXIFS(DADOS!$I:$I,DADOS!$B:$B,B89)</f>
        <v>46234</v>
      </c>
      <c r="I89" s="42">
        <f ca="1">CONFIG!$E$1-CLIENTES!H89</f>
        <v>20</v>
      </c>
      <c r="J89" s="43" t="str">
        <f>HYPERLINK("mailto:"&amp;C89&amp;"?subject="&amp;CONFIG!$G$1&amp;"&amp;body="&amp;CONFIG!$G$3,"Enviar e-mail")</f>
        <v>Enviar e-mail</v>
      </c>
      <c r="K89" s="44"/>
    </row>
    <row r="90" spans="1:11">
      <c r="A90" s="39">
        <v>3065</v>
      </c>
      <c r="B90" s="40" t="s">
        <v>249</v>
      </c>
      <c r="C90" s="40" t="s">
        <v>250</v>
      </c>
      <c r="D90" s="40"/>
      <c r="E90" s="40" t="s">
        <v>109</v>
      </c>
      <c r="F90" s="43"/>
      <c r="G90" s="41">
        <f>_xlfn.MINIFS(DADOS!$I:$I,DADOS!$B:$B,B90)</f>
        <v>45590</v>
      </c>
      <c r="H90" s="41">
        <f>_xlfn.MAXIFS(DADOS!$I:$I,DADOS!$B:$B,B90)</f>
        <v>45590</v>
      </c>
      <c r="I90" s="42">
        <f ca="1">CONFIG!$E$1-CLIENTES!H90</f>
        <v>664</v>
      </c>
      <c r="J90" s="43" t="str">
        <f>HYPERLINK("mailto:"&amp;C90&amp;"?subject="&amp;CONFIG!$G$1&amp;"&amp;body="&amp;CONFIG!$G$3,"Enviar e-mail")</f>
        <v>Enviar e-mail</v>
      </c>
      <c r="K90" s="44"/>
    </row>
    <row r="91" spans="1:11">
      <c r="A91" s="39">
        <v>3077</v>
      </c>
      <c r="B91" s="40" t="s">
        <v>251</v>
      </c>
      <c r="C91" s="40" t="s">
        <v>252</v>
      </c>
      <c r="D91" s="40"/>
      <c r="E91" s="40" t="s">
        <v>52</v>
      </c>
      <c r="F91" s="43"/>
      <c r="G91" s="41">
        <f>_xlfn.MINIFS(DADOS!$I:$I,DADOS!$B:$B,B91)</f>
        <v>45355</v>
      </c>
      <c r="H91" s="41">
        <f>_xlfn.MAXIFS(DADOS!$I:$I,DADOS!$B:$B,B91)</f>
        <v>46106</v>
      </c>
      <c r="I91" s="42">
        <f ca="1">CONFIG!$E$1-CLIENTES!H91</f>
        <v>148</v>
      </c>
      <c r="J91" s="43" t="str">
        <f>HYPERLINK("mailto:"&amp;C91&amp;"?subject="&amp;CONFIG!$G$1&amp;"&amp;body="&amp;CONFIG!$G$3,"Enviar e-mail")</f>
        <v>Enviar e-mail</v>
      </c>
      <c r="K91" s="44"/>
    </row>
    <row r="92" spans="1:11">
      <c r="A92" s="39">
        <v>3153</v>
      </c>
      <c r="B92" s="40" t="s">
        <v>253</v>
      </c>
      <c r="C92" s="40" t="s">
        <v>254</v>
      </c>
      <c r="D92" s="40"/>
      <c r="E92" s="40" t="s">
        <v>66</v>
      </c>
      <c r="F92" s="43"/>
      <c r="G92" s="41">
        <f>_xlfn.MINIFS(DADOS!$I:$I,DADOS!$B:$B,B92)</f>
        <v>45356</v>
      </c>
      <c r="H92" s="41">
        <f>_xlfn.MAXIFS(DADOS!$I:$I,DADOS!$B:$B,B92)</f>
        <v>46238</v>
      </c>
      <c r="I92" s="42">
        <f ca="1">CONFIG!$E$1-CLIENTES!H92</f>
        <v>16</v>
      </c>
      <c r="J92" s="43" t="str">
        <f>HYPERLINK("mailto:"&amp;C92&amp;"?subject="&amp;CONFIG!$G$1&amp;"&amp;body="&amp;CONFIG!$G$3,"Enviar e-mail")</f>
        <v>Enviar e-mail</v>
      </c>
      <c r="K92" s="44"/>
    </row>
    <row r="93" spans="1:11">
      <c r="A93" s="39">
        <v>3190</v>
      </c>
      <c r="B93" s="40" t="s">
        <v>255</v>
      </c>
      <c r="C93" s="40" t="s">
        <v>256</v>
      </c>
      <c r="D93" s="40"/>
      <c r="E93" s="40" t="s">
        <v>16</v>
      </c>
      <c r="F93" s="43"/>
      <c r="G93" s="41">
        <f>_xlfn.MINIFS(DADOS!$I:$I,DADOS!$B:$B,B93)</f>
        <v>45372</v>
      </c>
      <c r="H93" s="41">
        <f>_xlfn.MAXIFS(DADOS!$I:$I,DADOS!$B:$B,B93)</f>
        <v>46247</v>
      </c>
      <c r="I93" s="42">
        <f ca="1">CONFIG!$E$1-CLIENTES!H93</f>
        <v>7</v>
      </c>
      <c r="J93" s="43" t="str">
        <f>HYPERLINK("mailto:"&amp;C93&amp;"?subject="&amp;CONFIG!$G$1&amp;"&amp;body="&amp;CONFIG!$G$3,"Enviar e-mail")</f>
        <v>Enviar e-mail</v>
      </c>
      <c r="K93" s="44"/>
    </row>
    <row r="94" spans="1:11">
      <c r="A94" s="39">
        <v>3194</v>
      </c>
      <c r="B94" s="40" t="s">
        <v>257</v>
      </c>
      <c r="C94" s="40" t="s">
        <v>74</v>
      </c>
      <c r="D94" s="40"/>
      <c r="E94" s="40" t="s">
        <v>258</v>
      </c>
      <c r="F94" s="43"/>
      <c r="G94" s="41">
        <f>_xlfn.MINIFS(DADOS!$I:$I,DADOS!$B:$B,B94)</f>
        <v>45357</v>
      </c>
      <c r="H94" s="41">
        <f>_xlfn.MAXIFS(DADOS!$I:$I,DADOS!$B:$B,B94)</f>
        <v>46217</v>
      </c>
      <c r="I94" s="42">
        <f ca="1">CONFIG!$E$1-CLIENTES!H94</f>
        <v>37</v>
      </c>
      <c r="J94" s="43" t="str">
        <f>HYPERLINK("mailto:"&amp;C94&amp;"?subject="&amp;CONFIG!$G$1&amp;"&amp;body="&amp;CONFIG!$G$3,"Enviar e-mail")</f>
        <v>Enviar e-mail</v>
      </c>
      <c r="K94" s="44"/>
    </row>
    <row r="95" spans="1:11">
      <c r="A95" s="39">
        <v>3240</v>
      </c>
      <c r="B95" s="40" t="s">
        <v>259</v>
      </c>
      <c r="C95" s="40" t="s">
        <v>260</v>
      </c>
      <c r="D95" s="40"/>
      <c r="E95" s="40" t="s">
        <v>261</v>
      </c>
      <c r="F95" s="43"/>
      <c r="G95" s="41">
        <f>_xlfn.MINIFS(DADOS!$I:$I,DADOS!$B:$B,B95)</f>
        <v>45387</v>
      </c>
      <c r="H95" s="41">
        <f>_xlfn.MAXIFS(DADOS!$I:$I,DADOS!$B:$B,B95)</f>
        <v>46204</v>
      </c>
      <c r="I95" s="42">
        <f ca="1">CONFIG!$E$1-CLIENTES!H95</f>
        <v>50</v>
      </c>
      <c r="J95" s="43" t="str">
        <f>HYPERLINK("mailto:"&amp;C95&amp;"?subject="&amp;CONFIG!$G$1&amp;"&amp;body="&amp;CONFIG!$G$3,"Enviar e-mail")</f>
        <v>Enviar e-mail</v>
      </c>
      <c r="K95" s="44"/>
    </row>
    <row r="96" spans="1:11">
      <c r="A96" s="39">
        <v>3245</v>
      </c>
      <c r="B96" s="40" t="s">
        <v>262</v>
      </c>
      <c r="C96" s="40" t="s">
        <v>263</v>
      </c>
      <c r="D96" s="40"/>
      <c r="E96" s="40" t="s">
        <v>264</v>
      </c>
      <c r="F96" s="43"/>
      <c r="G96" s="41">
        <f>_xlfn.MINIFS(DADOS!$I:$I,DADOS!$B:$B,B96)</f>
        <v>45421</v>
      </c>
      <c r="H96" s="41">
        <f>_xlfn.MAXIFS(DADOS!$I:$I,DADOS!$B:$B,B96)</f>
        <v>45905</v>
      </c>
      <c r="I96" s="42">
        <f ca="1">CONFIG!$E$1-CLIENTES!H96</f>
        <v>349</v>
      </c>
      <c r="J96" s="43" t="str">
        <f>HYPERLINK("mailto:"&amp;C96&amp;"?subject="&amp;CONFIG!$G$1&amp;"&amp;body="&amp;CONFIG!$G$3,"Enviar e-mail")</f>
        <v>Enviar e-mail</v>
      </c>
      <c r="K96" s="44"/>
    </row>
    <row r="97" spans="1:11">
      <c r="A97" s="39">
        <v>3405</v>
      </c>
      <c r="B97" s="40" t="s">
        <v>265</v>
      </c>
      <c r="C97" s="40" t="s">
        <v>266</v>
      </c>
      <c r="D97" s="40"/>
      <c r="E97" s="40" t="s">
        <v>96</v>
      </c>
      <c r="F97" s="43" t="s">
        <v>385</v>
      </c>
      <c r="G97" s="41">
        <f>_xlfn.MINIFS(DADOS!$I:$I,DADOS!$B:$B,B97)</f>
        <v>45530</v>
      </c>
      <c r="H97" s="41">
        <f>_xlfn.MAXIFS(DADOS!$I:$I,DADOS!$B:$B,B97)</f>
        <v>45910</v>
      </c>
      <c r="I97" s="42">
        <f ca="1">CONFIG!$E$1-CLIENTES!H97</f>
        <v>344</v>
      </c>
      <c r="J97" s="43" t="str">
        <f>HYPERLINK("mailto:"&amp;C97&amp;"?subject="&amp;CONFIG!$G$1&amp;"&amp;body="&amp;CONFIG!$G$3,"Enviar e-mail")</f>
        <v>Enviar e-mail</v>
      </c>
      <c r="K97" s="44"/>
    </row>
    <row r="98" spans="1:11">
      <c r="A98" s="39">
        <v>3475</v>
      </c>
      <c r="B98" s="40" t="s">
        <v>267</v>
      </c>
      <c r="C98" s="40" t="s">
        <v>268</v>
      </c>
      <c r="D98" s="40"/>
      <c r="E98" s="40" t="s">
        <v>83</v>
      </c>
      <c r="F98" s="43"/>
      <c r="G98" s="41">
        <f>_xlfn.MINIFS(DADOS!$I:$I,DADOS!$B:$B,B98)</f>
        <v>45372</v>
      </c>
      <c r="H98" s="41">
        <f>_xlfn.MAXIFS(DADOS!$I:$I,DADOS!$B:$B,B98)</f>
        <v>46246</v>
      </c>
      <c r="I98" s="42">
        <f ca="1">CONFIG!$E$1-CLIENTES!H98</f>
        <v>8</v>
      </c>
      <c r="J98" s="43" t="str">
        <f>HYPERLINK("mailto:"&amp;C98&amp;"?subject="&amp;CONFIG!$G$1&amp;"&amp;body="&amp;CONFIG!$G$3,"Enviar e-mail")</f>
        <v>Enviar e-mail</v>
      </c>
      <c r="K98" s="44"/>
    </row>
    <row r="99" spans="1:11">
      <c r="A99" s="39">
        <v>3565</v>
      </c>
      <c r="B99" s="40" t="s">
        <v>269</v>
      </c>
      <c r="C99" s="40" t="s">
        <v>270</v>
      </c>
      <c r="D99" s="40"/>
      <c r="E99" s="40" t="s">
        <v>96</v>
      </c>
      <c r="F99" s="43"/>
      <c r="G99" s="41">
        <f>_xlfn.MINIFS(DADOS!$I:$I,DADOS!$B:$B,B99)</f>
        <v>45468</v>
      </c>
      <c r="H99" s="41">
        <f>_xlfn.MAXIFS(DADOS!$I:$I,DADOS!$B:$B,B99)</f>
        <v>45623</v>
      </c>
      <c r="I99" s="42">
        <f ca="1">CONFIG!$E$1-CLIENTES!H99</f>
        <v>631</v>
      </c>
      <c r="J99" s="43" t="str">
        <f>HYPERLINK("mailto:"&amp;C99&amp;"?subject="&amp;CONFIG!$G$1&amp;"&amp;body="&amp;CONFIG!$G$3,"Enviar e-mail")</f>
        <v>Enviar e-mail</v>
      </c>
      <c r="K99" s="44"/>
    </row>
    <row r="100" spans="1:11">
      <c r="A100" s="39">
        <v>9063</v>
      </c>
      <c r="B100" s="40" t="s">
        <v>271</v>
      </c>
      <c r="C100" s="40" t="s">
        <v>272</v>
      </c>
      <c r="D100" s="40"/>
      <c r="E100" s="40" t="s">
        <v>273</v>
      </c>
      <c r="F100" s="43" t="s">
        <v>385</v>
      </c>
      <c r="G100" s="41">
        <f>_xlfn.MINIFS(DADOS!$I:$I,DADOS!$B:$B,B100)</f>
        <v>45357</v>
      </c>
      <c r="H100" s="41">
        <f>_xlfn.MAXIFS(DADOS!$I:$I,DADOS!$B:$B,B100)</f>
        <v>46139</v>
      </c>
      <c r="I100" s="42">
        <f ca="1">CONFIG!$E$1-CLIENTES!H100</f>
        <v>115</v>
      </c>
      <c r="J100" s="43" t="str">
        <f>HYPERLINK("mailto:"&amp;C100&amp;"?subject="&amp;CONFIG!$G$1&amp;"&amp;body="&amp;CONFIG!$G$3,"Enviar e-mail")</f>
        <v>Enviar e-mail</v>
      </c>
      <c r="K100" s="44"/>
    </row>
    <row r="101" spans="1:11">
      <c r="A101" s="39">
        <v>50185</v>
      </c>
      <c r="B101" s="40" t="s">
        <v>274</v>
      </c>
      <c r="C101" s="40" t="s">
        <v>275</v>
      </c>
      <c r="D101" s="40"/>
      <c r="E101" s="40" t="s">
        <v>209</v>
      </c>
      <c r="F101" s="43" t="s">
        <v>384</v>
      </c>
      <c r="G101" s="41">
        <f>_xlfn.MINIFS(DADOS!$I:$I,DADOS!$B:$B,B101)</f>
        <v>45476</v>
      </c>
      <c r="H101" s="41">
        <f>_xlfn.MAXIFS(DADOS!$I:$I,DADOS!$B:$B,B101)</f>
        <v>46223</v>
      </c>
      <c r="I101" s="42">
        <f ca="1">CONFIG!$E$1-CLIENTES!H101</f>
        <v>31</v>
      </c>
      <c r="J101" s="43" t="str">
        <f>HYPERLINK("mailto:"&amp;C101&amp;"?subject="&amp;CONFIG!$G$1&amp;"&amp;body="&amp;CONFIG!$G$3,"Enviar e-mail")</f>
        <v>Enviar e-mail</v>
      </c>
      <c r="K101" s="44"/>
    </row>
    <row r="102" spans="1:11">
      <c r="A102" s="39">
        <v>50219</v>
      </c>
      <c r="B102" s="40" t="s">
        <v>276</v>
      </c>
      <c r="C102" s="40" t="s">
        <v>277</v>
      </c>
      <c r="D102" s="40"/>
      <c r="E102" s="40" t="s">
        <v>127</v>
      </c>
      <c r="F102" s="43"/>
      <c r="G102" s="41">
        <f>_xlfn.MINIFS(DADOS!$I:$I,DADOS!$B:$B,B102)</f>
        <v>45356</v>
      </c>
      <c r="H102" s="41">
        <f>_xlfn.MAXIFS(DADOS!$I:$I,DADOS!$B:$B,B102)</f>
        <v>46240</v>
      </c>
      <c r="I102" s="42">
        <f ca="1">CONFIG!$E$1-CLIENTES!H102</f>
        <v>14</v>
      </c>
      <c r="J102" s="43" t="str">
        <f>HYPERLINK("mailto:"&amp;C102&amp;"?subject="&amp;CONFIG!$G$1&amp;"&amp;body="&amp;CONFIG!$G$3,"Enviar e-mail")</f>
        <v>Enviar e-mail</v>
      </c>
      <c r="K102" s="44"/>
    </row>
    <row r="103" spans="1:11">
      <c r="A103" s="39">
        <v>50222</v>
      </c>
      <c r="B103" s="40" t="s">
        <v>278</v>
      </c>
      <c r="C103" s="40"/>
      <c r="D103" s="40"/>
      <c r="E103" s="40" t="s">
        <v>279</v>
      </c>
      <c r="F103" s="43"/>
      <c r="G103" s="41">
        <f>_xlfn.MINIFS(DADOS!$I:$I,DADOS!$B:$B,B103)</f>
        <v>45414</v>
      </c>
      <c r="H103" s="41">
        <f>_xlfn.MAXIFS(DADOS!$I:$I,DADOS!$B:$B,B103)</f>
        <v>45597</v>
      </c>
      <c r="I103" s="42">
        <f ca="1">CONFIG!$E$1-CLIENTES!H103</f>
        <v>657</v>
      </c>
      <c r="J103" s="43" t="str">
        <f>HYPERLINK("mailto:"&amp;C103&amp;"?subject="&amp;CONFIG!$G$1&amp;"&amp;body="&amp;CONFIG!$G$3,"Enviar e-mail")</f>
        <v>Enviar e-mail</v>
      </c>
      <c r="K103" s="44"/>
    </row>
    <row r="104" spans="1:11">
      <c r="A104" s="39">
        <v>50310</v>
      </c>
      <c r="B104" s="40" t="s">
        <v>280</v>
      </c>
      <c r="C104" s="40"/>
      <c r="D104" s="40"/>
      <c r="E104" s="40" t="s">
        <v>281</v>
      </c>
      <c r="F104" s="43"/>
      <c r="G104" s="41">
        <f>_xlfn.MINIFS(DADOS!$I:$I,DADOS!$B:$B,B104)</f>
        <v>45497</v>
      </c>
      <c r="H104" s="41">
        <f>_xlfn.MAXIFS(DADOS!$I:$I,DADOS!$B:$B,B104)</f>
        <v>45831</v>
      </c>
      <c r="I104" s="42">
        <f ca="1">CONFIG!$E$1-CLIENTES!H104</f>
        <v>423</v>
      </c>
      <c r="J104" s="43" t="str">
        <f>HYPERLINK("mailto:"&amp;C104&amp;"?subject="&amp;CONFIG!$G$1&amp;"&amp;body="&amp;CONFIG!$G$3,"Enviar e-mail")</f>
        <v>Enviar e-mail</v>
      </c>
      <c r="K104" s="44"/>
    </row>
    <row r="105" spans="1:11">
      <c r="A105" s="39">
        <v>50312</v>
      </c>
      <c r="B105" s="40" t="s">
        <v>282</v>
      </c>
      <c r="C105" s="40" t="s">
        <v>283</v>
      </c>
      <c r="D105" s="40"/>
      <c r="E105" s="40" t="s">
        <v>45</v>
      </c>
      <c r="F105" s="43"/>
      <c r="G105" s="41">
        <f>_xlfn.MINIFS(DADOS!$I:$I,DADOS!$B:$B,B105)</f>
        <v>45411</v>
      </c>
      <c r="H105" s="41">
        <f>_xlfn.MAXIFS(DADOS!$I:$I,DADOS!$B:$B,B105)</f>
        <v>46120</v>
      </c>
      <c r="I105" s="42">
        <f ca="1">CONFIG!$E$1-CLIENTES!H105</f>
        <v>134</v>
      </c>
      <c r="J105" s="43" t="str">
        <f>HYPERLINK("mailto:"&amp;C105&amp;"?subject="&amp;CONFIG!$G$1&amp;"&amp;body="&amp;CONFIG!$G$3,"Enviar e-mail")</f>
        <v>Enviar e-mail</v>
      </c>
      <c r="K105" s="44"/>
    </row>
    <row r="106" spans="1:11">
      <c r="A106" s="39">
        <v>50418</v>
      </c>
      <c r="B106" s="40" t="s">
        <v>284</v>
      </c>
      <c r="C106" s="40" t="s">
        <v>285</v>
      </c>
      <c r="D106" s="40"/>
      <c r="E106" s="40" t="s">
        <v>195</v>
      </c>
      <c r="F106" s="43"/>
      <c r="G106" s="41">
        <f>_xlfn.MINIFS(DADOS!$I:$I,DADOS!$B:$B,B106)</f>
        <v>45362</v>
      </c>
      <c r="H106" s="41">
        <f>_xlfn.MAXIFS(DADOS!$I:$I,DADOS!$B:$B,B106)</f>
        <v>46232</v>
      </c>
      <c r="I106" s="42">
        <f ca="1">CONFIG!$E$1-CLIENTES!H106</f>
        <v>22</v>
      </c>
      <c r="J106" s="43" t="str">
        <f>HYPERLINK("mailto:"&amp;C106&amp;"?subject="&amp;CONFIG!$G$1&amp;"&amp;body="&amp;CONFIG!$G$3,"Enviar e-mail")</f>
        <v>Enviar e-mail</v>
      </c>
      <c r="K106" s="44"/>
    </row>
    <row r="107" spans="1:11">
      <c r="A107" s="39">
        <v>50465</v>
      </c>
      <c r="B107" s="40" t="s">
        <v>286</v>
      </c>
      <c r="C107" s="40" t="s">
        <v>287</v>
      </c>
      <c r="D107" s="40"/>
      <c r="E107" s="40" t="s">
        <v>109</v>
      </c>
      <c r="F107" s="43"/>
      <c r="G107" s="41">
        <f>_xlfn.MINIFS(DADOS!$I:$I,DADOS!$B:$B,B107)</f>
        <v>45421</v>
      </c>
      <c r="H107" s="41">
        <f>_xlfn.MAXIFS(DADOS!$I:$I,DADOS!$B:$B,B107)</f>
        <v>46244</v>
      </c>
      <c r="I107" s="42">
        <f ca="1">CONFIG!$E$1-CLIENTES!H107</f>
        <v>10</v>
      </c>
      <c r="J107" s="43" t="str">
        <f>HYPERLINK("mailto:"&amp;C107&amp;"?subject="&amp;CONFIG!$G$1&amp;"&amp;body="&amp;CONFIG!$G$3,"Enviar e-mail")</f>
        <v>Enviar e-mail</v>
      </c>
      <c r="K107" s="44"/>
    </row>
    <row r="108" spans="1:11">
      <c r="A108" s="39">
        <v>50497</v>
      </c>
      <c r="B108" s="40" t="s">
        <v>288</v>
      </c>
      <c r="C108" s="40" t="s">
        <v>289</v>
      </c>
      <c r="D108" s="40"/>
      <c r="E108" s="40" t="s">
        <v>148</v>
      </c>
      <c r="F108" s="43"/>
      <c r="G108" s="41">
        <f>_xlfn.MINIFS(DADOS!$I:$I,DADOS!$B:$B,B108)</f>
        <v>45391</v>
      </c>
      <c r="H108" s="41">
        <f>_xlfn.MAXIFS(DADOS!$I:$I,DADOS!$B:$B,B108)</f>
        <v>45644</v>
      </c>
      <c r="I108" s="42">
        <f ca="1">CONFIG!$E$1-CLIENTES!H108</f>
        <v>610</v>
      </c>
      <c r="J108" s="43" t="str">
        <f>HYPERLINK("mailto:"&amp;C108&amp;"?subject="&amp;CONFIG!$G$1&amp;"&amp;body="&amp;CONFIG!$G$3,"Enviar e-mail")</f>
        <v>Enviar e-mail</v>
      </c>
      <c r="K108" s="44"/>
    </row>
    <row r="109" spans="1:11">
      <c r="A109" s="39">
        <v>50526</v>
      </c>
      <c r="B109" s="40" t="s">
        <v>290</v>
      </c>
      <c r="C109" s="40"/>
      <c r="D109" s="40"/>
      <c r="E109" s="40" t="s">
        <v>291</v>
      </c>
      <c r="F109" s="43"/>
      <c r="G109" s="41">
        <f>_xlfn.MINIFS(DADOS!$I:$I,DADOS!$B:$B,B109)</f>
        <v>45363</v>
      </c>
      <c r="H109" s="41">
        <f>_xlfn.MAXIFS(DADOS!$I:$I,DADOS!$B:$B,B109)</f>
        <v>45617</v>
      </c>
      <c r="I109" s="42">
        <f ca="1">CONFIG!$E$1-CLIENTES!H109</f>
        <v>637</v>
      </c>
      <c r="J109" s="43" t="str">
        <f>HYPERLINK("mailto:"&amp;C109&amp;"?subject="&amp;CONFIG!$G$1&amp;"&amp;body="&amp;CONFIG!$G$3,"Enviar e-mail")</f>
        <v>Enviar e-mail</v>
      </c>
      <c r="K109" s="44"/>
    </row>
    <row r="110" spans="1:11">
      <c r="A110" s="39">
        <v>50554</v>
      </c>
      <c r="B110" s="40" t="s">
        <v>292</v>
      </c>
      <c r="C110" s="40" t="s">
        <v>293</v>
      </c>
      <c r="D110" s="40"/>
      <c r="E110" s="40" t="s">
        <v>294</v>
      </c>
      <c r="F110" s="43"/>
      <c r="G110" s="41">
        <f>_xlfn.MINIFS(DADOS!$I:$I,DADOS!$B:$B,B110)</f>
        <v>45357</v>
      </c>
      <c r="H110" s="41">
        <f>_xlfn.MAXIFS(DADOS!$I:$I,DADOS!$B:$B,B110)</f>
        <v>46176</v>
      </c>
      <c r="I110" s="42">
        <f ca="1">CONFIG!$E$1-CLIENTES!H110</f>
        <v>78</v>
      </c>
      <c r="J110" s="43" t="str">
        <f>HYPERLINK("mailto:"&amp;C110&amp;"?subject="&amp;CONFIG!$G$1&amp;"&amp;body="&amp;CONFIG!$G$3,"Enviar e-mail")</f>
        <v>Enviar e-mail</v>
      </c>
      <c r="K110" s="44"/>
    </row>
    <row r="111" spans="1:11">
      <c r="A111" s="39">
        <v>50558</v>
      </c>
      <c r="B111" s="40" t="s">
        <v>295</v>
      </c>
      <c r="C111" s="40" t="s">
        <v>296</v>
      </c>
      <c r="D111" s="40"/>
      <c r="E111" s="40" t="s">
        <v>297</v>
      </c>
      <c r="F111" s="43"/>
      <c r="G111" s="41">
        <f>_xlfn.MINIFS(DADOS!$I:$I,DADOS!$B:$B,B111)</f>
        <v>45352</v>
      </c>
      <c r="H111" s="41">
        <f>_xlfn.MAXIFS(DADOS!$I:$I,DADOS!$B:$B,B111)</f>
        <v>46234</v>
      </c>
      <c r="I111" s="42">
        <f ca="1">CONFIG!$E$1-CLIENTES!H111</f>
        <v>20</v>
      </c>
      <c r="J111" s="43" t="str">
        <f>HYPERLINK("mailto:"&amp;C111&amp;"?subject="&amp;CONFIG!$G$1&amp;"&amp;body="&amp;CONFIG!$G$3,"Enviar e-mail")</f>
        <v>Enviar e-mail</v>
      </c>
      <c r="K111" s="44"/>
    </row>
    <row r="112" spans="1:11">
      <c r="A112" s="39">
        <v>50576</v>
      </c>
      <c r="B112" s="40" t="s">
        <v>298</v>
      </c>
      <c r="C112" s="40" t="s">
        <v>299</v>
      </c>
      <c r="D112" s="40"/>
      <c r="E112" s="40" t="s">
        <v>300</v>
      </c>
      <c r="F112" s="43"/>
      <c r="G112" s="41">
        <f>_xlfn.MINIFS(DADOS!$I:$I,DADOS!$B:$B,B112)</f>
        <v>45363</v>
      </c>
      <c r="H112" s="41">
        <f>_xlfn.MAXIFS(DADOS!$I:$I,DADOS!$B:$B,B112)</f>
        <v>46162</v>
      </c>
      <c r="I112" s="42">
        <f ca="1">CONFIG!$E$1-CLIENTES!H112</f>
        <v>92</v>
      </c>
      <c r="J112" s="43" t="str">
        <f>HYPERLINK("mailto:"&amp;C112&amp;"?subject="&amp;CONFIG!$G$1&amp;"&amp;body="&amp;CONFIG!$G$3,"Enviar e-mail")</f>
        <v>Enviar e-mail</v>
      </c>
      <c r="K112" s="44"/>
    </row>
    <row r="113" spans="1:12">
      <c r="A113" s="39">
        <v>50728</v>
      </c>
      <c r="B113" s="40" t="s">
        <v>301</v>
      </c>
      <c r="C113" s="40" t="s">
        <v>302</v>
      </c>
      <c r="D113" s="40"/>
      <c r="E113" s="40" t="s">
        <v>42</v>
      </c>
      <c r="F113" s="43"/>
      <c r="G113" s="41">
        <f>_xlfn.MINIFS(DADOS!$I:$I,DADOS!$B:$B,B113)</f>
        <v>45406</v>
      </c>
      <c r="H113" s="41">
        <f>_xlfn.MAXIFS(DADOS!$I:$I,DADOS!$B:$B,B113)</f>
        <v>46248</v>
      </c>
      <c r="I113" s="42">
        <f ca="1">CONFIG!$E$1-CLIENTES!H113</f>
        <v>6</v>
      </c>
      <c r="J113" s="43" t="str">
        <f>HYPERLINK("mailto:"&amp;C113&amp;"?subject="&amp;CONFIG!$G$1&amp;"&amp;body="&amp;CONFIG!$G$3,"Enviar e-mail")</f>
        <v>Enviar e-mail</v>
      </c>
      <c r="K113" s="44"/>
    </row>
    <row r="114" spans="1:12">
      <c r="A114" s="39">
        <v>50816</v>
      </c>
      <c r="B114" s="40" t="s">
        <v>303</v>
      </c>
      <c r="C114" s="40" t="s">
        <v>304</v>
      </c>
      <c r="D114" s="40"/>
      <c r="E114" s="40" t="s">
        <v>83</v>
      </c>
      <c r="F114" s="43" t="s">
        <v>384</v>
      </c>
      <c r="G114" s="41">
        <f>_xlfn.MINIFS(DADOS!$I:$I,DADOS!$B:$B,B114)</f>
        <v>45439</v>
      </c>
      <c r="H114" s="41">
        <f>_xlfn.MAXIFS(DADOS!$I:$I,DADOS!$B:$B,B114)</f>
        <v>45533</v>
      </c>
      <c r="I114" s="42">
        <f ca="1">CONFIG!$E$1-CLIENTES!H114</f>
        <v>721</v>
      </c>
      <c r="J114" s="43" t="str">
        <f>HYPERLINK("mailto:"&amp;C114&amp;"?subject="&amp;CONFIG!$G$1&amp;"&amp;body="&amp;CONFIG!$G$3,"Enviar e-mail")</f>
        <v>Enviar e-mail</v>
      </c>
      <c r="K114" s="44"/>
    </row>
    <row r="115" spans="1:12">
      <c r="A115" s="39">
        <v>50936</v>
      </c>
      <c r="B115" s="40" t="s">
        <v>305</v>
      </c>
      <c r="C115" s="40" t="s">
        <v>306</v>
      </c>
      <c r="D115" s="40"/>
      <c r="E115" s="40" t="s">
        <v>307</v>
      </c>
      <c r="F115" s="43"/>
      <c r="G115" s="41">
        <f>_xlfn.MINIFS(DADOS!$I:$I,DADOS!$B:$B,B115)</f>
        <v>45419</v>
      </c>
      <c r="H115" s="41">
        <f>_xlfn.MAXIFS(DADOS!$I:$I,DADOS!$B:$B,B115)</f>
        <v>46204</v>
      </c>
      <c r="I115" s="42">
        <f ca="1">CONFIG!$E$1-CLIENTES!H115</f>
        <v>50</v>
      </c>
      <c r="J115" s="43" t="str">
        <f>HYPERLINK("mailto:"&amp;C115&amp;"?subject="&amp;CONFIG!$G$1&amp;"&amp;body="&amp;CONFIG!$G$3,"Enviar e-mail")</f>
        <v>Enviar e-mail</v>
      </c>
      <c r="K115" s="44"/>
    </row>
    <row r="116" spans="1:12">
      <c r="A116" s="39">
        <v>50961</v>
      </c>
      <c r="B116" s="40" t="s">
        <v>308</v>
      </c>
      <c r="C116" s="40" t="s">
        <v>309</v>
      </c>
      <c r="D116" s="40"/>
      <c r="E116" s="40" t="s">
        <v>310</v>
      </c>
      <c r="F116" s="43" t="s">
        <v>384</v>
      </c>
      <c r="G116" s="41">
        <f>_xlfn.MINIFS(DADOS!$I:$I,DADOS!$B:$B,B116)</f>
        <v>45498</v>
      </c>
      <c r="H116" s="41">
        <f>_xlfn.MAXIFS(DADOS!$I:$I,DADOS!$B:$B,B116)</f>
        <v>46240</v>
      </c>
      <c r="I116" s="42">
        <f ca="1">CONFIG!$E$1-CLIENTES!H116</f>
        <v>14</v>
      </c>
      <c r="J116" s="43" t="str">
        <f>HYPERLINK("mailto:"&amp;C116&amp;"?subject="&amp;CONFIG!$G$1&amp;"&amp;body="&amp;CONFIG!$G$3,"Enviar e-mail")</f>
        <v>Enviar e-mail</v>
      </c>
      <c r="K116" s="44"/>
    </row>
    <row r="117" spans="1:12">
      <c r="A117" s="39">
        <v>51042</v>
      </c>
      <c r="B117" s="40" t="s">
        <v>311</v>
      </c>
      <c r="C117" s="40" t="s">
        <v>312</v>
      </c>
      <c r="D117" s="40"/>
      <c r="E117" s="40" t="s">
        <v>96</v>
      </c>
      <c r="F117" s="43"/>
      <c r="G117" s="41">
        <f>_xlfn.MINIFS(DADOS!$I:$I,DADOS!$B:$B,B117)</f>
        <v>45488</v>
      </c>
      <c r="H117" s="41">
        <f>_xlfn.MAXIFS(DADOS!$I:$I,DADOS!$B:$B,B117)</f>
        <v>46244</v>
      </c>
      <c r="I117" s="42">
        <f ca="1">CONFIG!$E$1-CLIENTES!H117</f>
        <v>10</v>
      </c>
      <c r="J117" s="43" t="str">
        <f>HYPERLINK("mailto:"&amp;C117&amp;"?subject="&amp;CONFIG!$G$1&amp;"&amp;body="&amp;CONFIG!$G$3,"Enviar e-mail")</f>
        <v>Enviar e-mail</v>
      </c>
      <c r="K117" s="44"/>
    </row>
    <row r="118" spans="1:12">
      <c r="A118" s="39">
        <v>51175</v>
      </c>
      <c r="B118" s="40" t="s">
        <v>313</v>
      </c>
      <c r="C118" s="40" t="s">
        <v>314</v>
      </c>
      <c r="D118" s="40"/>
      <c r="E118" s="40" t="s">
        <v>66</v>
      </c>
      <c r="F118" s="43"/>
      <c r="G118" s="41">
        <f>_xlfn.MINIFS(DADOS!$I:$I,DADOS!$B:$B,B118)</f>
        <v>45397</v>
      </c>
      <c r="H118" s="41">
        <f>_xlfn.MAXIFS(DADOS!$I:$I,DADOS!$B:$B,B118)</f>
        <v>46223</v>
      </c>
      <c r="I118" s="42">
        <f ca="1">CONFIG!$E$1-CLIENTES!H118</f>
        <v>31</v>
      </c>
      <c r="J118" s="43" t="str">
        <f>HYPERLINK("mailto:"&amp;C118&amp;"?subject="&amp;CONFIG!$G$1&amp;"&amp;body="&amp;CONFIG!$G$3,"Enviar e-mail")</f>
        <v>Enviar e-mail</v>
      </c>
      <c r="K118" s="44"/>
    </row>
    <row r="119" spans="1:12">
      <c r="A119" s="39">
        <v>500005</v>
      </c>
      <c r="B119" s="40" t="s">
        <v>315</v>
      </c>
      <c r="C119" s="40" t="s">
        <v>316</v>
      </c>
      <c r="D119" s="40"/>
      <c r="E119" s="40" t="s">
        <v>83</v>
      </c>
      <c r="F119" s="43" t="s">
        <v>387</v>
      </c>
      <c r="G119" s="41">
        <f>_xlfn.MINIFS(DADOS!$I:$I,DADOS!$B:$B,B119)</f>
        <v>45462</v>
      </c>
      <c r="H119" s="41">
        <f>_xlfn.MAXIFS(DADOS!$I:$I,DADOS!$B:$B,B119)</f>
        <v>47272</v>
      </c>
      <c r="I119" s="42">
        <f ca="1">CONFIG!$E$1-CLIENTES!H119</f>
        <v>-1018</v>
      </c>
      <c r="J119" s="43" t="str">
        <f>HYPERLINK("mailto:"&amp;C119&amp;"?subject="&amp;CONFIG!$G$1&amp;"&amp;body="&amp;CONFIG!$G$3,"Enviar e-mail")</f>
        <v>Enviar e-mail</v>
      </c>
      <c r="K119" s="44"/>
    </row>
    <row r="120" spans="1:12">
      <c r="A120" s="39">
        <v>500149</v>
      </c>
      <c r="B120" s="40" t="s">
        <v>532</v>
      </c>
      <c r="C120" s="61" t="s">
        <v>74</v>
      </c>
      <c r="D120" s="40"/>
      <c r="E120" s="40" t="s">
        <v>533</v>
      </c>
      <c r="F120" s="43" t="s">
        <v>385</v>
      </c>
      <c r="G120" s="41">
        <f>_xlfn.MINIFS(DADOS!$I:$I,DADOS!$B:$B,B120)</f>
        <v>45419</v>
      </c>
      <c r="H120" s="41">
        <f>_xlfn.MAXIFS(DADOS!$I:$I,DADOS!$B:$B,B120)</f>
        <v>46245</v>
      </c>
      <c r="I120" s="42">
        <f ca="1">CONFIG!$E$1-CLIENTES!H120</f>
        <v>9</v>
      </c>
      <c r="J120" s="43" t="str">
        <f>HYPERLINK("mailto:"&amp;C120&amp;"?subject="&amp;CONFIG!$G$1&amp;"&amp;body="&amp;CONFIG!$G$3,"Enviar e-mail")</f>
        <v>Enviar e-mail</v>
      </c>
      <c r="K120" s="44"/>
    </row>
    <row r="121" spans="1:12">
      <c r="A121" s="39">
        <v>500243</v>
      </c>
      <c r="B121" s="40" t="s">
        <v>317</v>
      </c>
      <c r="C121" s="40" t="s">
        <v>318</v>
      </c>
      <c r="D121" s="40"/>
      <c r="E121" s="40" t="s">
        <v>57</v>
      </c>
      <c r="F121" s="43"/>
      <c r="G121" s="41">
        <f>_xlfn.MINIFS(DADOS!$I:$I,DADOS!$B:$B,B121)</f>
        <v>45499</v>
      </c>
      <c r="H121" s="41">
        <f>_xlfn.MAXIFS(DADOS!$I:$I,DADOS!$B:$B,B121)</f>
        <v>46239</v>
      </c>
      <c r="I121" s="42">
        <f ca="1">CONFIG!$E$1-CLIENTES!H121</f>
        <v>15</v>
      </c>
      <c r="J121" s="43" t="str">
        <f>HYPERLINK("mailto:"&amp;C121&amp;"?subject="&amp;CONFIG!$G$1&amp;"&amp;body="&amp;CONFIG!$G$3,"Enviar e-mail")</f>
        <v>Enviar e-mail</v>
      </c>
      <c r="K121" s="44"/>
    </row>
    <row r="122" spans="1:12">
      <c r="A122" s="39">
        <v>500245</v>
      </c>
      <c r="B122" s="40" t="s">
        <v>319</v>
      </c>
      <c r="C122" s="40" t="s">
        <v>320</v>
      </c>
      <c r="D122" s="40"/>
      <c r="E122" s="40" t="s">
        <v>321</v>
      </c>
      <c r="F122" s="43"/>
      <c r="G122" s="41">
        <f>_xlfn.MINIFS(DADOS!$I:$I,DADOS!$B:$B,B122)</f>
        <v>45588</v>
      </c>
      <c r="H122" s="41">
        <f>_xlfn.MAXIFS(DADOS!$I:$I,DADOS!$B:$B,B122)</f>
        <v>45588</v>
      </c>
      <c r="I122" s="42">
        <f ca="1">CONFIG!$E$1-CLIENTES!H122</f>
        <v>666</v>
      </c>
      <c r="J122" s="43" t="str">
        <f>HYPERLINK("mailto:"&amp;C122&amp;"?subject="&amp;CONFIG!$G$1&amp;"&amp;body="&amp;CONFIG!$G$3,"Enviar e-mail")</f>
        <v>Enviar e-mail</v>
      </c>
      <c r="K122" s="44"/>
    </row>
    <row r="123" spans="1:12">
      <c r="A123" s="55">
        <v>712</v>
      </c>
      <c r="B123" s="56" t="s">
        <v>392</v>
      </c>
      <c r="C123" s="56" t="s">
        <v>393</v>
      </c>
      <c r="D123" s="56"/>
      <c r="E123" s="56" t="s">
        <v>394</v>
      </c>
      <c r="F123" s="57" t="s">
        <v>385</v>
      </c>
      <c r="G123" s="41">
        <f>_xlfn.MINIFS(DADOS!$I:$I,DADOS!$B:$B,B123)</f>
        <v>45664</v>
      </c>
      <c r="H123" s="41">
        <f>_xlfn.MAXIFS(DADOS!$I:$I,DADOS!$B:$B,B123)</f>
        <v>45687</v>
      </c>
      <c r="I123" s="42">
        <f ca="1">CONFIG!$E$1-CLIENTES!H123</f>
        <v>567</v>
      </c>
      <c r="J123" s="57" t="s">
        <v>395</v>
      </c>
      <c r="K123" s="58"/>
    </row>
    <row r="124" spans="1:12">
      <c r="A124" s="55">
        <v>50794</v>
      </c>
      <c r="B124" s="56" t="s">
        <v>410</v>
      </c>
      <c r="C124" s="56" t="s">
        <v>411</v>
      </c>
      <c r="D124" s="56"/>
      <c r="E124" s="56" t="s">
        <v>412</v>
      </c>
      <c r="F124" s="57" t="s">
        <v>385</v>
      </c>
      <c r="G124" s="41">
        <f>_xlfn.MINIFS(DADOS!$I:$I,DADOS!$B:$B,B124)</f>
        <v>45671</v>
      </c>
      <c r="H124" s="41">
        <f>_xlfn.MAXIFS(DADOS!$I:$I,DADOS!$B:$B,B124)</f>
        <v>45671</v>
      </c>
      <c r="I124" s="42">
        <f ca="1">CONFIG!$E$1-CLIENTES!H124</f>
        <v>583</v>
      </c>
      <c r="J124" s="57" t="s">
        <v>395</v>
      </c>
      <c r="K124" s="58"/>
    </row>
    <row r="125" spans="1:12">
      <c r="A125" s="55">
        <v>500434</v>
      </c>
      <c r="B125" s="56" t="s">
        <v>420</v>
      </c>
      <c r="C125" s="56" t="s">
        <v>421</v>
      </c>
      <c r="D125" s="56"/>
      <c r="E125" s="56" t="s">
        <v>422</v>
      </c>
      <c r="F125" s="57" t="s">
        <v>390</v>
      </c>
      <c r="G125" s="41">
        <f>_xlfn.MINIFS(DADOS!$I:$I,DADOS!$B:$B,B125)</f>
        <v>45685</v>
      </c>
      <c r="H125" s="41">
        <f>_xlfn.MAXIFS(DADOS!$I:$I,DADOS!$B:$B,B125)</f>
        <v>45813</v>
      </c>
      <c r="I125" s="42">
        <f ca="1">CONFIG!$E$1-CLIENTES!H125</f>
        <v>441</v>
      </c>
      <c r="J125" s="57" t="s">
        <v>395</v>
      </c>
      <c r="K125" s="58"/>
    </row>
    <row r="126" spans="1:12">
      <c r="A126" s="55">
        <v>50728</v>
      </c>
      <c r="B126" s="56" t="s">
        <v>301</v>
      </c>
      <c r="C126" s="56" t="s">
        <v>302</v>
      </c>
      <c r="D126" s="56"/>
      <c r="E126" s="56" t="s">
        <v>42</v>
      </c>
      <c r="F126" s="57" t="s">
        <v>385</v>
      </c>
      <c r="G126" s="41">
        <f>_xlfn.MINIFS(DADOS!$I:$I,DADOS!$B:$B,B126)</f>
        <v>45406</v>
      </c>
      <c r="H126" s="41">
        <f>_xlfn.MAXIFS(DADOS!$I:$I,DADOS!$B:$B,B126)</f>
        <v>46248</v>
      </c>
      <c r="I126" s="42">
        <f ca="1">CONFIG!$E$1-CLIENTES!H126</f>
        <v>6</v>
      </c>
      <c r="J126" s="57" t="s">
        <v>395</v>
      </c>
      <c r="K126" s="58"/>
      <c r="L126" t="s">
        <v>411</v>
      </c>
    </row>
    <row r="127" spans="1:12">
      <c r="A127" s="55">
        <v>234</v>
      </c>
      <c r="B127" s="56" t="s">
        <v>440</v>
      </c>
      <c r="C127" s="56" t="s">
        <v>441</v>
      </c>
      <c r="D127" s="56"/>
      <c r="E127" s="56" t="s">
        <v>157</v>
      </c>
      <c r="F127" s="57" t="s">
        <v>385</v>
      </c>
      <c r="G127" s="41">
        <f>_xlfn.MINIFS(DADOS!$I:$I,DADOS!$B:$B,B127)</f>
        <v>45700</v>
      </c>
      <c r="H127" s="41">
        <f>_xlfn.MAXIFS(DADOS!$I:$I,DADOS!$B:$B,B127)</f>
        <v>45700</v>
      </c>
      <c r="I127" s="42">
        <f ca="1">CONFIG!$E$1-CLIENTES!H127</f>
        <v>554</v>
      </c>
      <c r="J127" s="57" t="s">
        <v>395</v>
      </c>
      <c r="K127" s="58"/>
    </row>
    <row r="128" spans="1:12">
      <c r="A128" s="55">
        <v>500481</v>
      </c>
      <c r="B128" s="56" t="s">
        <v>460</v>
      </c>
      <c r="C128" s="56" t="s">
        <v>461</v>
      </c>
      <c r="D128" s="56"/>
      <c r="E128" s="56" t="s">
        <v>462</v>
      </c>
      <c r="F128" s="57" t="s">
        <v>384</v>
      </c>
      <c r="G128" s="41">
        <f>_xlfn.MINIFS(DADOS!$I:$I,DADOS!$B:$B,B128)</f>
        <v>45713</v>
      </c>
      <c r="H128" s="41">
        <f>_xlfn.MAXIFS(DADOS!$I:$I,DADOS!$B:$B,B128)</f>
        <v>45775</v>
      </c>
      <c r="I128" s="42">
        <f ca="1">CONFIG!$E$1-CLIENTES!H128</f>
        <v>479</v>
      </c>
      <c r="J128" s="57" t="s">
        <v>395</v>
      </c>
      <c r="K128" s="58"/>
    </row>
    <row r="129" spans="1:11">
      <c r="A129" s="55">
        <v>50990</v>
      </c>
      <c r="B129" s="56" t="s">
        <v>512</v>
      </c>
      <c r="C129" s="56" t="s">
        <v>513</v>
      </c>
      <c r="D129" s="56"/>
      <c r="E129" s="56" t="s">
        <v>514</v>
      </c>
      <c r="F129" s="57" t="s">
        <v>384</v>
      </c>
      <c r="G129" s="41">
        <f>_xlfn.MINIFS(DADOS!$I:$I,DADOS!$B:$B,B129)</f>
        <v>45747</v>
      </c>
      <c r="H129" s="41">
        <f>_xlfn.MAXIFS(DADOS!$I:$I,DADOS!$B:$B,B129)</f>
        <v>45747</v>
      </c>
      <c r="I129" s="42">
        <f ca="1">CONFIG!$E$1-CLIENTES!H129</f>
        <v>507</v>
      </c>
      <c r="J129" s="57" t="s">
        <v>395</v>
      </c>
      <c r="K129" s="58"/>
    </row>
    <row r="130" spans="1:11">
      <c r="A130" s="55">
        <v>500546</v>
      </c>
      <c r="B130" s="56" t="s">
        <v>540</v>
      </c>
      <c r="C130" s="56"/>
      <c r="D130" s="56"/>
      <c r="E130" s="56" t="s">
        <v>541</v>
      </c>
      <c r="F130" s="57" t="s">
        <v>385</v>
      </c>
      <c r="G130" s="41">
        <f>_xlfn.MINIFS(DADOS!$I:$I,DADOS!$B:$B,B130)</f>
        <v>45764</v>
      </c>
      <c r="H130" s="41">
        <f>_xlfn.MAXIFS(DADOS!$I:$I,DADOS!$B:$B,B130)</f>
        <v>45764</v>
      </c>
      <c r="I130" s="42">
        <f ca="1">CONFIG!$E$1-CLIENTES!H130</f>
        <v>490</v>
      </c>
      <c r="J130" s="57" t="s">
        <v>395</v>
      </c>
      <c r="K130" s="58"/>
    </row>
    <row r="131" spans="1:11">
      <c r="A131" s="55">
        <v>500542</v>
      </c>
      <c r="B131" s="56" t="s">
        <v>542</v>
      </c>
      <c r="C131" s="56"/>
      <c r="D131" s="56"/>
      <c r="E131" s="56" t="s">
        <v>543</v>
      </c>
      <c r="F131" s="57" t="s">
        <v>385</v>
      </c>
      <c r="G131" s="41">
        <f>_xlfn.MINIFS(DADOS!$I:$I,DADOS!$B:$B,B131)</f>
        <v>45769</v>
      </c>
      <c r="H131" s="41">
        <f>_xlfn.MAXIFS(DADOS!$I:$I,DADOS!$B:$B,B131)</f>
        <v>45769</v>
      </c>
      <c r="I131" s="42">
        <f ca="1">CONFIG!$E$1-CLIENTES!H131</f>
        <v>485</v>
      </c>
      <c r="J131" s="57" t="s">
        <v>395</v>
      </c>
      <c r="K131" s="58"/>
    </row>
    <row r="132" spans="1:11">
      <c r="A132" s="55">
        <v>618</v>
      </c>
      <c r="B132" s="56" t="s">
        <v>58</v>
      </c>
      <c r="C132" s="56"/>
      <c r="D132" s="56"/>
      <c r="E132" s="56" t="s">
        <v>60</v>
      </c>
      <c r="F132" s="57" t="s">
        <v>385</v>
      </c>
      <c r="G132" s="41">
        <f>_xlfn.MINIFS(DADOS!$I:$I,DADOS!$B:$B,B132)</f>
        <v>45358</v>
      </c>
      <c r="H132" s="41">
        <f>_xlfn.MAXIFS(DADOS!$I:$I,DADOS!$B:$B,B132)</f>
        <v>46234</v>
      </c>
      <c r="I132" s="42">
        <f ca="1">CONFIG!$E$1-CLIENTES!H132</f>
        <v>20</v>
      </c>
      <c r="J132" s="57" t="s">
        <v>395</v>
      </c>
      <c r="K132" s="58"/>
    </row>
    <row r="133" spans="1:11">
      <c r="A133" s="55">
        <v>50426</v>
      </c>
      <c r="B133" s="56" t="s">
        <v>286</v>
      </c>
      <c r="C133" s="56"/>
      <c r="D133" s="56"/>
      <c r="E133" s="56" t="s">
        <v>109</v>
      </c>
      <c r="F133" s="57" t="s">
        <v>385</v>
      </c>
      <c r="G133" s="41">
        <f>_xlfn.MINIFS(DADOS!$I:$I,DADOS!$B:$B,B133)</f>
        <v>45421</v>
      </c>
      <c r="H133" s="41">
        <f>_xlfn.MAXIFS(DADOS!$I:$I,DADOS!$B:$B,B133)</f>
        <v>46244</v>
      </c>
      <c r="I133" s="42">
        <f ca="1">CONFIG!$E$1-CLIENTES!H133</f>
        <v>10</v>
      </c>
      <c r="J133" s="57" t="s">
        <v>395</v>
      </c>
      <c r="K133" s="58"/>
    </row>
    <row r="134" spans="1:11">
      <c r="A134" s="55">
        <v>3492</v>
      </c>
      <c r="B134" s="56" t="s">
        <v>747</v>
      </c>
      <c r="C134" s="56"/>
      <c r="D134" s="56"/>
      <c r="E134" s="56" t="s">
        <v>643</v>
      </c>
      <c r="F134" s="57" t="s">
        <v>385</v>
      </c>
      <c r="G134" s="41">
        <f>_xlfn.MINIFS(DADOS!$I:$I,DADOS!$B:$B,B134)</f>
        <v>45853</v>
      </c>
      <c r="H134" s="41">
        <f>_xlfn.MAXIFS(DADOS!$I:$I,DADOS!$B:$B,B134)</f>
        <v>46244</v>
      </c>
      <c r="I134" s="42">
        <f ca="1">CONFIG!$E$1-CLIENTES!H134</f>
        <v>10</v>
      </c>
      <c r="J134" s="57" t="s">
        <v>395</v>
      </c>
      <c r="K134" s="58"/>
    </row>
    <row r="135" spans="1:11">
      <c r="A135" s="55">
        <v>3019</v>
      </c>
      <c r="B135" s="56" t="s">
        <v>747</v>
      </c>
      <c r="C135" s="56"/>
      <c r="D135" s="56"/>
      <c r="E135" s="56"/>
      <c r="F135" s="57" t="s">
        <v>385</v>
      </c>
      <c r="G135" s="41">
        <f>_xlfn.MINIFS(DADOS!$I:$I,DADOS!$B:$B,B135)</f>
        <v>45853</v>
      </c>
      <c r="H135" s="41">
        <f>_xlfn.MAXIFS(DADOS!$I:$I,DADOS!$B:$B,B135)</f>
        <v>46244</v>
      </c>
      <c r="I135" s="42">
        <f ca="1">CONFIG!$E$1-CLIENTES!H135</f>
        <v>10</v>
      </c>
      <c r="J135" s="57" t="s">
        <v>395</v>
      </c>
      <c r="K135" s="58"/>
    </row>
    <row r="136" spans="1:11">
      <c r="A136" s="55">
        <v>2199</v>
      </c>
      <c r="B136" s="56" t="s">
        <v>747</v>
      </c>
      <c r="C136" s="56"/>
      <c r="D136" s="56"/>
      <c r="E136" s="56"/>
      <c r="F136" s="57" t="s">
        <v>385</v>
      </c>
      <c r="G136" s="41">
        <f>_xlfn.MINIFS(DADOS!$I:$I,DADOS!$B:$B,B136)</f>
        <v>45853</v>
      </c>
      <c r="H136" s="41">
        <f>_xlfn.MAXIFS(DADOS!$I:$I,DADOS!$B:$B,B136)</f>
        <v>46244</v>
      </c>
      <c r="I136" s="42">
        <f ca="1">CONFIG!$E$1-CLIENTES!H136</f>
        <v>10</v>
      </c>
      <c r="J136" s="57" t="s">
        <v>395</v>
      </c>
      <c r="K136" s="58"/>
    </row>
    <row r="137" spans="1:11">
      <c r="A137" s="55">
        <v>1147</v>
      </c>
      <c r="B137" s="56" t="s">
        <v>655</v>
      </c>
      <c r="C137" s="56"/>
      <c r="D137" s="56"/>
      <c r="E137" s="56"/>
      <c r="F137" s="57" t="s">
        <v>385</v>
      </c>
      <c r="G137" s="41">
        <f>_xlfn.MINIFS(DADOS!$I:$I,DADOS!$B:$B,B137)</f>
        <v>45377</v>
      </c>
      <c r="H137" s="41">
        <f>_xlfn.MAXIFS(DADOS!$I:$I,DADOS!$B:$B,B137)</f>
        <v>45919</v>
      </c>
      <c r="I137" s="42">
        <f ca="1">CONFIG!$E$1-CLIENTES!H137</f>
        <v>335</v>
      </c>
      <c r="J137" s="57" t="s">
        <v>395</v>
      </c>
      <c r="K137" s="58"/>
    </row>
    <row r="138" spans="1:11">
      <c r="A138" s="55">
        <v>434</v>
      </c>
      <c r="B138" s="56" t="s">
        <v>749</v>
      </c>
      <c r="C138" s="56"/>
      <c r="D138" s="56"/>
      <c r="E138" s="56"/>
      <c r="F138" s="57" t="s">
        <v>385</v>
      </c>
      <c r="G138" s="41">
        <f>_xlfn.MINIFS(DADOS!$I:$I,DADOS!$B:$B,B138)</f>
        <v>45863</v>
      </c>
      <c r="H138" s="41">
        <f>_xlfn.MAXIFS(DADOS!$I:$I,DADOS!$B:$B,B138)</f>
        <v>46240</v>
      </c>
      <c r="I138" s="42">
        <f ca="1">CONFIG!$E$1-CLIENTES!H138</f>
        <v>14</v>
      </c>
      <c r="J138" s="57" t="s">
        <v>395</v>
      </c>
      <c r="K138" s="58"/>
    </row>
    <row r="139" spans="1:11">
      <c r="A139" s="55">
        <v>52</v>
      </c>
      <c r="B139" s="56" t="s">
        <v>821</v>
      </c>
      <c r="C139" s="56"/>
      <c r="D139" s="56"/>
      <c r="E139" s="56"/>
      <c r="F139" s="57" t="s">
        <v>385</v>
      </c>
      <c r="G139" s="41">
        <f>_xlfn.MINIFS(DADOS!$I:$I,DADOS!$B:$B,B139)</f>
        <v>45875</v>
      </c>
      <c r="H139" s="41">
        <f>_xlfn.MAXIFS(DADOS!$I:$I,DADOS!$B:$B,B139)</f>
        <v>45978</v>
      </c>
      <c r="I139" s="42">
        <f ca="1">CONFIG!$E$1-CLIENTES!H139</f>
        <v>276</v>
      </c>
      <c r="J139" s="57" t="s">
        <v>395</v>
      </c>
      <c r="K139" s="58"/>
    </row>
    <row r="140" spans="1:11">
      <c r="A140" s="71" t="s">
        <v>718</v>
      </c>
      <c r="B140" s="56" t="s">
        <v>719</v>
      </c>
      <c r="C140" s="72" t="s">
        <v>720</v>
      </c>
      <c r="D140" s="56"/>
      <c r="E140" s="56" t="s">
        <v>721</v>
      </c>
      <c r="F140" s="57" t="s">
        <v>385</v>
      </c>
      <c r="G140" s="41">
        <f>_xlfn.MINIFS(DADOS!$I:$I,DADOS!$B:$B,B140)</f>
        <v>45903</v>
      </c>
      <c r="H140" s="41">
        <f>_xlfn.MAXIFS(DADOS!$I:$I,DADOS!$B:$B,B140)</f>
        <v>45903</v>
      </c>
      <c r="I140" s="42">
        <f ca="1">CONFIG!$E$1-CLIENTES!H140</f>
        <v>351</v>
      </c>
      <c r="J140" s="57" t="s">
        <v>395</v>
      </c>
      <c r="K140" s="58"/>
    </row>
    <row r="141" spans="1:11">
      <c r="A141" s="55">
        <v>500726</v>
      </c>
      <c r="B141" s="56" t="s">
        <v>725</v>
      </c>
      <c r="C141" s="56" t="s">
        <v>727</v>
      </c>
      <c r="D141" s="56"/>
      <c r="E141" s="56" t="s">
        <v>726</v>
      </c>
      <c r="F141" s="57" t="s">
        <v>385</v>
      </c>
      <c r="G141" s="41">
        <f>_xlfn.MINIFS(DADOS!$I:$I,DADOS!$B:$B,B141)</f>
        <v>45904</v>
      </c>
      <c r="H141" s="41">
        <f>_xlfn.MAXIFS(DADOS!$I:$I,DADOS!$B:$B,B141)</f>
        <v>45904</v>
      </c>
      <c r="I141" s="42">
        <f ca="1">CONFIG!$E$1-CLIENTES!H141</f>
        <v>350</v>
      </c>
      <c r="J141" s="57" t="s">
        <v>395</v>
      </c>
      <c r="K141" s="58"/>
    </row>
    <row r="142" spans="1:11">
      <c r="A142" s="55">
        <v>500752</v>
      </c>
      <c r="B142" s="56" t="s">
        <v>284</v>
      </c>
      <c r="C142" s="56"/>
      <c r="D142" s="56"/>
      <c r="E142" s="56" t="s">
        <v>731</v>
      </c>
      <c r="F142" s="57" t="s">
        <v>385</v>
      </c>
      <c r="G142" s="41">
        <f>_xlfn.MINIFS(DADOS!$I:$I,DADOS!$B:$B,B142)</f>
        <v>45362</v>
      </c>
      <c r="H142" s="41">
        <f>_xlfn.MAXIFS(DADOS!$I:$I,DADOS!$B:$B,B142)</f>
        <v>46232</v>
      </c>
      <c r="I142" s="42">
        <f ca="1">CONFIG!$E$1-CLIENTES!H142</f>
        <v>22</v>
      </c>
      <c r="J142" s="57" t="s">
        <v>395</v>
      </c>
      <c r="K142" s="58"/>
    </row>
    <row r="143" spans="1:11">
      <c r="A143" s="55">
        <v>2763</v>
      </c>
      <c r="B143" s="56" t="s">
        <v>655</v>
      </c>
      <c r="C143" s="56"/>
      <c r="D143" s="56"/>
      <c r="E143" s="56" t="s">
        <v>737</v>
      </c>
      <c r="F143" s="57" t="s">
        <v>385</v>
      </c>
      <c r="G143" s="41">
        <f>_xlfn.MINIFS(DADOS!$I:$I,DADOS!$B:$B,B143)</f>
        <v>45377</v>
      </c>
      <c r="H143" s="41">
        <f>_xlfn.MAXIFS(DADOS!$I:$I,DADOS!$B:$B,B143)</f>
        <v>45919</v>
      </c>
      <c r="I143" s="42">
        <f ca="1">CONFIG!$E$1-CLIENTES!H143</f>
        <v>335</v>
      </c>
      <c r="J143" s="57" t="s">
        <v>395</v>
      </c>
      <c r="K143" s="58"/>
    </row>
    <row r="144" spans="1:11">
      <c r="A144" s="55">
        <v>51061</v>
      </c>
      <c r="B144" s="56" t="s">
        <v>742</v>
      </c>
      <c r="C144" s="56"/>
      <c r="D144" s="56"/>
      <c r="E144" s="56" t="s">
        <v>743</v>
      </c>
      <c r="F144" s="57" t="s">
        <v>385</v>
      </c>
      <c r="G144" s="41">
        <f>_xlfn.MINIFS(DADOS!$I:$I,DADOS!$B:$B,B144)</f>
        <v>45924</v>
      </c>
      <c r="H144" s="41">
        <f>_xlfn.MAXIFS(DADOS!$I:$I,DADOS!$B:$B,B144)</f>
        <v>46223</v>
      </c>
      <c r="I144" s="42">
        <f ca="1">CONFIG!$E$1-CLIENTES!H144</f>
        <v>31</v>
      </c>
      <c r="J144" s="57" t="s">
        <v>395</v>
      </c>
      <c r="K144" s="58"/>
    </row>
    <row r="145" spans="1:11">
      <c r="A145" s="55">
        <v>3557</v>
      </c>
      <c r="B145" s="56" t="s">
        <v>745</v>
      </c>
      <c r="C145" s="56"/>
      <c r="D145" s="56"/>
      <c r="E145" s="56" t="s">
        <v>746</v>
      </c>
      <c r="F145" s="57" t="s">
        <v>385</v>
      </c>
      <c r="G145" s="41">
        <f>_xlfn.MINIFS(DADOS!$I:$I,DADOS!$B:$B,B145)</f>
        <v>45924</v>
      </c>
      <c r="H145" s="41">
        <f>_xlfn.MAXIFS(DADOS!$I:$I,DADOS!$B:$B,B145)</f>
        <v>46245</v>
      </c>
      <c r="I145" s="42">
        <f ca="1">CONFIG!$E$1-CLIENTES!H145</f>
        <v>9</v>
      </c>
      <c r="J145" s="57" t="s">
        <v>395</v>
      </c>
      <c r="K145" s="58"/>
    </row>
    <row r="146" spans="1:11">
      <c r="A146" s="55">
        <v>50769</v>
      </c>
      <c r="B146" s="56" t="s">
        <v>750</v>
      </c>
      <c r="C146" s="56"/>
      <c r="D146" s="56"/>
      <c r="E146" s="56" t="s">
        <v>751</v>
      </c>
      <c r="F146" s="57" t="s">
        <v>390</v>
      </c>
      <c r="G146" s="41">
        <f>_xlfn.MINIFS(DADOS!$I:$I,DADOS!$B:$B,B146)</f>
        <v>45925</v>
      </c>
      <c r="H146" s="41">
        <f>_xlfn.MAXIFS(DADOS!$I:$I,DADOS!$B:$B,B146)</f>
        <v>45925</v>
      </c>
      <c r="I146" s="42">
        <f ca="1">CONFIG!$E$1-CLIENTES!H146</f>
        <v>329</v>
      </c>
      <c r="J146" s="57" t="s">
        <v>395</v>
      </c>
      <c r="K146" s="58"/>
    </row>
    <row r="147" spans="1:11">
      <c r="A147" s="55">
        <v>500772</v>
      </c>
      <c r="B147" s="56" t="s">
        <v>756</v>
      </c>
      <c r="C147" s="56"/>
      <c r="D147" s="56"/>
      <c r="E147" s="56" t="s">
        <v>757</v>
      </c>
      <c r="F147" s="57" t="s">
        <v>385</v>
      </c>
      <c r="G147" s="41">
        <f>_xlfn.MINIFS(DADOS!$I:$I,DADOS!$B:$B,B147)</f>
        <v>45930</v>
      </c>
      <c r="H147" s="41">
        <f>_xlfn.MAXIFS(DADOS!$I:$I,DADOS!$B:$B,B147)</f>
        <v>45944</v>
      </c>
      <c r="I147" s="42">
        <f ca="1">CONFIG!$E$1-CLIENTES!H147</f>
        <v>310</v>
      </c>
      <c r="J147" s="57" t="s">
        <v>395</v>
      </c>
      <c r="K147" s="58"/>
    </row>
    <row r="148" spans="1:11">
      <c r="A148" s="55">
        <v>50861</v>
      </c>
      <c r="B148" s="56" t="s">
        <v>760</v>
      </c>
      <c r="C148" s="56"/>
      <c r="D148" s="56"/>
      <c r="E148" s="56" t="s">
        <v>761</v>
      </c>
      <c r="F148" s="57" t="s">
        <v>385</v>
      </c>
      <c r="G148" s="41">
        <f>_xlfn.MINIFS(DADOS!$I:$I,DADOS!$B:$B,B148)</f>
        <v>45852</v>
      </c>
      <c r="H148" s="41">
        <f>_xlfn.MAXIFS(DADOS!$I:$I,DADOS!$B:$B,B148)</f>
        <v>46205</v>
      </c>
      <c r="I148" s="42">
        <f ca="1">CONFIG!$E$1-CLIENTES!H148</f>
        <v>49</v>
      </c>
      <c r="J148" s="57" t="s">
        <v>395</v>
      </c>
      <c r="K148" s="58"/>
    </row>
    <row r="149" spans="1:11">
      <c r="A149" s="55">
        <v>408</v>
      </c>
      <c r="B149" s="56" t="s">
        <v>770</v>
      </c>
      <c r="C149" s="56"/>
      <c r="D149" s="56"/>
      <c r="E149" s="56" t="s">
        <v>145</v>
      </c>
      <c r="F149" s="57" t="s">
        <v>385</v>
      </c>
      <c r="G149" s="41">
        <f>_xlfn.MINIFS(DADOS!$I:$I,DADOS!$B:$B,B149)</f>
        <v>45938</v>
      </c>
      <c r="H149" s="41">
        <f>_xlfn.MAXIFS(DADOS!$I:$I,DADOS!$B:$B,B149)</f>
        <v>46240</v>
      </c>
      <c r="I149" s="42">
        <f ca="1">CONFIG!$E$1-CLIENTES!H149</f>
        <v>14</v>
      </c>
      <c r="J149" s="57" t="s">
        <v>395</v>
      </c>
      <c r="K149" s="58"/>
    </row>
    <row r="150" spans="1:11">
      <c r="A150" s="55">
        <v>500829</v>
      </c>
      <c r="B150" s="56" t="s">
        <v>789</v>
      </c>
      <c r="C150" s="56"/>
      <c r="D150" s="56"/>
      <c r="E150" s="56" t="s">
        <v>790</v>
      </c>
      <c r="F150" s="57" t="s">
        <v>385</v>
      </c>
      <c r="G150" s="41">
        <f>_xlfn.MINIFS(DADOS!$I:$I,DADOS!$B:$B,B150)</f>
        <v>45952</v>
      </c>
      <c r="H150" s="41">
        <f>_xlfn.MAXIFS(DADOS!$I:$I,DADOS!$B:$B,B150)</f>
        <v>45966</v>
      </c>
      <c r="I150" s="42">
        <f ca="1">CONFIG!$E$1-CLIENTES!H150</f>
        <v>288</v>
      </c>
      <c r="J150" s="57" t="s">
        <v>395</v>
      </c>
      <c r="K150" s="58"/>
    </row>
    <row r="151" spans="1:11">
      <c r="A151" s="55">
        <v>2093</v>
      </c>
      <c r="B151" s="56" t="s">
        <v>802</v>
      </c>
      <c r="C151" s="56"/>
      <c r="D151" s="56"/>
      <c r="E151" s="56" t="s">
        <v>803</v>
      </c>
      <c r="F151" s="57" t="s">
        <v>385</v>
      </c>
      <c r="G151" s="41">
        <f>_xlfn.MINIFS(DADOS!$I:$I,DADOS!$B:$B,B151)</f>
        <v>45960</v>
      </c>
      <c r="H151" s="41">
        <f>_xlfn.MAXIFS(DADOS!$I:$I,DADOS!$B:$B,B151)</f>
        <v>45960</v>
      </c>
      <c r="I151" s="42">
        <f ca="1">CONFIG!$E$1-CLIENTES!H151</f>
        <v>294</v>
      </c>
      <c r="J151" s="57" t="s">
        <v>395</v>
      </c>
      <c r="K151" s="58"/>
    </row>
    <row r="152" spans="1:11">
      <c r="A152" s="55">
        <v>500873</v>
      </c>
      <c r="B152" s="56" t="s">
        <v>822</v>
      </c>
      <c r="C152" s="56"/>
      <c r="D152" s="56"/>
      <c r="E152" s="56" t="s">
        <v>823</v>
      </c>
      <c r="F152" s="57" t="s">
        <v>384</v>
      </c>
      <c r="G152" s="41">
        <f>_xlfn.MINIFS(DADOS!$I:$I,DADOS!$B:$B,B152)</f>
        <v>45979</v>
      </c>
      <c r="H152" s="41">
        <f>_xlfn.MAXIFS(DADOS!$I:$I,DADOS!$B:$B,B152)</f>
        <v>46244</v>
      </c>
      <c r="I152" s="42">
        <f ca="1">CONFIG!$E$1-CLIENTES!H152</f>
        <v>10</v>
      </c>
      <c r="J152" s="57" t="s">
        <v>395</v>
      </c>
      <c r="K152" s="58"/>
    </row>
    <row r="153" spans="1:11">
      <c r="A153" s="55">
        <v>51182</v>
      </c>
      <c r="B153" s="56" t="s">
        <v>858</v>
      </c>
      <c r="C153" s="56"/>
      <c r="D153" s="56"/>
      <c r="E153" s="56" t="s">
        <v>86</v>
      </c>
      <c r="F153" s="57" t="s">
        <v>385</v>
      </c>
      <c r="G153" s="41">
        <f>_xlfn.MINIFS(DADOS!$I:$I,DADOS!$B:$B,B153)</f>
        <v>46003</v>
      </c>
      <c r="H153" s="41">
        <f>_xlfn.MAXIFS(DADOS!$I:$I,DADOS!$B:$B,B153)</f>
        <v>46240</v>
      </c>
      <c r="I153" s="42">
        <f ca="1">CONFIG!$E$1-CLIENTES!H153</f>
        <v>14</v>
      </c>
      <c r="J153" s="57" t="s">
        <v>395</v>
      </c>
      <c r="K153" s="58"/>
    </row>
    <row r="154" spans="1:11">
      <c r="A154" s="55">
        <v>500345</v>
      </c>
      <c r="B154" s="56" t="s">
        <v>859</v>
      </c>
      <c r="C154" s="56"/>
      <c r="D154" s="56"/>
      <c r="E154" s="56"/>
      <c r="F154" s="57" t="s">
        <v>385</v>
      </c>
      <c r="G154" s="41">
        <f>_xlfn.MINIFS(DADOS!$I:$I,DADOS!$B:$B,B154)</f>
        <v>46003</v>
      </c>
      <c r="H154" s="41">
        <f>_xlfn.MAXIFS(DADOS!$I:$I,DADOS!$B:$B,B154)</f>
        <v>46003</v>
      </c>
      <c r="I154" s="42">
        <f ca="1">CONFIG!$E$1-CLIENTES!H154</f>
        <v>251</v>
      </c>
      <c r="J154" s="57" t="s">
        <v>395</v>
      </c>
      <c r="K154" s="58"/>
    </row>
    <row r="155" spans="1:11">
      <c r="A155" s="55">
        <v>500507</v>
      </c>
      <c r="B155" s="56" t="s">
        <v>889</v>
      </c>
      <c r="C155" s="56"/>
      <c r="D155" s="56"/>
      <c r="E155" s="56" t="s">
        <v>890</v>
      </c>
      <c r="F155" s="57" t="s">
        <v>385</v>
      </c>
      <c r="G155" s="41">
        <f>_xlfn.MINIFS(DADOS!$I:$I,DADOS!$B:$B,B155)</f>
        <v>46052</v>
      </c>
      <c r="H155" s="41">
        <f>_xlfn.MAXIFS(DADOS!$I:$I,DADOS!$B:$B,B155)</f>
        <v>46244</v>
      </c>
      <c r="I155" s="42">
        <f ca="1">CONFIG!$E$1-CLIENTES!H155</f>
        <v>10</v>
      </c>
      <c r="J155" s="57" t="s">
        <v>395</v>
      </c>
      <c r="K155" s="58"/>
    </row>
    <row r="156" spans="1:11">
      <c r="A156" s="55">
        <v>500949</v>
      </c>
      <c r="B156" s="56" t="s">
        <v>892</v>
      </c>
      <c r="C156" s="56"/>
      <c r="D156" s="56"/>
      <c r="E156" s="56" t="s">
        <v>746</v>
      </c>
      <c r="F156" s="57" t="s">
        <v>385</v>
      </c>
      <c r="G156" s="41">
        <f>_xlfn.MINIFS(DADOS!$I:$I,DADOS!$B:$B,B156)</f>
        <v>46037</v>
      </c>
      <c r="H156" s="41">
        <f>_xlfn.MAXIFS(DADOS!$I:$I,DADOS!$B:$B,B156)</f>
        <v>46051</v>
      </c>
      <c r="I156" s="42">
        <f ca="1">CONFIG!$E$1-CLIENTES!H156</f>
        <v>203</v>
      </c>
      <c r="J156" s="57" t="s">
        <v>395</v>
      </c>
      <c r="K156" s="58"/>
    </row>
    <row r="157" spans="1:11">
      <c r="A157" s="55">
        <v>500854</v>
      </c>
      <c r="B157" s="56" t="s">
        <v>901</v>
      </c>
      <c r="C157" s="56"/>
      <c r="D157" s="56"/>
      <c r="E157" s="56" t="s">
        <v>902</v>
      </c>
      <c r="F157" s="57" t="s">
        <v>385</v>
      </c>
      <c r="G157" s="41">
        <f>_xlfn.MINIFS(DADOS!$I:$I,DADOS!$B:$B,B157)</f>
        <v>46048</v>
      </c>
      <c r="H157" s="41">
        <f>_xlfn.MAXIFS(DADOS!$I:$I,DADOS!$B:$B,B157)</f>
        <v>46092</v>
      </c>
      <c r="I157" s="42">
        <f ca="1">CONFIG!$E$1-CLIENTES!H157</f>
        <v>162</v>
      </c>
      <c r="J157" s="57" t="s">
        <v>395</v>
      </c>
      <c r="K157" s="58"/>
    </row>
    <row r="158" spans="1:11">
      <c r="A158" s="55">
        <v>20</v>
      </c>
      <c r="B158" s="56" t="s">
        <v>904</v>
      </c>
      <c r="C158" s="56"/>
      <c r="D158" s="56"/>
      <c r="E158" s="56"/>
      <c r="F158" s="57" t="s">
        <v>385</v>
      </c>
      <c r="G158" s="41">
        <f>_xlfn.MINIFS(DADOS!$I:$I,DADOS!$B:$B,B158)</f>
        <v>45540</v>
      </c>
      <c r="H158" s="41">
        <f>_xlfn.MAXIFS(DADOS!$I:$I,DADOS!$B:$B,B158)</f>
        <v>46049</v>
      </c>
      <c r="I158" s="42">
        <f ca="1">CONFIG!$E$1-CLIENTES!H158</f>
        <v>205</v>
      </c>
      <c r="J158" s="57" t="s">
        <v>395</v>
      </c>
      <c r="K158" s="58"/>
    </row>
    <row r="159" spans="1:11">
      <c r="A159" s="55">
        <v>500969</v>
      </c>
      <c r="B159" s="56" t="s">
        <v>917</v>
      </c>
      <c r="C159" s="56"/>
      <c r="D159" s="56"/>
      <c r="E159" s="56" t="s">
        <v>746</v>
      </c>
      <c r="F159" s="57" t="s">
        <v>385</v>
      </c>
      <c r="G159" s="41">
        <f>_xlfn.MINIFS(DADOS!$I:$I,DADOS!$B:$B,B159)</f>
        <v>46057</v>
      </c>
      <c r="H159" s="41">
        <f>_xlfn.MAXIFS(DADOS!$I:$I,DADOS!$B:$B,B159)</f>
        <v>46246</v>
      </c>
      <c r="I159" s="42">
        <f ca="1">CONFIG!$E$1-CLIENTES!H159</f>
        <v>8</v>
      </c>
      <c r="J159" s="57" t="s">
        <v>395</v>
      </c>
      <c r="K159" s="58"/>
    </row>
    <row r="160" spans="1:11">
      <c r="A160" s="55">
        <v>500978</v>
      </c>
      <c r="B160" s="56" t="s">
        <v>931</v>
      </c>
      <c r="C160" s="56"/>
      <c r="D160" s="56"/>
      <c r="E160" s="56" t="s">
        <v>746</v>
      </c>
      <c r="F160" s="57" t="s">
        <v>386</v>
      </c>
      <c r="G160" s="41">
        <f>_xlfn.MINIFS(DADOS!$I:$I,DADOS!$B:$B,B160)</f>
        <v>46083</v>
      </c>
      <c r="H160" s="41">
        <f>_xlfn.MAXIFS(DADOS!$I:$I,DADOS!$B:$B,B160)</f>
        <v>46083</v>
      </c>
      <c r="I160" s="42">
        <f ca="1">CONFIG!$E$1-CLIENTES!H160</f>
        <v>171</v>
      </c>
      <c r="J160" s="57" t="s">
        <v>395</v>
      </c>
      <c r="K160" s="58"/>
    </row>
    <row r="161" spans="1:11">
      <c r="A161" s="55">
        <v>500982</v>
      </c>
      <c r="B161" s="56" t="s">
        <v>940</v>
      </c>
      <c r="C161" s="56"/>
      <c r="D161" s="56"/>
      <c r="E161" s="56" t="s">
        <v>731</v>
      </c>
      <c r="F161" s="57" t="s">
        <v>385</v>
      </c>
      <c r="G161" s="41">
        <f>_xlfn.MINIFS(DADOS!$I:$I,DADOS!$B:$B,B161)</f>
        <v>46073</v>
      </c>
      <c r="H161" s="41">
        <f>_xlfn.MAXIFS(DADOS!$I:$I,DADOS!$B:$B,B161)</f>
        <v>46219</v>
      </c>
      <c r="I161" s="42">
        <f ca="1">CONFIG!$E$1-CLIENTES!H161</f>
        <v>35</v>
      </c>
      <c r="J161" s="57" t="s">
        <v>395</v>
      </c>
      <c r="K161" s="58"/>
    </row>
    <row r="162" spans="1:11">
      <c r="A162" s="55">
        <v>1234</v>
      </c>
      <c r="B162" s="56" t="s">
        <v>946</v>
      </c>
      <c r="C162" s="56"/>
      <c r="D162" s="56"/>
      <c r="E162" s="56" t="s">
        <v>947</v>
      </c>
      <c r="F162" s="57" t="s">
        <v>385</v>
      </c>
      <c r="G162" s="41">
        <f>_xlfn.MINIFS(DADOS!$I:$I,DADOS!$B:$B,B162)</f>
        <v>46079</v>
      </c>
      <c r="H162" s="41">
        <f>_xlfn.MAXIFS(DADOS!$I:$I,DADOS!$B:$B,B162)</f>
        <v>46232</v>
      </c>
      <c r="I162" s="42">
        <f ca="1">CONFIG!$E$1-CLIENTES!H162</f>
        <v>22</v>
      </c>
      <c r="J162" s="57" t="s">
        <v>395</v>
      </c>
      <c r="K162" s="58"/>
    </row>
    <row r="163" spans="1:11">
      <c r="A163" s="55">
        <v>501033</v>
      </c>
      <c r="B163" s="56" t="s">
        <v>999</v>
      </c>
      <c r="C163" s="56"/>
      <c r="D163" s="56"/>
      <c r="E163" s="56"/>
      <c r="F163" s="57" t="s">
        <v>385</v>
      </c>
      <c r="G163" s="41">
        <f>_xlfn.MINIFS(DADOS!$I:$I,DADOS!$B:$B,B163)</f>
        <v>46121</v>
      </c>
      <c r="H163" s="41">
        <f>_xlfn.MAXIFS(DADOS!$I:$I,DADOS!$B:$B,B163)</f>
        <v>46244</v>
      </c>
      <c r="I163" s="42">
        <f ca="1">CONFIG!$E$1-CLIENTES!H163</f>
        <v>10</v>
      </c>
      <c r="J163" s="57" t="s">
        <v>395</v>
      </c>
      <c r="K163" s="58"/>
    </row>
    <row r="164" spans="1:11">
      <c r="A164" s="55">
        <v>501028</v>
      </c>
      <c r="B164" s="56" t="s">
        <v>1000</v>
      </c>
      <c r="C164" s="56"/>
      <c r="D164" s="56"/>
      <c r="E164" s="56"/>
      <c r="F164" s="57" t="s">
        <v>385</v>
      </c>
      <c r="G164" s="41">
        <f>_xlfn.MINIFS(DADOS!$I:$I,DADOS!$B:$B,B164)</f>
        <v>46122</v>
      </c>
      <c r="H164" s="41">
        <f>_xlfn.MAXIFS(DADOS!$I:$I,DADOS!$B:$B,B164)</f>
        <v>46135</v>
      </c>
      <c r="I164" s="42">
        <f ca="1">CONFIG!$E$1-CLIENTES!H164</f>
        <v>119</v>
      </c>
      <c r="J164" s="57" t="s">
        <v>395</v>
      </c>
      <c r="K164" s="58"/>
    </row>
    <row r="165" spans="1:11">
      <c r="A165" s="55">
        <v>500337</v>
      </c>
      <c r="B165" s="56" t="s">
        <v>1003</v>
      </c>
      <c r="C165" s="56"/>
      <c r="D165" s="56"/>
      <c r="E165" s="56"/>
      <c r="F165" s="57" t="s">
        <v>385</v>
      </c>
      <c r="G165" s="41">
        <f>_xlfn.MINIFS(DADOS!$I:$I,DADOS!$B:$B,B165)</f>
        <v>46126</v>
      </c>
      <c r="H165" s="41">
        <f>_xlfn.MAXIFS(DADOS!$I:$I,DADOS!$B:$B,B165)</f>
        <v>46135</v>
      </c>
      <c r="I165" s="42">
        <f ca="1">CONFIG!$E$1-CLIENTES!H165</f>
        <v>119</v>
      </c>
      <c r="J165" s="57" t="s">
        <v>395</v>
      </c>
      <c r="K165" s="58"/>
    </row>
    <row r="166" spans="1:11">
      <c r="A166" s="55">
        <v>501042</v>
      </c>
      <c r="B166" s="56" t="s">
        <v>1000</v>
      </c>
      <c r="C166" s="56"/>
      <c r="D166" s="56"/>
      <c r="E166" s="56"/>
      <c r="F166" s="57" t="s">
        <v>385</v>
      </c>
      <c r="G166" s="41">
        <f>_xlfn.MINIFS(DADOS!$I:$I,DADOS!$B:$B,B166)</f>
        <v>46122</v>
      </c>
      <c r="H166" s="41">
        <f>_xlfn.MAXIFS(DADOS!$I:$I,DADOS!$B:$B,B166)</f>
        <v>46135</v>
      </c>
      <c r="I166" s="42">
        <f ca="1">CONFIG!$E$1-CLIENTES!H166</f>
        <v>119</v>
      </c>
      <c r="J166" s="57" t="s">
        <v>395</v>
      </c>
      <c r="K166" s="58"/>
    </row>
    <row r="167" spans="1:11">
      <c r="A167" s="55">
        <v>501043</v>
      </c>
      <c r="B167" s="56" t="s">
        <v>1000</v>
      </c>
      <c r="C167" s="56"/>
      <c r="D167" s="56"/>
      <c r="E167" s="56"/>
      <c r="F167" s="57" t="s">
        <v>385</v>
      </c>
      <c r="G167" s="41">
        <f>_xlfn.MINIFS(DADOS!$I:$I,DADOS!$B:$B,B167)</f>
        <v>46122</v>
      </c>
      <c r="H167" s="41">
        <f>_xlfn.MAXIFS(DADOS!$I:$I,DADOS!$B:$B,B167)</f>
        <v>46135</v>
      </c>
      <c r="I167" s="42">
        <f ca="1">CONFIG!$E$1-CLIENTES!H167</f>
        <v>119</v>
      </c>
      <c r="J167" s="57" t="s">
        <v>395</v>
      </c>
      <c r="K167" s="58"/>
    </row>
    <row r="168" spans="1:11">
      <c r="A168" s="55">
        <v>501054</v>
      </c>
      <c r="B168" s="56" t="s">
        <v>999</v>
      </c>
      <c r="C168" s="56"/>
      <c r="D168" s="56"/>
      <c r="E168" s="56"/>
      <c r="F168" s="57" t="s">
        <v>385</v>
      </c>
      <c r="G168" s="41">
        <f>_xlfn.MINIFS(DADOS!$I:$I,DADOS!$B:$B,B168)</f>
        <v>46121</v>
      </c>
      <c r="H168" s="41">
        <f>_xlfn.MAXIFS(DADOS!$I:$I,DADOS!$B:$B,B168)</f>
        <v>46244</v>
      </c>
      <c r="I168" s="42">
        <f ca="1">CONFIG!$E$1-CLIENTES!H168</f>
        <v>10</v>
      </c>
      <c r="J168" s="57" t="s">
        <v>395</v>
      </c>
      <c r="K168" s="58"/>
    </row>
    <row r="169" spans="1:11">
      <c r="A169" s="55">
        <v>51124</v>
      </c>
      <c r="B169" s="56" t="s">
        <v>1011</v>
      </c>
      <c r="C169" s="56"/>
      <c r="D169" s="56"/>
      <c r="E169" s="56"/>
      <c r="F169" s="57" t="s">
        <v>385</v>
      </c>
      <c r="G169" s="41">
        <f>_xlfn.MINIFS(DADOS!$I:$I,DADOS!$B:$B,B169)</f>
        <v>46132</v>
      </c>
      <c r="H169" s="41">
        <f>_xlfn.MAXIFS(DADOS!$I:$I,DADOS!$B:$B,B169)</f>
        <v>46132</v>
      </c>
      <c r="I169" s="42">
        <f ca="1">CONFIG!$E$1-CLIENTES!H169</f>
        <v>122</v>
      </c>
      <c r="J169" s="57" t="s">
        <v>395</v>
      </c>
      <c r="K169" s="58"/>
    </row>
    <row r="170" spans="1:11">
      <c r="A170" s="55">
        <v>501020</v>
      </c>
      <c r="B170" s="56" t="s">
        <v>747</v>
      </c>
      <c r="C170" s="56"/>
      <c r="D170" s="56"/>
      <c r="E170" s="56"/>
      <c r="F170" s="57" t="s">
        <v>385</v>
      </c>
      <c r="G170" s="41">
        <f>_xlfn.MINIFS(DADOS!$I:$I,DADOS!$B:$B,B170)</f>
        <v>45853</v>
      </c>
      <c r="H170" s="41">
        <f>_xlfn.MAXIFS(DADOS!$I:$I,DADOS!$B:$B,B170)</f>
        <v>46244</v>
      </c>
      <c r="I170" s="42">
        <f ca="1">CONFIG!$E$1-CLIENTES!H170</f>
        <v>10</v>
      </c>
      <c r="J170" s="57" t="s">
        <v>395</v>
      </c>
      <c r="K170" s="58"/>
    </row>
    <row r="171" spans="1:11">
      <c r="A171" s="55">
        <v>501035</v>
      </c>
      <c r="B171" s="56" t="s">
        <v>999</v>
      </c>
      <c r="C171" s="56"/>
      <c r="D171" s="56"/>
      <c r="E171" s="56"/>
      <c r="F171" s="57" t="s">
        <v>385</v>
      </c>
      <c r="G171" s="41">
        <f>_xlfn.MINIFS(DADOS!$I:$I,DADOS!$B:$B,B171)</f>
        <v>46121</v>
      </c>
      <c r="H171" s="41">
        <f>_xlfn.MAXIFS(DADOS!$I:$I,DADOS!$B:$B,B171)</f>
        <v>46244</v>
      </c>
      <c r="I171" s="42">
        <f ca="1">CONFIG!$E$1-CLIENTES!H171</f>
        <v>10</v>
      </c>
      <c r="J171" s="57" t="s">
        <v>395</v>
      </c>
      <c r="K171" s="58"/>
    </row>
    <row r="172" spans="1:11">
      <c r="A172" s="55">
        <v>501070</v>
      </c>
      <c r="B172" s="56" t="s">
        <v>999</v>
      </c>
      <c r="C172" s="56"/>
      <c r="D172" s="56"/>
      <c r="E172" s="56"/>
      <c r="F172" s="57" t="s">
        <v>385</v>
      </c>
      <c r="G172" s="41">
        <f>_xlfn.MINIFS(DADOS!$I:$I,DADOS!$B:$B,B172)</f>
        <v>46121</v>
      </c>
      <c r="H172" s="41">
        <f>_xlfn.MAXIFS(DADOS!$I:$I,DADOS!$B:$B,B172)</f>
        <v>46244</v>
      </c>
      <c r="I172" s="42">
        <f ca="1">CONFIG!$E$1-CLIENTES!H172</f>
        <v>10</v>
      </c>
      <c r="J172" s="57" t="s">
        <v>395</v>
      </c>
      <c r="K172" s="58"/>
    </row>
    <row r="173" spans="1:11">
      <c r="A173" s="55">
        <v>501078</v>
      </c>
      <c r="B173" s="56" t="s">
        <v>999</v>
      </c>
      <c r="C173" s="56"/>
      <c r="D173" s="56"/>
      <c r="E173" s="56"/>
      <c r="F173" s="57" t="s">
        <v>385</v>
      </c>
      <c r="G173" s="41">
        <f>_xlfn.MINIFS(DADOS!$I:$I,DADOS!$B:$B,B173)</f>
        <v>46121</v>
      </c>
      <c r="H173" s="41">
        <f>_xlfn.MAXIFS(DADOS!$I:$I,DADOS!$B:$B,B173)</f>
        <v>46244</v>
      </c>
      <c r="I173" s="42">
        <f ca="1">CONFIG!$E$1-CLIENTES!H173</f>
        <v>10</v>
      </c>
      <c r="J173" s="57" t="s">
        <v>395</v>
      </c>
      <c r="K173" s="58"/>
    </row>
    <row r="174" spans="1:11">
      <c r="A174" s="55">
        <v>501079</v>
      </c>
      <c r="B174" s="56" t="s">
        <v>999</v>
      </c>
      <c r="C174" s="56"/>
      <c r="D174" s="56"/>
      <c r="E174" s="56"/>
      <c r="F174" s="57" t="s">
        <v>385</v>
      </c>
      <c r="G174" s="41">
        <f>_xlfn.MINIFS(DADOS!$I:$I,DADOS!$B:$B,B174)</f>
        <v>46121</v>
      </c>
      <c r="H174" s="41">
        <f>_xlfn.MAXIFS(DADOS!$I:$I,DADOS!$B:$B,B174)</f>
        <v>46244</v>
      </c>
      <c r="I174" s="42">
        <f ca="1">CONFIG!$E$1-CLIENTES!H174</f>
        <v>10</v>
      </c>
      <c r="J174" s="57" t="s">
        <v>395</v>
      </c>
      <c r="K174" s="58"/>
    </row>
    <row r="175" spans="1:11">
      <c r="A175" s="55">
        <v>2006</v>
      </c>
      <c r="B175" s="56" t="s">
        <v>1037</v>
      </c>
      <c r="C175" s="56"/>
      <c r="D175" s="56"/>
      <c r="E175" s="56"/>
      <c r="F175" s="57" t="s">
        <v>385</v>
      </c>
      <c r="G175" s="41">
        <f>_xlfn.MINIFS(DADOS!$I:$I,DADOS!$B:$B,B175)</f>
        <v>46153</v>
      </c>
      <c r="H175" s="41">
        <f>_xlfn.MAXIFS(DADOS!$I:$I,DADOS!$B:$B,B175)</f>
        <v>46153</v>
      </c>
      <c r="I175" s="42">
        <f ca="1">CONFIG!$E$1-CLIENTES!H175</f>
        <v>101</v>
      </c>
      <c r="J175" s="57" t="s">
        <v>395</v>
      </c>
      <c r="K175" s="58"/>
    </row>
    <row r="176" spans="1:11">
      <c r="A176" s="55">
        <v>500845</v>
      </c>
      <c r="B176" s="56" t="s">
        <v>1052</v>
      </c>
      <c r="C176" s="56"/>
      <c r="D176" s="56"/>
      <c r="E176" s="56"/>
      <c r="F176" s="57" t="s">
        <v>385</v>
      </c>
      <c r="G176" s="41">
        <f>_xlfn.MINIFS(DADOS!$I:$I,DADOS!$B:$B,B176)</f>
        <v>46167</v>
      </c>
      <c r="H176" s="41">
        <f>_xlfn.MAXIFS(DADOS!$I:$I,DADOS!$B:$B,B176)</f>
        <v>46167</v>
      </c>
      <c r="I176" s="42">
        <f ca="1">CONFIG!$E$1-CLIENTES!H176</f>
        <v>87</v>
      </c>
      <c r="J176" s="57" t="s">
        <v>395</v>
      </c>
      <c r="K176" s="58"/>
    </row>
    <row r="177" spans="1:11">
      <c r="A177" s="55">
        <v>3105</v>
      </c>
      <c r="B177" s="56" t="s">
        <v>1054</v>
      </c>
      <c r="C177" s="56"/>
      <c r="D177" s="56"/>
      <c r="E177" s="56"/>
      <c r="F177" s="57" t="s">
        <v>385</v>
      </c>
      <c r="G177" s="41">
        <f>_xlfn.MINIFS(DADOS!$I:$I,DADOS!$B:$B,B177)</f>
        <v>46169</v>
      </c>
      <c r="H177" s="41">
        <f>_xlfn.MAXIFS(DADOS!$I:$I,DADOS!$B:$B,B177)</f>
        <v>46246</v>
      </c>
      <c r="I177" s="42">
        <f ca="1">CONFIG!$E$1-CLIENTES!H177</f>
        <v>8</v>
      </c>
      <c r="J177" s="57" t="s">
        <v>395</v>
      </c>
      <c r="K177" s="58"/>
    </row>
    <row r="178" spans="1:11">
      <c r="A178" s="55">
        <v>501153</v>
      </c>
      <c r="B178" s="56" t="s">
        <v>1069</v>
      </c>
      <c r="C178" s="56"/>
      <c r="D178" s="56"/>
      <c r="E178" s="56"/>
      <c r="F178" s="57" t="s">
        <v>385</v>
      </c>
      <c r="G178" s="41">
        <f>_xlfn.MINIFS(DADOS!$I:$I,DADOS!$B:$B,B178)</f>
        <v>46183</v>
      </c>
      <c r="H178" s="41">
        <f>_xlfn.MAXIFS(DADOS!$I:$I,DADOS!$B:$B,B178)</f>
        <v>46246</v>
      </c>
      <c r="I178" s="42">
        <f ca="1">CONFIG!$E$1-CLIENTES!H178</f>
        <v>8</v>
      </c>
      <c r="J178" s="57" t="s">
        <v>395</v>
      </c>
      <c r="K178" s="58"/>
    </row>
    <row r="179" spans="1:11">
      <c r="A179" s="55">
        <v>1277</v>
      </c>
      <c r="B179" s="56" t="s">
        <v>532</v>
      </c>
      <c r="C179" s="56"/>
      <c r="D179" s="56"/>
      <c r="E179" s="56"/>
      <c r="F179" s="57" t="s">
        <v>385</v>
      </c>
      <c r="G179" s="41">
        <f>_xlfn.MINIFS(DADOS!$I:$I,DADOS!$B:$B,B179)</f>
        <v>45419</v>
      </c>
      <c r="H179" s="41">
        <f>_xlfn.MAXIFS(DADOS!$I:$I,DADOS!$B:$B,B179)</f>
        <v>46245</v>
      </c>
      <c r="I179" s="42">
        <f ca="1">CONFIG!$E$1-CLIENTES!H179</f>
        <v>9</v>
      </c>
      <c r="J179" s="57" t="s">
        <v>395</v>
      </c>
      <c r="K179" s="58"/>
    </row>
    <row r="180" spans="1:11">
      <c r="A180" s="55">
        <v>501160</v>
      </c>
      <c r="B180" s="56" t="s">
        <v>532</v>
      </c>
      <c r="C180" s="56"/>
      <c r="D180" s="56"/>
      <c r="E180" s="56"/>
      <c r="F180" s="57" t="s">
        <v>385</v>
      </c>
      <c r="G180" s="41">
        <f>_xlfn.MINIFS(DADOS!$I:$I,DADOS!$B:$B,B180)</f>
        <v>45419</v>
      </c>
      <c r="H180" s="41">
        <f>_xlfn.MAXIFS(DADOS!$I:$I,DADOS!$B:$B,B180)</f>
        <v>46245</v>
      </c>
      <c r="I180" s="42">
        <f ca="1">CONFIG!$E$1-CLIENTES!H180</f>
        <v>9</v>
      </c>
      <c r="J180" s="57" t="s">
        <v>395</v>
      </c>
      <c r="K180" s="58"/>
    </row>
    <row r="181" spans="1:11">
      <c r="A181" s="55">
        <v>501156</v>
      </c>
      <c r="B181" s="56" t="s">
        <v>1079</v>
      </c>
      <c r="C181" s="56"/>
      <c r="D181" s="56"/>
      <c r="E181" s="56"/>
      <c r="F181" s="57" t="s">
        <v>385</v>
      </c>
      <c r="G181" s="41">
        <f>_xlfn.MINIFS(DADOS!$I:$I,DADOS!$B:$B,B181)</f>
        <v>46191</v>
      </c>
      <c r="H181" s="41">
        <f>_xlfn.MAXIFS(DADOS!$I:$I,DADOS!$B:$B,B181)</f>
        <v>46191</v>
      </c>
      <c r="I181" s="42">
        <f ca="1">CONFIG!$E$1-CLIENTES!H181</f>
        <v>63</v>
      </c>
      <c r="J181" s="57" t="s">
        <v>395</v>
      </c>
      <c r="K181" s="58"/>
    </row>
    <row r="182" spans="1:11">
      <c r="A182" s="55">
        <v>3441</v>
      </c>
      <c r="B182" s="56" t="s">
        <v>747</v>
      </c>
      <c r="C182" s="56"/>
      <c r="D182" s="56"/>
      <c r="E182" s="56"/>
      <c r="F182" s="57" t="s">
        <v>385</v>
      </c>
      <c r="G182" s="41">
        <f>_xlfn.MINIFS(DADOS!$I:$I,DADOS!$B:$B,B182)</f>
        <v>45853</v>
      </c>
      <c r="H182" s="41">
        <f>_xlfn.MAXIFS(DADOS!$I:$I,DADOS!$B:$B,B182)</f>
        <v>46244</v>
      </c>
      <c r="I182" s="42">
        <f ca="1">CONFIG!$E$1-CLIENTES!H182</f>
        <v>10</v>
      </c>
      <c r="J182" s="57" t="s">
        <v>395</v>
      </c>
      <c r="K182" s="58"/>
    </row>
    <row r="183" spans="1:11">
      <c r="A183" s="55">
        <v>500888</v>
      </c>
      <c r="B183" s="56" t="s">
        <v>1100</v>
      </c>
      <c r="C183" s="56"/>
      <c r="D183" s="56"/>
      <c r="E183" s="56"/>
      <c r="F183" s="57" t="s">
        <v>385</v>
      </c>
      <c r="G183" s="41">
        <f>_xlfn.MINIFS(DADOS!$I:$I,DADOS!$B:$B,B183)</f>
        <v>46213</v>
      </c>
      <c r="H183" s="41">
        <f>_xlfn.MAXIFS(DADOS!$I:$I,DADOS!$B:$B,B183)</f>
        <v>46213</v>
      </c>
      <c r="I183" s="42">
        <f ca="1">CONFIG!$E$1-CLIENTES!H183</f>
        <v>41</v>
      </c>
      <c r="J183" s="57" t="s">
        <v>395</v>
      </c>
      <c r="K183" s="58"/>
    </row>
    <row r="184" spans="1:11">
      <c r="A184" s="55">
        <v>501173</v>
      </c>
      <c r="B184" s="56" t="s">
        <v>1106</v>
      </c>
      <c r="C184" s="56"/>
      <c r="D184" s="56"/>
      <c r="E184" s="56"/>
      <c r="F184" s="57" t="s">
        <v>385</v>
      </c>
      <c r="G184" s="41">
        <f>_xlfn.MINIFS(DADOS!$I:$I,DADOS!$B:$B,B184)</f>
        <v>46223</v>
      </c>
      <c r="H184" s="41">
        <f>_xlfn.MAXIFS(DADOS!$I:$I,DADOS!$B:$B,B184)</f>
        <v>46223</v>
      </c>
      <c r="I184" s="42">
        <v>0</v>
      </c>
      <c r="J184" s="57" t="s">
        <v>395</v>
      </c>
      <c r="K184" s="58"/>
    </row>
    <row r="185" spans="1:11">
      <c r="A185" s="55">
        <v>500202</v>
      </c>
      <c r="B185" s="56" t="s">
        <v>747</v>
      </c>
      <c r="C185" s="56"/>
      <c r="D185" s="56"/>
      <c r="E185" s="56"/>
      <c r="F185" s="57" t="s">
        <v>385</v>
      </c>
      <c r="G185" s="41">
        <f>_xlfn.MINIFS(DADOS!$I:$I,DADOS!$B:$B,B185)</f>
        <v>45853</v>
      </c>
      <c r="H185" s="41">
        <f>_xlfn.MAXIFS(DADOS!$I:$I,DADOS!$B:$B,B185)</f>
        <v>46244</v>
      </c>
      <c r="I185" s="42">
        <f ca="1">CONFIG!$E$1-CLIENTES!H184</f>
        <v>31</v>
      </c>
      <c r="J185" s="57" t="s">
        <v>395</v>
      </c>
      <c r="K185" s="58"/>
    </row>
    <row r="186" spans="1:11">
      <c r="A186" s="55">
        <v>501266</v>
      </c>
      <c r="B186" s="56" t="s">
        <v>1114</v>
      </c>
      <c r="C186" s="56"/>
      <c r="D186" s="56"/>
      <c r="E186" s="56"/>
      <c r="F186" s="57" t="s">
        <v>385</v>
      </c>
      <c r="G186" s="41">
        <f>_xlfn.MINIFS(DADOS!$I:$I,DADOS!$B:$B,B186)</f>
        <v>46230</v>
      </c>
      <c r="H186" s="110"/>
      <c r="I186" s="111"/>
      <c r="J186" s="57"/>
      <c r="K186" s="58"/>
    </row>
  </sheetData>
  <sortState xmlns:xlrd2="http://schemas.microsoft.com/office/spreadsheetml/2017/richdata2" ref="A2:J122">
    <sortCondition ref="A95:A122"/>
  </sortState>
  <conditionalFormatting sqref="B1">
    <cfRule type="containsText" dxfId="4" priority="1" operator="containsText" text="CADASTRAR CLIENTE">
      <formula>NOT(ISERROR(SEARCH("CADASTRAR CLIENTE",B1)))</formula>
    </cfRule>
  </conditionalFormatting>
  <conditionalFormatting sqref="I2:I1048576">
    <cfRule type="cellIs" dxfId="3" priority="5" operator="between">
      <formula>31</formula>
      <formula>89</formula>
    </cfRule>
    <cfRule type="cellIs" dxfId="2" priority="6" operator="between">
      <formula>1</formula>
      <formula>30</formula>
    </cfRule>
    <cfRule type="cellIs" dxfId="1" priority="9" operator="greaterThanOrEqual">
      <formula>90</formula>
    </cfRule>
  </conditionalFormatting>
  <hyperlinks>
    <hyperlink ref="C120" r:id="rId1" xr:uid="{B6FB005A-29B2-414D-8F83-6B92883B09C1}"/>
    <hyperlink ref="C140" r:id="rId2" xr:uid="{1EC7574A-871B-4CC3-92A6-C9A65970B134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F244D5-F24D-402B-A118-EFDD42BC924B}">
          <x14:formula1>
            <xm:f>CONFIG!$B$7:$B$13</xm:f>
          </x14:formula1>
          <xm:sqref>F2:F186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3309-5E3D-40B3-9405-7B710BF53956}">
  <dimension ref="A1:Q3550"/>
  <sheetViews>
    <sheetView showGridLines="0" tabSelected="1" zoomScale="75" zoomScaleNormal="75" zoomScaleSheetLayoutView="70" workbookViewId="0">
      <selection activeCell="A26" sqref="A2:XFD26"/>
    </sheetView>
  </sheetViews>
  <sheetFormatPr defaultRowHeight="15"/>
  <cols>
    <col min="1" max="1" width="10.140625" customWidth="1"/>
    <col min="2" max="2" width="91" customWidth="1"/>
    <col min="3" max="3" width="17.85546875" customWidth="1"/>
    <col min="4" max="4" width="34.28515625" style="49" customWidth="1"/>
    <col min="5" max="5" width="19.5703125" style="7" customWidth="1"/>
    <col min="6" max="6" width="23.85546875" customWidth="1"/>
    <col min="7" max="7" width="23.7109375" style="7" customWidth="1"/>
    <col min="8" max="8" width="11.7109375" customWidth="1"/>
    <col min="9" max="9" width="11.5703125" style="1" bestFit="1" customWidth="1"/>
  </cols>
  <sheetData>
    <row r="1" spans="1:9" s="32" customFormat="1">
      <c r="A1" s="15" t="s">
        <v>346</v>
      </c>
      <c r="B1" s="16" t="s">
        <v>1</v>
      </c>
      <c r="C1" s="16" t="s">
        <v>347</v>
      </c>
      <c r="D1" s="106" t="s">
        <v>348</v>
      </c>
      <c r="E1" s="87" t="s">
        <v>349</v>
      </c>
      <c r="F1" s="16" t="s">
        <v>350</v>
      </c>
      <c r="G1" s="87" t="s">
        <v>351</v>
      </c>
      <c r="H1" s="16" t="s">
        <v>352</v>
      </c>
      <c r="I1" s="17" t="s">
        <v>353</v>
      </c>
    </row>
    <row r="2" spans="1:9">
      <c r="A2" s="18">
        <v>705</v>
      </c>
      <c r="B2" s="19" t="str">
        <f>IFERROR(VLOOKUP(A2,CLIENTES!A:E,2,0),"CADASTRAR CLIENTE")</f>
        <v>JOAO JOSE SCHIAVUZZO ME</v>
      </c>
      <c r="C2" s="60" t="s">
        <v>3</v>
      </c>
      <c r="D2" s="60">
        <v>70919</v>
      </c>
      <c r="E2" s="21">
        <v>389.35</v>
      </c>
      <c r="F2" s="19"/>
      <c r="G2" s="21"/>
      <c r="H2" s="19"/>
      <c r="I2" s="20">
        <v>45352</v>
      </c>
    </row>
    <row r="3" spans="1:9">
      <c r="A3" s="18">
        <v>705</v>
      </c>
      <c r="B3" s="19" t="str">
        <f>IFERROR(VLOOKUP(A3,CLIENTES!A:E,2,0),"CADASTRAR CLIENTE")</f>
        <v>JOAO JOSE SCHIAVUZZO ME</v>
      </c>
      <c r="C3" s="60" t="s">
        <v>3</v>
      </c>
      <c r="D3" s="60">
        <v>98127</v>
      </c>
      <c r="E3" s="21">
        <v>884.95</v>
      </c>
      <c r="F3" s="19"/>
      <c r="G3" s="21"/>
      <c r="H3" s="19"/>
      <c r="I3" s="20">
        <v>45352</v>
      </c>
    </row>
    <row r="4" spans="1:9">
      <c r="A4" s="18">
        <v>50558</v>
      </c>
      <c r="B4" s="19" t="str">
        <f>IFERROR(VLOOKUP(A4,CLIENTES!A:E,2,0),"CADASTRAR CLIENTE")</f>
        <v>FUNDACAO PAULISTA DE TECNOLOGIA E EDUCACAO</v>
      </c>
      <c r="C4" s="60" t="s">
        <v>2</v>
      </c>
      <c r="D4" s="60">
        <v>71252</v>
      </c>
      <c r="E4" s="21">
        <v>3005.2</v>
      </c>
      <c r="F4" s="19"/>
      <c r="G4" s="21"/>
      <c r="H4" s="19"/>
      <c r="I4" s="20">
        <v>45352</v>
      </c>
    </row>
    <row r="5" spans="1:9">
      <c r="A5" s="18">
        <v>50558</v>
      </c>
      <c r="B5" s="19" t="str">
        <f>IFERROR(VLOOKUP(A5,CLIENTES!A:E,2,0),"CADASTRAR CLIENTE")</f>
        <v>FUNDACAO PAULISTA DE TECNOLOGIA E EDUCACAO</v>
      </c>
      <c r="C5" s="60" t="s">
        <v>2</v>
      </c>
      <c r="D5" s="60">
        <v>72125</v>
      </c>
      <c r="E5" s="21">
        <v>2585</v>
      </c>
      <c r="F5" s="19"/>
      <c r="G5" s="21"/>
      <c r="H5" s="19"/>
      <c r="I5" s="20">
        <v>45352</v>
      </c>
    </row>
    <row r="6" spans="1:9">
      <c r="A6" s="18">
        <v>746</v>
      </c>
      <c r="B6" s="19" t="str">
        <f>IFERROR(VLOOKUP(A6,CLIENTES!A:E,2,0),"CADASTRAR CLIENTE")</f>
        <v>LAB.ANAL.CLIN.BIOCLIN SC LTDA.</v>
      </c>
      <c r="C6" s="60" t="s">
        <v>328</v>
      </c>
      <c r="D6" s="60">
        <v>71236</v>
      </c>
      <c r="E6" s="21">
        <v>2994.26</v>
      </c>
      <c r="F6" s="19"/>
      <c r="G6" s="21"/>
      <c r="H6" s="19"/>
      <c r="I6" s="20">
        <v>45352</v>
      </c>
    </row>
    <row r="7" spans="1:9">
      <c r="A7" s="18">
        <v>746</v>
      </c>
      <c r="B7" s="19" t="str">
        <f>IFERROR(VLOOKUP(A7,CLIENTES!A:E,2,0),"CADASTRAR CLIENTE")</f>
        <v>LAB.ANAL.CLIN.BIOCLIN SC LTDA.</v>
      </c>
      <c r="C7" s="60" t="s">
        <v>328</v>
      </c>
      <c r="D7" s="60">
        <v>98201</v>
      </c>
      <c r="E7" s="21">
        <v>273.3</v>
      </c>
      <c r="F7" s="19"/>
      <c r="G7" s="21"/>
      <c r="H7" s="19"/>
      <c r="I7" s="20">
        <v>45352</v>
      </c>
    </row>
    <row r="8" spans="1:9">
      <c r="A8" s="18">
        <v>731</v>
      </c>
      <c r="B8" s="19" t="str">
        <f>IFERROR(VLOOKUP(A8,CLIENTES!A:E,2,0),"CADASTRAR CLIENTE")</f>
        <v>UNILAB LABORATORIO ANALISES CLINICAS SANTA FE DO SUL LTDA</v>
      </c>
      <c r="C8" s="60" t="s">
        <v>3</v>
      </c>
      <c r="D8" s="60">
        <v>71126</v>
      </c>
      <c r="E8" s="21">
        <v>744</v>
      </c>
      <c r="F8" s="19"/>
      <c r="G8" s="21"/>
      <c r="H8" s="19"/>
      <c r="I8" s="20">
        <v>45352</v>
      </c>
    </row>
    <row r="9" spans="1:9">
      <c r="A9" s="18">
        <v>50600</v>
      </c>
      <c r="B9" s="19" t="str">
        <f>IFERROR(VLOOKUP(A9,CLIENTES!A:E,2,0),"CADASTRAR CLIENTE")</f>
        <v>CADASTRAR CLIENTE</v>
      </c>
      <c r="C9" s="60" t="s">
        <v>3</v>
      </c>
      <c r="D9" s="60">
        <v>70713</v>
      </c>
      <c r="E9" s="21">
        <v>846.59</v>
      </c>
      <c r="F9" s="19"/>
      <c r="G9" s="21"/>
      <c r="H9" s="19"/>
      <c r="I9" s="20">
        <v>45352</v>
      </c>
    </row>
    <row r="10" spans="1:9">
      <c r="A10" s="18">
        <v>50600</v>
      </c>
      <c r="B10" s="19" t="str">
        <f>IFERROR(VLOOKUP(A10,CLIENTES!A:E,2,0),"CADASTRAR CLIENTE")</f>
        <v>CADASTRAR CLIENTE</v>
      </c>
      <c r="C10" s="60" t="s">
        <v>3</v>
      </c>
      <c r="D10" s="60">
        <v>71101</v>
      </c>
      <c r="E10" s="21">
        <v>1640</v>
      </c>
      <c r="F10" s="19"/>
      <c r="G10" s="21"/>
      <c r="H10" s="19"/>
      <c r="I10" s="20">
        <v>45352</v>
      </c>
    </row>
    <row r="11" spans="1:9">
      <c r="A11" s="18">
        <v>1058</v>
      </c>
      <c r="B11" s="19" t="str">
        <f>IFERROR(VLOOKUP(A11,CLIENTES!A:E,2,0),"CADASTRAR CLIENTE")</f>
        <v>LAB. ANAL. CLIN. DR ARNALDO BUAINAIN SS LTDA</v>
      </c>
      <c r="C11" s="60" t="s">
        <v>3</v>
      </c>
      <c r="D11" s="60">
        <v>71247</v>
      </c>
      <c r="E11" s="21">
        <v>600</v>
      </c>
      <c r="F11" s="19"/>
      <c r="G11" s="21"/>
      <c r="H11" s="19"/>
      <c r="I11" s="20">
        <v>45352</v>
      </c>
    </row>
    <row r="12" spans="1:9">
      <c r="A12" s="18">
        <v>2397</v>
      </c>
      <c r="B12" s="19" t="str">
        <f>IFERROR(VLOOKUP(A12,CLIENTES!A:E,2,0),"CADASTRAR CLIENTE")</f>
        <v>LAB ANAL CLINICAS SANTA RITA S/C LTDA</v>
      </c>
      <c r="C12" s="60" t="s">
        <v>328</v>
      </c>
      <c r="D12" s="60">
        <v>70924</v>
      </c>
      <c r="E12" s="21">
        <v>969</v>
      </c>
      <c r="F12" s="19"/>
      <c r="G12" s="21"/>
      <c r="H12" s="19"/>
      <c r="I12" s="20">
        <v>45352</v>
      </c>
    </row>
    <row r="13" spans="1:9">
      <c r="A13" s="18">
        <v>1026</v>
      </c>
      <c r="B13" s="19" t="str">
        <f>IFERROR(VLOOKUP(A13,CLIENTES!A:E,2,0),"CADASTRAR CLIENTE")</f>
        <v>LABSC SERVICOS LABORATORIAIS LTDA</v>
      </c>
      <c r="C13" s="60" t="s">
        <v>2</v>
      </c>
      <c r="D13" s="60">
        <v>71230</v>
      </c>
      <c r="E13" s="21">
        <v>532</v>
      </c>
      <c r="F13" s="19"/>
      <c r="G13" s="21"/>
      <c r="H13" s="19"/>
      <c r="I13" s="20">
        <v>45352</v>
      </c>
    </row>
    <row r="14" spans="1:9">
      <c r="A14" s="18">
        <v>756</v>
      </c>
      <c r="B14" s="19" t="str">
        <f>IFERROR(VLOOKUP(A14,CLIENTES!A:E,2,0),"CADASTRAR CLIENTE")</f>
        <v>LAB.TRIANON DE ANAL.CLIN.SC LTDA.</v>
      </c>
      <c r="C14" s="60" t="s">
        <v>328</v>
      </c>
      <c r="D14" s="60">
        <v>71267</v>
      </c>
      <c r="E14" s="21">
        <v>3460.28</v>
      </c>
      <c r="F14" s="19"/>
      <c r="G14" s="21"/>
      <c r="H14" s="19"/>
      <c r="I14" s="20">
        <v>45352</v>
      </c>
    </row>
    <row r="15" spans="1:9">
      <c r="A15" s="18">
        <v>335</v>
      </c>
      <c r="B15" s="19" t="str">
        <f>IFERROR(VLOOKUP(A15,CLIENTES!A:E,2,0),"CADASTRAR CLIENTE")</f>
        <v>LABORATORIO VIDA  S/S LTDA</v>
      </c>
      <c r="C15" s="60" t="s">
        <v>3</v>
      </c>
      <c r="D15" s="60">
        <v>71250</v>
      </c>
      <c r="E15" s="21">
        <v>363.8</v>
      </c>
      <c r="F15" s="19"/>
      <c r="G15" s="21"/>
      <c r="H15" s="19"/>
      <c r="I15" s="20">
        <v>45352</v>
      </c>
    </row>
    <row r="16" spans="1:9">
      <c r="A16" s="18">
        <v>335</v>
      </c>
      <c r="B16" s="19" t="str">
        <f>IFERROR(VLOOKUP(A16,CLIENTES!A:E,2,0),"CADASTRAR CLIENTE")</f>
        <v>LABORATORIO VIDA  S/S LTDA</v>
      </c>
      <c r="C16" s="60" t="s">
        <v>3</v>
      </c>
      <c r="D16" s="60">
        <v>98205</v>
      </c>
      <c r="E16" s="21">
        <v>332.15</v>
      </c>
      <c r="F16" s="19"/>
      <c r="G16" s="21"/>
      <c r="H16" s="19"/>
      <c r="I16" s="20">
        <v>45352</v>
      </c>
    </row>
    <row r="17" spans="1:9">
      <c r="A17" s="18">
        <v>3077</v>
      </c>
      <c r="B17" s="19" t="str">
        <f>IFERROR(VLOOKUP(A17,CLIENTES!A:E,2,0),"CADASTRAR CLIENTE")</f>
        <v>CBI ANALISES CLINICAS S/S LTDA</v>
      </c>
      <c r="C17" s="60" t="s">
        <v>328</v>
      </c>
      <c r="D17" s="60">
        <v>71097</v>
      </c>
      <c r="E17" s="21">
        <v>548.5</v>
      </c>
      <c r="F17" s="19"/>
      <c r="G17" s="21"/>
      <c r="H17" s="19"/>
      <c r="I17" s="20">
        <v>45355</v>
      </c>
    </row>
    <row r="18" spans="1:9">
      <c r="A18" s="18">
        <v>516</v>
      </c>
      <c r="B18" s="19" t="str">
        <f>IFERROR(VLOOKUP(A18,CLIENTES!A:E,2,0),"CADASTRAR CLIENTE")</f>
        <v>TECNOLAB PATOLOGIA CLINICA S/C LTDA</v>
      </c>
      <c r="C18" s="60" t="s">
        <v>3</v>
      </c>
      <c r="D18" s="60">
        <v>71052</v>
      </c>
      <c r="E18" s="21">
        <v>3830.18</v>
      </c>
      <c r="F18" s="19"/>
      <c r="G18" s="21"/>
      <c r="H18" s="19"/>
      <c r="I18" s="20">
        <v>45355</v>
      </c>
    </row>
    <row r="19" spans="1:9">
      <c r="A19" s="18">
        <v>3153</v>
      </c>
      <c r="B19" s="19" t="str">
        <f>IFERROR(VLOOKUP(A19,CLIENTES!A:E,2,0),"CADASTRAR CLIENTE")</f>
        <v>UNIMED DE TUPA COOPERATIVA DE TRABALHO MEDICO</v>
      </c>
      <c r="C19" s="60" t="s">
        <v>3</v>
      </c>
      <c r="D19" s="60">
        <v>71341</v>
      </c>
      <c r="E19" s="21">
        <v>1195</v>
      </c>
      <c r="F19" s="19"/>
      <c r="G19" s="21"/>
      <c r="H19" s="19"/>
      <c r="I19" s="20">
        <v>45356</v>
      </c>
    </row>
    <row r="20" spans="1:9">
      <c r="A20" s="18">
        <v>3153</v>
      </c>
      <c r="B20" s="19" t="str">
        <f>IFERROR(VLOOKUP(A20,CLIENTES!A:E,2,0),"CADASTRAR CLIENTE")</f>
        <v>UNIMED DE TUPA COOPERATIVA DE TRABALHO MEDICO</v>
      </c>
      <c r="C20" s="60" t="s">
        <v>3</v>
      </c>
      <c r="D20" s="60">
        <v>71114</v>
      </c>
      <c r="E20" s="21">
        <v>1195</v>
      </c>
      <c r="F20" s="19"/>
      <c r="G20" s="21"/>
      <c r="H20" s="19"/>
      <c r="I20" s="20">
        <v>45356</v>
      </c>
    </row>
    <row r="21" spans="1:9">
      <c r="A21" s="18">
        <v>784</v>
      </c>
      <c r="B21" s="19" t="str">
        <f>IFERROR(VLOOKUP(A21,CLIENTES!A:E,2,0),"CADASTRAR CLIENTE")</f>
        <v>LAB.ANAL.CLIN. ALBERT SABIN SC LTDA.</v>
      </c>
      <c r="C21" s="60" t="s">
        <v>3</v>
      </c>
      <c r="D21" s="60">
        <v>72133</v>
      </c>
      <c r="E21" s="21">
        <v>12.5</v>
      </c>
      <c r="F21" s="19"/>
      <c r="G21" s="21"/>
      <c r="H21" s="19"/>
      <c r="I21" s="20">
        <v>45356</v>
      </c>
    </row>
    <row r="22" spans="1:9">
      <c r="A22" s="18">
        <v>50219</v>
      </c>
      <c r="B22" s="19" t="str">
        <f>IFERROR(VLOOKUP(A22,CLIENTES!A:E,2,0),"CADASTRAR CLIENTE")</f>
        <v>UNIPREV LAB DE ANALISES LOCACAO DE BENS E REPAROS LTDA EPP</v>
      </c>
      <c r="C22" s="60" t="s">
        <v>3</v>
      </c>
      <c r="D22" s="60">
        <v>71359</v>
      </c>
      <c r="E22" s="21">
        <v>1168.57</v>
      </c>
      <c r="F22" s="19"/>
      <c r="G22" s="21"/>
      <c r="H22" s="19"/>
      <c r="I22" s="20">
        <v>45356</v>
      </c>
    </row>
    <row r="23" spans="1:9">
      <c r="A23" s="18">
        <v>520</v>
      </c>
      <c r="B23" s="19" t="str">
        <f>IFERROR(VLOOKUP(A23,CLIENTES!A:E,2,0),"CADASTRAR CLIENTE")</f>
        <v>CADASTRAR CLIENTE</v>
      </c>
      <c r="C23" s="60" t="s">
        <v>328</v>
      </c>
      <c r="D23" s="60">
        <v>71369</v>
      </c>
      <c r="E23" s="21">
        <v>1345.12</v>
      </c>
      <c r="F23" s="19"/>
      <c r="G23" s="21"/>
      <c r="H23" s="19"/>
      <c r="I23" s="20">
        <v>45356</v>
      </c>
    </row>
    <row r="24" spans="1:9">
      <c r="A24" s="18">
        <v>520</v>
      </c>
      <c r="B24" s="19" t="str">
        <f>IFERROR(VLOOKUP(A24,CLIENTES!A:E,2,0),"CADASTRAR CLIENTE")</f>
        <v>CADASTRAR CLIENTE</v>
      </c>
      <c r="C24" s="60" t="s">
        <v>328</v>
      </c>
      <c r="D24" s="60">
        <v>98226</v>
      </c>
      <c r="E24" s="21">
        <v>536.95000000000005</v>
      </c>
      <c r="F24" s="19"/>
      <c r="G24" s="21"/>
      <c r="H24" s="19"/>
      <c r="I24" s="20">
        <v>45356</v>
      </c>
    </row>
    <row r="25" spans="1:9">
      <c r="A25" s="18">
        <v>2911</v>
      </c>
      <c r="B25" s="19" t="str">
        <f>IFERROR(VLOOKUP(A25,CLIENTES!A:E,2,0),"CADASTRAR CLIENTE")</f>
        <v>BIOLIFE-LABORATORIO DE ANALISES CLINICAS LTDA</v>
      </c>
      <c r="C25" s="60" t="s">
        <v>329</v>
      </c>
      <c r="D25" s="60">
        <v>98217</v>
      </c>
      <c r="E25" s="21">
        <v>10.25</v>
      </c>
      <c r="F25" s="19"/>
      <c r="G25" s="21"/>
      <c r="H25" s="19"/>
      <c r="I25" s="20">
        <v>45356</v>
      </c>
    </row>
    <row r="26" spans="1:9">
      <c r="A26" s="18">
        <v>2911</v>
      </c>
      <c r="B26" s="19" t="str">
        <f>IFERROR(VLOOKUP(A26,CLIENTES!A:E,2,0),"CADASTRAR CLIENTE")</f>
        <v>BIOLIFE-LABORATORIO DE ANALISES CLINICAS LTDA</v>
      </c>
      <c r="C26" s="60" t="s">
        <v>329</v>
      </c>
      <c r="D26" s="60">
        <v>71328</v>
      </c>
      <c r="E26" s="21">
        <v>1216</v>
      </c>
      <c r="F26" s="19"/>
      <c r="G26" s="21"/>
      <c r="H26" s="19"/>
      <c r="I26" s="20">
        <v>45356</v>
      </c>
    </row>
    <row r="27" spans="1:9">
      <c r="A27" s="18">
        <v>687</v>
      </c>
      <c r="B27" s="19" t="str">
        <f>IFERROR(VLOOKUP(A27,CLIENTES!A:E,2,0),"CADASTRAR CLIENTE")</f>
        <v>LAB ANAL CLIN VENDRAMINI S/S LTDA</v>
      </c>
      <c r="C27" s="60" t="s">
        <v>329</v>
      </c>
      <c r="D27" s="60">
        <v>71375</v>
      </c>
      <c r="E27" s="21">
        <v>540</v>
      </c>
      <c r="F27" s="19"/>
      <c r="G27" s="21"/>
      <c r="H27" s="19"/>
      <c r="I27" s="20">
        <v>45356</v>
      </c>
    </row>
    <row r="28" spans="1:9">
      <c r="A28" s="18">
        <v>823</v>
      </c>
      <c r="B28" s="19" t="str">
        <f>IFERROR(VLOOKUP(A28,CLIENTES!A:E,2,0),"CADASTRAR CLIENTE")</f>
        <v>SANCHES x SANCHES S/C LTDA</v>
      </c>
      <c r="C28" s="60" t="s">
        <v>329</v>
      </c>
      <c r="D28" s="60">
        <v>98224</v>
      </c>
      <c r="E28" s="21">
        <v>110</v>
      </c>
      <c r="F28" s="19"/>
      <c r="G28" s="21"/>
      <c r="H28" s="19"/>
      <c r="I28" s="20">
        <v>45356</v>
      </c>
    </row>
    <row r="29" spans="1:9">
      <c r="A29" s="18">
        <v>823</v>
      </c>
      <c r="B29" s="19" t="str">
        <f>IFERROR(VLOOKUP(A29,CLIENTES!A:E,2,0),"CADASTRAR CLIENTE")</f>
        <v>SANCHES x SANCHES S/C LTDA</v>
      </c>
      <c r="C29" s="60" t="s">
        <v>329</v>
      </c>
      <c r="D29" s="60">
        <v>71130</v>
      </c>
      <c r="E29" s="21">
        <v>7118.27</v>
      </c>
      <c r="F29" s="19"/>
      <c r="G29" s="21"/>
      <c r="H29" s="19"/>
      <c r="I29" s="20">
        <v>45356</v>
      </c>
    </row>
    <row r="30" spans="1:9">
      <c r="A30" s="18">
        <v>3194</v>
      </c>
      <c r="B30" s="19" t="str">
        <f>IFERROR(VLOOKUP(A30,CLIENTES!A:E,2,0),"CADASTRAR CLIENTE")</f>
        <v>CENTRO DE DIAGNOSTICOS CONTROLE LTDA</v>
      </c>
      <c r="C30" s="60" t="s">
        <v>328</v>
      </c>
      <c r="D30" s="60">
        <v>98235</v>
      </c>
      <c r="E30" s="21">
        <v>376.15</v>
      </c>
      <c r="F30" s="19"/>
      <c r="G30" s="21"/>
      <c r="H30" s="19"/>
      <c r="I30" s="20">
        <v>45357</v>
      </c>
    </row>
    <row r="31" spans="1:9">
      <c r="A31" s="18">
        <v>3194</v>
      </c>
      <c r="B31" s="19" t="str">
        <f>IFERROR(VLOOKUP(A31,CLIENTES!A:E,2,0),"CADASTRAR CLIENTE")</f>
        <v>CENTRO DE DIAGNOSTICOS CONTROLE LTDA</v>
      </c>
      <c r="C31" s="60" t="s">
        <v>328</v>
      </c>
      <c r="D31" s="60">
        <v>71397</v>
      </c>
      <c r="E31" s="21">
        <v>503.05</v>
      </c>
      <c r="F31" s="19"/>
      <c r="G31" s="21"/>
      <c r="H31" s="19"/>
      <c r="I31" s="20">
        <v>45357</v>
      </c>
    </row>
    <row r="32" spans="1:9">
      <c r="A32" s="18">
        <v>690</v>
      </c>
      <c r="B32" s="19" t="str">
        <f>IFERROR(VLOOKUP(A32,CLIENTES!A:E,2,0),"CADASTRAR CLIENTE")</f>
        <v>SAO ROQUE MEDICINA DIAGNOSTICA LTDA EPP</v>
      </c>
      <c r="C32" s="60" t="s">
        <v>328</v>
      </c>
      <c r="D32" s="60">
        <v>71384</v>
      </c>
      <c r="E32" s="21">
        <v>1003.2</v>
      </c>
      <c r="F32" s="19"/>
      <c r="G32" s="21"/>
      <c r="H32" s="19"/>
      <c r="I32" s="20">
        <v>45357</v>
      </c>
    </row>
    <row r="33" spans="1:9">
      <c r="A33" s="18">
        <v>690</v>
      </c>
      <c r="B33" s="19" t="str">
        <f>IFERROR(VLOOKUP(A33,CLIENTES!A:E,2,0),"CADASTRAR CLIENTE")</f>
        <v>SAO ROQUE MEDICINA DIAGNOSTICA LTDA EPP</v>
      </c>
      <c r="C33" s="60" t="s">
        <v>328</v>
      </c>
      <c r="D33" s="60">
        <v>98230</v>
      </c>
      <c r="E33" s="21">
        <v>856.9</v>
      </c>
      <c r="F33" s="19"/>
      <c r="G33" s="21"/>
      <c r="H33" s="19"/>
      <c r="I33" s="20">
        <v>45357</v>
      </c>
    </row>
    <row r="34" spans="1:9">
      <c r="A34" s="18">
        <v>50554</v>
      </c>
      <c r="B34" s="19" t="str">
        <f>IFERROR(VLOOKUP(A34,CLIENTES!A:E,2,0),"CADASTRAR CLIENTE")</f>
        <v>SAO ROQUE MEDICINA DIAGNOSTICA</v>
      </c>
      <c r="C34" s="60" t="s">
        <v>328</v>
      </c>
      <c r="D34" s="60">
        <v>71391</v>
      </c>
      <c r="E34" s="21">
        <v>2586.5500000000002</v>
      </c>
      <c r="F34" s="19"/>
      <c r="G34" s="21"/>
      <c r="H34" s="19"/>
      <c r="I34" s="20">
        <v>45357</v>
      </c>
    </row>
    <row r="35" spans="1:9">
      <c r="A35" s="18">
        <v>50554</v>
      </c>
      <c r="B35" s="19" t="str">
        <f>IFERROR(VLOOKUP(A35,CLIENTES!A:E,2,0),"CADASTRAR CLIENTE")</f>
        <v>SAO ROQUE MEDICINA DIAGNOSTICA</v>
      </c>
      <c r="C35" s="60" t="s">
        <v>328</v>
      </c>
      <c r="D35" s="60">
        <v>98231</v>
      </c>
      <c r="E35" s="21">
        <v>587.20000000000005</v>
      </c>
      <c r="F35" s="19"/>
      <c r="G35" s="21"/>
      <c r="H35" s="19"/>
      <c r="I35" s="20">
        <v>45357</v>
      </c>
    </row>
    <row r="36" spans="1:9">
      <c r="A36" s="18">
        <v>516</v>
      </c>
      <c r="B36" s="19" t="str">
        <f>IFERROR(VLOOKUP(A36,CLIENTES!A:E,2,0),"CADASTRAR CLIENTE")</f>
        <v>TECNOLAB PATOLOGIA CLINICA S/C LTDA</v>
      </c>
      <c r="C36" s="60" t="s">
        <v>328</v>
      </c>
      <c r="D36" s="60">
        <v>71418</v>
      </c>
      <c r="E36" s="21">
        <v>657.2</v>
      </c>
      <c r="F36" s="19"/>
      <c r="G36" s="21"/>
      <c r="H36" s="19"/>
      <c r="I36" s="20">
        <v>45357</v>
      </c>
    </row>
    <row r="37" spans="1:9">
      <c r="A37" s="18">
        <v>1493</v>
      </c>
      <c r="B37" s="19" t="str">
        <f>IFERROR(VLOOKUP(A37,CLIENTES!A:E,2,0),"CADASTRAR CLIENTE")</f>
        <v>CEDIMA  CENTRO DE DIAG MONTE AZUL ANAL CLIN E CIT</v>
      </c>
      <c r="C37" s="60" t="s">
        <v>3</v>
      </c>
      <c r="D37" s="60">
        <v>71414</v>
      </c>
      <c r="E37" s="21">
        <v>685.25</v>
      </c>
      <c r="F37" s="19"/>
      <c r="G37" s="21"/>
      <c r="H37" s="19"/>
      <c r="I37" s="20">
        <v>45357</v>
      </c>
    </row>
    <row r="38" spans="1:9">
      <c r="A38" s="18">
        <v>9063</v>
      </c>
      <c r="B38" s="19" t="str">
        <f>IFERROR(VLOOKUP(A38,CLIENTES!A:E,2,0),"CADASTRAR CLIENTE")</f>
        <v>LABORATORIO SAMIA LTDA</v>
      </c>
      <c r="C38" s="60" t="s">
        <v>3</v>
      </c>
      <c r="D38" s="60">
        <v>71427</v>
      </c>
      <c r="E38" s="21">
        <v>572.99</v>
      </c>
      <c r="F38" s="19"/>
      <c r="G38" s="21"/>
      <c r="H38" s="19"/>
      <c r="I38" s="20">
        <v>45357</v>
      </c>
    </row>
    <row r="39" spans="1:9">
      <c r="A39" s="18">
        <v>475</v>
      </c>
      <c r="B39" s="19" t="str">
        <f>IFERROR(VLOOKUP(A39,CLIENTES!A:E,2,0),"CADASTRAR CLIENTE")</f>
        <v>LABORATORIO DE ANALISES CLINICAS SRC LTDA</v>
      </c>
      <c r="C39" s="60" t="s">
        <v>3</v>
      </c>
      <c r="D39" s="60">
        <v>71335</v>
      </c>
      <c r="E39" s="21">
        <v>4886.6400000000003</v>
      </c>
      <c r="F39" s="19"/>
      <c r="G39" s="21"/>
      <c r="H39" s="19"/>
      <c r="I39" s="20">
        <v>45357</v>
      </c>
    </row>
    <row r="40" spans="1:9">
      <c r="A40" s="18">
        <v>475</v>
      </c>
      <c r="B40" s="19" t="str">
        <f>IFERROR(VLOOKUP(A40,CLIENTES!A:E,2,0),"CADASTRAR CLIENTE")</f>
        <v>LABORATORIO DE ANALISES CLINICAS SRC LTDA</v>
      </c>
      <c r="C40" s="60" t="s">
        <v>3</v>
      </c>
      <c r="D40" s="60">
        <v>98220</v>
      </c>
      <c r="E40" s="21">
        <v>412.93</v>
      </c>
      <c r="F40" s="19"/>
      <c r="G40" s="21"/>
      <c r="H40" s="19"/>
      <c r="I40" s="20">
        <v>45357</v>
      </c>
    </row>
    <row r="41" spans="1:9">
      <c r="A41" s="18">
        <v>761</v>
      </c>
      <c r="B41" s="19" t="str">
        <f>IFERROR(VLOOKUP(A41,CLIENTES!A:E,2,0),"CADASTRAR CLIENTE")</f>
        <v>EXAME CENTRO DIAG.M.ARACATUBA SC LTDA.</v>
      </c>
      <c r="C41" s="60" t="s">
        <v>3</v>
      </c>
      <c r="D41" s="60">
        <v>98239</v>
      </c>
      <c r="E41" s="21">
        <v>280.8</v>
      </c>
      <c r="F41" s="19"/>
      <c r="G41" s="21"/>
      <c r="H41" s="19"/>
      <c r="I41" s="20">
        <v>45357</v>
      </c>
    </row>
    <row r="42" spans="1:9">
      <c r="A42" s="18">
        <v>1240</v>
      </c>
      <c r="B42" s="19" t="str">
        <f>IFERROR(VLOOKUP(A42,CLIENTES!A:E,2,0),"CADASTRAR CLIENTE")</f>
        <v>MONICA VIEIRA DE CAMPOS REBELO-ME</v>
      </c>
      <c r="C42" s="60" t="s">
        <v>3</v>
      </c>
      <c r="D42" s="60">
        <v>71276</v>
      </c>
      <c r="E42" s="21">
        <v>556.35</v>
      </c>
      <c r="F42" s="19"/>
      <c r="G42" s="21"/>
      <c r="H42" s="19"/>
      <c r="I42" s="20">
        <v>45357</v>
      </c>
    </row>
    <row r="43" spans="1:9">
      <c r="A43" s="18">
        <v>618</v>
      </c>
      <c r="B43" s="19" t="str">
        <f>IFERROR(VLOOKUP(A43,CLIENTES!A:E,2,0),"CADASTRAR CLIENTE")</f>
        <v>LAB. ANAL. CLIN. POMPEIA</v>
      </c>
      <c r="C43" s="60" t="s">
        <v>3</v>
      </c>
      <c r="D43" s="60">
        <v>71431</v>
      </c>
      <c r="E43" s="21">
        <v>105.6</v>
      </c>
      <c r="F43" s="19"/>
      <c r="G43" s="21"/>
      <c r="H43" s="19"/>
      <c r="I43" s="20">
        <v>45358</v>
      </c>
    </row>
    <row r="44" spans="1:9">
      <c r="A44" s="18">
        <v>618</v>
      </c>
      <c r="B44" s="19" t="str">
        <f>IFERROR(VLOOKUP(A44,CLIENTES!A:E,2,0),"CADASTRAR CLIENTE")</f>
        <v>LAB. ANAL. CLIN. POMPEIA</v>
      </c>
      <c r="C44" s="60" t="s">
        <v>3</v>
      </c>
      <c r="D44" s="60">
        <v>98244</v>
      </c>
      <c r="E44" s="21">
        <v>316.31</v>
      </c>
      <c r="F44" s="19"/>
      <c r="G44" s="21"/>
      <c r="H44" s="19"/>
      <c r="I44" s="20">
        <v>45358</v>
      </c>
    </row>
    <row r="45" spans="1:9">
      <c r="A45" s="18">
        <v>1194</v>
      </c>
      <c r="B45" s="19" t="str">
        <f>IFERROR(VLOOKUP(A45,CLIENTES!A:E,2,0),"CADASTRAR CLIENTE")</f>
        <v>CADASTRAR CLIENTE</v>
      </c>
      <c r="C45" s="60" t="s">
        <v>328</v>
      </c>
      <c r="D45" s="60">
        <v>98246</v>
      </c>
      <c r="E45" s="21">
        <v>59.25</v>
      </c>
      <c r="F45" s="19"/>
      <c r="G45" s="21"/>
      <c r="H45" s="19"/>
      <c r="I45" s="20">
        <v>45358</v>
      </c>
    </row>
    <row r="46" spans="1:9">
      <c r="A46" s="18">
        <v>1194</v>
      </c>
      <c r="B46" s="19" t="str">
        <f>IFERROR(VLOOKUP(A46,CLIENTES!A:E,2,0),"CADASTRAR CLIENTE")</f>
        <v>CADASTRAR CLIENTE</v>
      </c>
      <c r="C46" s="60" t="s">
        <v>328</v>
      </c>
      <c r="D46" s="60">
        <v>71434</v>
      </c>
      <c r="E46" s="21">
        <v>1057.9000000000001</v>
      </c>
      <c r="F46" s="19"/>
      <c r="G46" s="21"/>
      <c r="H46" s="19"/>
      <c r="I46" s="20">
        <v>45358</v>
      </c>
    </row>
    <row r="47" spans="1:9">
      <c r="A47" s="18">
        <v>906</v>
      </c>
      <c r="B47" s="19" t="str">
        <f>IFERROR(VLOOKUP(A47,CLIENTES!A:E,2,0),"CADASTRAR CLIENTE")</f>
        <v>LABORATORIO ANAL. CLIN. DESCALVADO LTDA</v>
      </c>
      <c r="C47" s="60" t="s">
        <v>328</v>
      </c>
      <c r="D47" s="60">
        <v>71443</v>
      </c>
      <c r="E47" s="21">
        <v>146.5</v>
      </c>
      <c r="F47" s="19"/>
      <c r="G47" s="21"/>
      <c r="H47" s="19"/>
      <c r="I47" s="20">
        <v>45358</v>
      </c>
    </row>
    <row r="48" spans="1:9">
      <c r="A48" s="18">
        <v>906</v>
      </c>
      <c r="B48" s="19" t="str">
        <f>IFERROR(VLOOKUP(A48,CLIENTES!A:E,2,0),"CADASTRAR CLIENTE")</f>
        <v>LABORATORIO ANAL. CLIN. DESCALVADO LTDA</v>
      </c>
      <c r="C48" s="60" t="s">
        <v>328</v>
      </c>
      <c r="D48" s="60">
        <v>98247</v>
      </c>
      <c r="E48" s="21">
        <v>1063.94</v>
      </c>
      <c r="F48" s="19"/>
      <c r="G48" s="21"/>
      <c r="H48" s="19"/>
      <c r="I48" s="20">
        <v>45358</v>
      </c>
    </row>
    <row r="49" spans="1:9">
      <c r="A49" s="18">
        <v>3153</v>
      </c>
      <c r="B49" s="19" t="str">
        <f>IFERROR(VLOOKUP(A49,CLIENTES!A:E,2,0),"CADASTRAR CLIENTE")</f>
        <v>UNIMED DE TUPA COOPERATIVA DE TRABALHO MEDICO</v>
      </c>
      <c r="C49" s="60" t="s">
        <v>3</v>
      </c>
      <c r="D49" s="60">
        <v>71313</v>
      </c>
      <c r="E49" s="21">
        <v>4162.8999999999996</v>
      </c>
      <c r="F49" s="19"/>
      <c r="G49" s="21"/>
      <c r="H49" s="19"/>
      <c r="I49" s="20">
        <v>45358</v>
      </c>
    </row>
    <row r="50" spans="1:9">
      <c r="A50" s="18">
        <v>2022</v>
      </c>
      <c r="B50" s="19" t="str">
        <f>IFERROR(VLOOKUP(A50,CLIENTES!A:E,2,0),"CADASTRAR CLIENTE")</f>
        <v>LAB. MEDICO DR. MARICONDI S/C LTDA.</v>
      </c>
      <c r="C50" s="60" t="s">
        <v>3</v>
      </c>
      <c r="D50" s="60">
        <v>71455</v>
      </c>
      <c r="E50" s="21">
        <v>780</v>
      </c>
      <c r="F50" s="19"/>
      <c r="G50" s="21"/>
      <c r="H50" s="19"/>
      <c r="I50" s="20">
        <v>45358</v>
      </c>
    </row>
    <row r="51" spans="1:9">
      <c r="A51" s="18">
        <v>1971</v>
      </c>
      <c r="B51" s="19" t="str">
        <f>IFERROR(VLOOKUP(A51,CLIENTES!A:E,2,0),"CADASTRAR CLIENTE")</f>
        <v>LABORATORIO POPULAR LAB 7 LTDA</v>
      </c>
      <c r="C51" s="60" t="s">
        <v>3</v>
      </c>
      <c r="D51" s="60">
        <v>71476</v>
      </c>
      <c r="E51" s="21">
        <v>432.13</v>
      </c>
      <c r="F51" s="19"/>
      <c r="G51" s="21"/>
      <c r="H51" s="19"/>
      <c r="I51" s="20">
        <v>45358</v>
      </c>
    </row>
    <row r="52" spans="1:9">
      <c r="A52" s="18">
        <v>960</v>
      </c>
      <c r="B52" s="19" t="str">
        <f>IFERROR(VLOOKUP(A52,CLIENTES!A:E,2,0),"CADASTRAR CLIENTE")</f>
        <v>LUIS VALERIO FILHO-ME</v>
      </c>
      <c r="C52" s="60" t="s">
        <v>3</v>
      </c>
      <c r="D52" s="60">
        <v>71326</v>
      </c>
      <c r="E52" s="21">
        <v>751.7</v>
      </c>
      <c r="F52" s="19"/>
      <c r="G52" s="21"/>
      <c r="H52" s="19"/>
      <c r="I52" s="20">
        <v>45359</v>
      </c>
    </row>
    <row r="53" spans="1:9">
      <c r="A53" s="18">
        <v>746</v>
      </c>
      <c r="B53" s="19" t="str">
        <f>IFERROR(VLOOKUP(A53,CLIENTES!A:E,2,0),"CADASTRAR CLIENTE")</f>
        <v>LAB.ANAL.CLIN.BIOCLIN SC LTDA.</v>
      </c>
      <c r="C53" s="60" t="s">
        <v>328</v>
      </c>
      <c r="D53" s="60">
        <v>98252</v>
      </c>
      <c r="E53" s="21">
        <v>23.7</v>
      </c>
      <c r="F53" s="19"/>
      <c r="G53" s="21"/>
      <c r="H53" s="19"/>
      <c r="I53" s="20">
        <v>45359</v>
      </c>
    </row>
    <row r="54" spans="1:9">
      <c r="A54" s="18">
        <v>364</v>
      </c>
      <c r="B54" s="19" t="str">
        <f>IFERROR(VLOOKUP(A54,CLIENTES!A:E,2,0),"CADASTRAR CLIENTE")</f>
        <v>VITALIS LAB.ANAL.CLIN.S/C LTDA</v>
      </c>
      <c r="C54" s="60" t="s">
        <v>3</v>
      </c>
      <c r="D54" s="60">
        <v>71505</v>
      </c>
      <c r="E54" s="21">
        <v>488.9</v>
      </c>
      <c r="F54" s="19"/>
      <c r="G54" s="21"/>
      <c r="H54" s="19"/>
      <c r="I54" s="20">
        <v>45359</v>
      </c>
    </row>
    <row r="55" spans="1:9">
      <c r="A55" s="18">
        <v>364</v>
      </c>
      <c r="B55" s="19" t="str">
        <f>IFERROR(VLOOKUP(A55,CLIENTES!A:E,2,0),"CADASTRAR CLIENTE")</f>
        <v>VITALIS LAB.ANAL.CLIN.S/C LTDA</v>
      </c>
      <c r="C55" s="60" t="s">
        <v>3</v>
      </c>
      <c r="D55" s="60">
        <v>98257</v>
      </c>
      <c r="E55" s="21">
        <v>249.2</v>
      </c>
      <c r="F55" s="19"/>
      <c r="G55" s="21"/>
      <c r="H55" s="19"/>
      <c r="I55" s="20">
        <v>45359</v>
      </c>
    </row>
    <row r="56" spans="1:9">
      <c r="A56" s="18">
        <v>761</v>
      </c>
      <c r="B56" s="19" t="str">
        <f>IFERROR(VLOOKUP(A56,CLIENTES!A:E,2,0),"CADASTRAR CLIENTE")</f>
        <v>EXAME CENTRO DIAG.M.ARACATUBA SC LTDA.</v>
      </c>
      <c r="C56" s="60" t="s">
        <v>3</v>
      </c>
      <c r="D56" s="60">
        <v>71512</v>
      </c>
      <c r="E56" s="21">
        <v>155</v>
      </c>
      <c r="F56" s="19"/>
      <c r="G56" s="21"/>
      <c r="H56" s="19"/>
      <c r="I56" s="20">
        <v>45359</v>
      </c>
    </row>
    <row r="57" spans="1:9">
      <c r="A57" s="18">
        <v>463</v>
      </c>
      <c r="B57" s="19" t="str">
        <f>IFERROR(VLOOKUP(A57,CLIENTES!A:E,2,0),"CADASTRAR CLIENTE")</f>
        <v>MASUDA &amp; MASUDA LABORATORIO CLINICO LTDA</v>
      </c>
      <c r="C57" s="60" t="s">
        <v>3</v>
      </c>
      <c r="D57" s="60">
        <v>71520</v>
      </c>
      <c r="E57" s="21">
        <v>1579.55</v>
      </c>
      <c r="F57" s="19"/>
      <c r="G57" s="21"/>
      <c r="H57" s="19"/>
      <c r="I57" s="20">
        <v>45359</v>
      </c>
    </row>
    <row r="58" spans="1:9">
      <c r="A58" s="18">
        <v>475</v>
      </c>
      <c r="B58" s="19" t="str">
        <f>IFERROR(VLOOKUP(A58,CLIENTES!A:E,2,0),"CADASTRAR CLIENTE")</f>
        <v>LABORATORIO DE ANALISES CLINICAS SRC LTDA</v>
      </c>
      <c r="C58" s="60" t="s">
        <v>3</v>
      </c>
      <c r="D58" s="60">
        <v>98258</v>
      </c>
      <c r="E58" s="21">
        <v>825.87</v>
      </c>
      <c r="F58" s="19"/>
      <c r="G58" s="21"/>
      <c r="H58" s="19"/>
      <c r="I58" s="20">
        <v>45359</v>
      </c>
    </row>
    <row r="59" spans="1:9">
      <c r="A59" s="18">
        <v>475</v>
      </c>
      <c r="B59" s="19" t="str">
        <f>IFERROR(VLOOKUP(A59,CLIENTES!A:E,2,0),"CADASTRAR CLIENTE")</f>
        <v>LABORATORIO DE ANALISES CLINICAS SRC LTDA</v>
      </c>
      <c r="C59" s="60" t="s">
        <v>3</v>
      </c>
      <c r="D59" s="60">
        <v>71522</v>
      </c>
      <c r="E59" s="21">
        <v>3318.64</v>
      </c>
      <c r="F59" s="19"/>
      <c r="G59" s="21"/>
      <c r="H59" s="19"/>
      <c r="I59" s="20">
        <v>45359</v>
      </c>
    </row>
    <row r="60" spans="1:9">
      <c r="A60" s="18">
        <v>1206</v>
      </c>
      <c r="B60" s="19" t="str">
        <f>IFERROR(VLOOKUP(A60,CLIENTES!A:E,2,0),"CADASTRAR CLIENTE")</f>
        <v>LABORATORIO RIO NEGRO CENTER DE MARILIA  LTDA</v>
      </c>
      <c r="C60" s="60" t="s">
        <v>3</v>
      </c>
      <c r="D60" s="60">
        <v>71497</v>
      </c>
      <c r="E60" s="21">
        <v>1970.8</v>
      </c>
      <c r="F60" s="19"/>
      <c r="G60" s="21"/>
      <c r="H60" s="19"/>
      <c r="I60" s="20">
        <v>45362</v>
      </c>
    </row>
    <row r="61" spans="1:9">
      <c r="A61" s="18">
        <v>1726</v>
      </c>
      <c r="B61" s="19" t="str">
        <f>IFERROR(VLOOKUP(A61,CLIENTES!A:E,2,0),"CADASTRAR CLIENTE")</f>
        <v>IRMANDADE DA SANTA CASA DE MISERIC. DE MOGI MIRIM</v>
      </c>
      <c r="C61" s="60" t="s">
        <v>3</v>
      </c>
      <c r="D61" s="60">
        <v>71552</v>
      </c>
      <c r="E61" s="21">
        <v>160</v>
      </c>
      <c r="F61" s="19"/>
      <c r="G61" s="21"/>
      <c r="H61" s="19"/>
      <c r="I61" s="20">
        <v>45362</v>
      </c>
    </row>
    <row r="62" spans="1:9">
      <c r="A62" s="18">
        <v>50418</v>
      </c>
      <c r="B62" s="19" t="str">
        <f>IFERROR(VLOOKUP(A62,CLIENTES!A:E,2,0),"CADASTRAR CLIENTE")</f>
        <v>LABORATORIO SAO LUCAS DE BROTAS SS LTDA</v>
      </c>
      <c r="C62" s="60" t="s">
        <v>3</v>
      </c>
      <c r="D62" s="60">
        <v>71568</v>
      </c>
      <c r="E62" s="21">
        <v>174.14</v>
      </c>
      <c r="F62" s="19"/>
      <c r="G62" s="21"/>
      <c r="H62" s="19"/>
      <c r="I62" s="20">
        <v>45362</v>
      </c>
    </row>
    <row r="63" spans="1:9">
      <c r="A63" s="18">
        <v>632</v>
      </c>
      <c r="B63" s="19" t="str">
        <f>IFERROR(VLOOKUP(A63,CLIENTES!A:E,2,0),"CADASTRAR CLIENTE")</f>
        <v>CADASTRAR CLIENTE</v>
      </c>
      <c r="C63" s="60" t="s">
        <v>3</v>
      </c>
      <c r="D63" s="60">
        <v>71595</v>
      </c>
      <c r="E63" s="21">
        <v>575.41</v>
      </c>
      <c r="F63" s="19"/>
      <c r="G63" s="21"/>
      <c r="H63" s="19"/>
      <c r="I63" s="20">
        <v>45363</v>
      </c>
    </row>
    <row r="64" spans="1:9">
      <c r="A64" s="18">
        <v>475</v>
      </c>
      <c r="B64" s="19" t="str">
        <f>IFERROR(VLOOKUP(A64,CLIENTES!A:E,2,0),"CADASTRAR CLIENTE")</f>
        <v>LABORATORIO DE ANALISES CLINICAS SRC LTDA</v>
      </c>
      <c r="C64" s="60" t="s">
        <v>3</v>
      </c>
      <c r="D64" s="60">
        <v>71570</v>
      </c>
      <c r="E64" s="21">
        <v>1747.2</v>
      </c>
      <c r="F64" s="19"/>
      <c r="G64" s="21"/>
      <c r="H64" s="19"/>
      <c r="I64" s="20">
        <v>45363</v>
      </c>
    </row>
    <row r="65" spans="1:9">
      <c r="A65" s="18">
        <v>475</v>
      </c>
      <c r="B65" s="19" t="str">
        <f>IFERROR(VLOOKUP(A65,CLIENTES!A:E,2,0),"CADASTRAR CLIENTE")</f>
        <v>LABORATORIO DE ANALISES CLINICAS SRC LTDA</v>
      </c>
      <c r="C65" s="60" t="s">
        <v>3</v>
      </c>
      <c r="D65" s="60">
        <v>71310</v>
      </c>
      <c r="E65" s="21">
        <v>1495</v>
      </c>
      <c r="F65" s="19"/>
      <c r="G65" s="21"/>
      <c r="H65" s="19"/>
      <c r="I65" s="20">
        <v>45363</v>
      </c>
    </row>
    <row r="66" spans="1:9">
      <c r="A66" s="18">
        <v>705</v>
      </c>
      <c r="B66" s="19" t="str">
        <f>IFERROR(VLOOKUP(A66,CLIENTES!A:E,2,0),"CADASTRAR CLIENTE")</f>
        <v>JOAO JOSE SCHIAVUZZO ME</v>
      </c>
      <c r="C66" s="60" t="s">
        <v>328</v>
      </c>
      <c r="D66" s="60">
        <v>71599</v>
      </c>
      <c r="E66" s="21">
        <v>550</v>
      </c>
      <c r="F66" s="19"/>
      <c r="G66" s="21"/>
      <c r="H66" s="19"/>
      <c r="I66" s="20">
        <v>45363</v>
      </c>
    </row>
    <row r="67" spans="1:9">
      <c r="A67" s="18">
        <v>2163</v>
      </c>
      <c r="B67" s="19" t="str">
        <f>IFERROR(VLOOKUP(A67,CLIENTES!A:E,2,0),"CADASTRAR CLIENTE")</f>
        <v>BIO-LAB SAO JUDAS TADEU S/C LTDA - ME</v>
      </c>
      <c r="C67" s="60" t="s">
        <v>328</v>
      </c>
      <c r="D67" s="60">
        <v>71607</v>
      </c>
      <c r="E67" s="21">
        <v>1862.9</v>
      </c>
      <c r="F67" s="19"/>
      <c r="G67" s="21"/>
      <c r="H67" s="19"/>
      <c r="I67" s="20">
        <v>45363</v>
      </c>
    </row>
    <row r="68" spans="1:9">
      <c r="A68" s="18">
        <v>50576</v>
      </c>
      <c r="B68" s="19" t="str">
        <f>IFERROR(VLOOKUP(A68,CLIENTES!A:E,2,0),"CADASTRAR CLIENTE")</f>
        <v>ANDRIAO CANEPPA E SILVA LTDA ME</v>
      </c>
      <c r="C68" s="60" t="s">
        <v>329</v>
      </c>
      <c r="D68" s="60">
        <v>71598</v>
      </c>
      <c r="E68" s="21">
        <v>2516.35</v>
      </c>
      <c r="F68" s="19"/>
      <c r="G68" s="21"/>
      <c r="H68" s="19"/>
      <c r="I68" s="20">
        <v>45363</v>
      </c>
    </row>
    <row r="69" spans="1:9">
      <c r="A69" s="18">
        <v>50526</v>
      </c>
      <c r="B69" s="19" t="str">
        <f>IFERROR(VLOOKUP(A69,CLIENTES!A:E,2,0),"CADASTRAR CLIENTE")</f>
        <v>MURILO RIGOTTO TERRASSI</v>
      </c>
      <c r="C69" s="60" t="s">
        <v>329</v>
      </c>
      <c r="D69" s="60">
        <v>98271</v>
      </c>
      <c r="E69" s="21">
        <v>260.7</v>
      </c>
      <c r="F69" s="19"/>
      <c r="G69" s="21"/>
      <c r="H69" s="19"/>
      <c r="I69" s="20">
        <v>45363</v>
      </c>
    </row>
    <row r="70" spans="1:9">
      <c r="A70" s="18">
        <v>516</v>
      </c>
      <c r="B70" s="19" t="str">
        <f>IFERROR(VLOOKUP(A70,CLIENTES!A:E,2,0),"CADASTRAR CLIENTE")</f>
        <v>TECNOLAB PATOLOGIA CLINICA S/C LTDA</v>
      </c>
      <c r="C70" s="60" t="s">
        <v>328</v>
      </c>
      <c r="D70" s="60">
        <v>71509</v>
      </c>
      <c r="E70" s="21">
        <v>2039.6</v>
      </c>
      <c r="F70" s="19"/>
      <c r="G70" s="21"/>
      <c r="H70" s="19"/>
      <c r="I70" s="20">
        <v>45363</v>
      </c>
    </row>
    <row r="71" spans="1:9">
      <c r="A71" s="18">
        <v>480</v>
      </c>
      <c r="B71" s="19" t="str">
        <f>IFERROR(VLOOKUP(A71,CLIENTES!A:E,2,0),"CADASTRAR CLIENTE")</f>
        <v>LAB SAO LUCAS</v>
      </c>
      <c r="C71" s="60" t="s">
        <v>328</v>
      </c>
      <c r="D71" s="60">
        <v>71573</v>
      </c>
      <c r="E71" s="21">
        <v>1076</v>
      </c>
      <c r="F71" s="19"/>
      <c r="G71" s="21"/>
      <c r="H71" s="19"/>
      <c r="I71" s="20">
        <v>45363</v>
      </c>
    </row>
    <row r="72" spans="1:9">
      <c r="A72" s="18">
        <v>480</v>
      </c>
      <c r="B72" s="19" t="str">
        <f>IFERROR(VLOOKUP(A72,CLIENTES!A:E,2,0),"CADASTRAR CLIENTE")</f>
        <v>LAB SAO LUCAS</v>
      </c>
      <c r="C72" s="60" t="s">
        <v>328</v>
      </c>
      <c r="D72" s="60">
        <v>98272</v>
      </c>
      <c r="E72" s="21">
        <v>218.9</v>
      </c>
      <c r="F72" s="19"/>
      <c r="G72" s="21"/>
      <c r="H72" s="19"/>
      <c r="I72" s="20">
        <v>45363</v>
      </c>
    </row>
    <row r="73" spans="1:9">
      <c r="A73" s="18">
        <v>1240</v>
      </c>
      <c r="B73" s="19" t="str">
        <f>IFERROR(VLOOKUP(A73,CLIENTES!A:E,2,0),"CADASTRAR CLIENTE")</f>
        <v>MONICA VIEIRA DE CAMPOS REBELO-ME</v>
      </c>
      <c r="C73" s="60" t="s">
        <v>3</v>
      </c>
      <c r="D73" s="60">
        <v>72526</v>
      </c>
      <c r="E73" s="21">
        <v>1754.22</v>
      </c>
      <c r="F73" s="19"/>
      <c r="G73" s="21"/>
      <c r="H73" s="19"/>
      <c r="I73" s="20">
        <v>45363</v>
      </c>
    </row>
    <row r="74" spans="1:9">
      <c r="A74" s="18">
        <v>3077</v>
      </c>
      <c r="B74" s="19" t="str">
        <f>IFERROR(VLOOKUP(A74,CLIENTES!A:E,2,0),"CADASTRAR CLIENTE")</f>
        <v>CBI ANALISES CLINICAS S/S LTDA</v>
      </c>
      <c r="C74" s="60" t="s">
        <v>328</v>
      </c>
      <c r="D74" s="60">
        <v>71585</v>
      </c>
      <c r="E74" s="21">
        <v>1002.06</v>
      </c>
      <c r="F74" s="19"/>
      <c r="G74" s="21"/>
      <c r="H74" s="19"/>
      <c r="I74" s="20">
        <v>45363</v>
      </c>
    </row>
    <row r="75" spans="1:9">
      <c r="A75" s="18">
        <v>2980</v>
      </c>
      <c r="B75" s="19" t="str">
        <f>IFERROR(VLOOKUP(A75,CLIENTES!A:E,2,0),"CADASTRAR CLIENTE")</f>
        <v>ALMEIDA &amp; FLAITT LABORATORIOS DE ANALISES CLINICAS LTDA</v>
      </c>
      <c r="C75" s="60" t="s">
        <v>3</v>
      </c>
      <c r="D75" s="60">
        <v>71045</v>
      </c>
      <c r="E75" s="21">
        <v>396.4</v>
      </c>
      <c r="F75" s="19"/>
      <c r="G75" s="21"/>
      <c r="H75" s="19"/>
      <c r="I75" s="20">
        <v>45363</v>
      </c>
    </row>
    <row r="76" spans="1:9">
      <c r="A76" s="18">
        <v>756</v>
      </c>
      <c r="B76" s="19" t="str">
        <f>IFERROR(VLOOKUP(A76,CLIENTES!A:E,2,0),"CADASTRAR CLIENTE")</f>
        <v>LAB.TRIANON DE ANAL.CLIN.SC LTDA.</v>
      </c>
      <c r="C76" s="60" t="s">
        <v>3</v>
      </c>
      <c r="D76" s="60">
        <v>71636</v>
      </c>
      <c r="E76" s="21">
        <v>1125.9100000000001</v>
      </c>
      <c r="F76" s="19"/>
      <c r="G76" s="21"/>
      <c r="H76" s="19"/>
      <c r="I76" s="20">
        <v>45364</v>
      </c>
    </row>
    <row r="77" spans="1:9">
      <c r="A77" s="18">
        <v>906</v>
      </c>
      <c r="B77" s="19" t="str">
        <f>IFERROR(VLOOKUP(A77,CLIENTES!A:E,2,0),"CADASTRAR CLIENTE")</f>
        <v>LABORATORIO ANAL. CLIN. DESCALVADO LTDA</v>
      </c>
      <c r="C77" s="60" t="s">
        <v>3</v>
      </c>
      <c r="D77" s="60">
        <v>71646</v>
      </c>
      <c r="E77" s="21">
        <v>8134</v>
      </c>
      <c r="F77" s="19">
        <v>1</v>
      </c>
      <c r="G77" s="21">
        <v>6980</v>
      </c>
      <c r="H77" s="19"/>
      <c r="I77" s="20">
        <v>45364</v>
      </c>
    </row>
    <row r="78" spans="1:9">
      <c r="A78" s="18">
        <v>762</v>
      </c>
      <c r="B78" s="19" t="str">
        <f>IFERROR(VLOOKUP(A78,CLIENTES!A:E,2,0),"CADASTRAR CLIENTE")</f>
        <v>STA. CASA MISERICORDIA DE ARACATUBA</v>
      </c>
      <c r="C78" s="60" t="s">
        <v>3</v>
      </c>
      <c r="D78" s="60">
        <v>71410</v>
      </c>
      <c r="E78" s="21">
        <v>5556.94</v>
      </c>
      <c r="F78" s="19"/>
      <c r="G78" s="21"/>
      <c r="H78" s="19"/>
      <c r="I78" s="20">
        <v>45364</v>
      </c>
    </row>
    <row r="79" spans="1:9">
      <c r="A79" s="18">
        <v>762</v>
      </c>
      <c r="B79" s="19" t="str">
        <f>IFERROR(VLOOKUP(A79,CLIENTES!A:E,2,0),"CADASTRAR CLIENTE")</f>
        <v>STA. CASA MISERICORDIA DE ARACATUBA</v>
      </c>
      <c r="C79" s="60" t="s">
        <v>3</v>
      </c>
      <c r="D79" s="60">
        <v>71410</v>
      </c>
      <c r="E79" s="21">
        <v>10289.85</v>
      </c>
      <c r="F79" s="19"/>
      <c r="G79" s="21"/>
      <c r="H79" s="19"/>
      <c r="I79" s="20">
        <v>45364</v>
      </c>
    </row>
    <row r="80" spans="1:9">
      <c r="A80" s="18">
        <v>724</v>
      </c>
      <c r="B80" s="19" t="str">
        <f>IFERROR(VLOOKUP(A80,CLIENTES!A:E,2,0),"CADASTRAR CLIENTE")</f>
        <v>LAB. ANAL. CLIN. DRA SILVIA M.MANZATO LARANJO SC LTDA.</v>
      </c>
      <c r="C80" s="60" t="s">
        <v>3</v>
      </c>
      <c r="D80" s="60">
        <v>71670</v>
      </c>
      <c r="E80" s="21">
        <v>978.8</v>
      </c>
      <c r="F80" s="19"/>
      <c r="G80" s="21"/>
      <c r="H80" s="19"/>
      <c r="I80" s="20">
        <v>45364</v>
      </c>
    </row>
    <row r="81" spans="1:9">
      <c r="A81" s="18">
        <v>475</v>
      </c>
      <c r="B81" s="19" t="str">
        <f>IFERROR(VLOOKUP(A81,CLIENTES!A:E,2,0),"CADASTRAR CLIENTE")</f>
        <v>LABORATORIO DE ANALISES CLINICAS SRC LTDA</v>
      </c>
      <c r="C81" s="60" t="s">
        <v>3</v>
      </c>
      <c r="D81" s="60">
        <v>71693</v>
      </c>
      <c r="E81" s="21">
        <v>3860</v>
      </c>
      <c r="F81" s="19"/>
      <c r="G81" s="21"/>
      <c r="H81" s="19"/>
      <c r="I81" s="20">
        <v>45365</v>
      </c>
    </row>
    <row r="82" spans="1:9">
      <c r="A82" s="18">
        <v>1194</v>
      </c>
      <c r="B82" s="19" t="str">
        <f>IFERROR(VLOOKUP(A82,CLIENTES!A:E,2,0),"CADASTRAR CLIENTE")</f>
        <v>CADASTRAR CLIENTE</v>
      </c>
      <c r="C82" s="60" t="s">
        <v>328</v>
      </c>
      <c r="D82" s="60">
        <v>71484</v>
      </c>
      <c r="E82" s="21">
        <v>572</v>
      </c>
      <c r="F82" s="19"/>
      <c r="G82" s="21"/>
      <c r="H82" s="19"/>
      <c r="I82" s="20">
        <v>45365</v>
      </c>
    </row>
    <row r="83" spans="1:9">
      <c r="A83" s="18">
        <v>335</v>
      </c>
      <c r="B83" s="19" t="str">
        <f>IFERROR(VLOOKUP(A83,CLIENTES!A:E,2,0),"CADASTRAR CLIENTE")</f>
        <v>LABORATORIO VIDA  S/S LTDA</v>
      </c>
      <c r="C83" s="60" t="s">
        <v>328</v>
      </c>
      <c r="D83" s="60">
        <v>98205</v>
      </c>
      <c r="E83" s="21">
        <v>43.6</v>
      </c>
      <c r="F83" s="19"/>
      <c r="G83" s="21"/>
      <c r="H83" s="19"/>
      <c r="I83" s="20">
        <v>45365</v>
      </c>
    </row>
    <row r="84" spans="1:9">
      <c r="A84" s="18">
        <v>335</v>
      </c>
      <c r="B84" s="19" t="str">
        <f>IFERROR(VLOOKUP(A84,CLIENTES!A:E,2,0),"CADASTRAR CLIENTE")</f>
        <v>LABORATORIO VIDA  S/S LTDA</v>
      </c>
      <c r="C84" s="60" t="s">
        <v>328</v>
      </c>
      <c r="D84" s="60">
        <v>71659</v>
      </c>
      <c r="E84" s="21">
        <v>47.5</v>
      </c>
      <c r="F84" s="19"/>
      <c r="G84" s="21"/>
      <c r="H84" s="19"/>
      <c r="I84" s="20">
        <v>45365</v>
      </c>
    </row>
    <row r="85" spans="1:9">
      <c r="A85" s="18">
        <v>432</v>
      </c>
      <c r="B85" s="19" t="str">
        <f>IFERROR(VLOOKUP(A85,CLIENTES!A:E,2,0),"CADASTRAR CLIENTE")</f>
        <v>LABORATORIO PASTEUR HEMATOLOGIA E MICROBIOLOGIA S/S LTDA</v>
      </c>
      <c r="C85" s="60" t="s">
        <v>3</v>
      </c>
      <c r="D85" s="60">
        <v>71686</v>
      </c>
      <c r="E85" s="21">
        <v>161.4</v>
      </c>
      <c r="F85" s="19"/>
      <c r="G85" s="21"/>
      <c r="H85" s="19"/>
      <c r="I85" s="20">
        <v>45366</v>
      </c>
    </row>
    <row r="86" spans="1:9">
      <c r="A86" s="18">
        <v>2203</v>
      </c>
      <c r="B86" s="19" t="str">
        <f>IFERROR(VLOOKUP(A86,CLIENTES!A:E,2,0),"CADASTRAR CLIENTE")</f>
        <v>FUNDACAO EDUCACIONAL DE ANDRADINA-FEA</v>
      </c>
      <c r="C86" s="60" t="s">
        <v>2</v>
      </c>
      <c r="D86" s="60">
        <v>71649</v>
      </c>
      <c r="E86" s="21">
        <v>1473.2</v>
      </c>
      <c r="F86" s="19"/>
      <c r="G86" s="21"/>
      <c r="H86" s="19"/>
      <c r="I86" s="20">
        <v>45366</v>
      </c>
    </row>
    <row r="87" spans="1:9">
      <c r="A87" s="18">
        <v>50219</v>
      </c>
      <c r="B87" s="19" t="str">
        <f>IFERROR(VLOOKUP(A87,CLIENTES!A:E,2,0),"CADASTRAR CLIENTE")</f>
        <v>UNIPREV LAB DE ANALISES LOCACAO DE BENS E REPAROS LTDA EPP</v>
      </c>
      <c r="C87" s="60" t="s">
        <v>3</v>
      </c>
      <c r="D87" s="60">
        <v>71770</v>
      </c>
      <c r="E87" s="21">
        <v>60</v>
      </c>
      <c r="F87" s="19"/>
      <c r="G87" s="21"/>
      <c r="H87" s="19"/>
      <c r="I87" s="20">
        <v>45369</v>
      </c>
    </row>
    <row r="88" spans="1:9">
      <c r="A88" s="18">
        <v>746</v>
      </c>
      <c r="B88" s="19" t="str">
        <f>IFERROR(VLOOKUP(A88,CLIENTES!A:E,2,0),"CADASTRAR CLIENTE")</f>
        <v>LAB.ANAL.CLIN.BIOCLIN SC LTDA.</v>
      </c>
      <c r="C88" s="60" t="s">
        <v>328</v>
      </c>
      <c r="D88" s="60">
        <v>71787</v>
      </c>
      <c r="E88" s="21">
        <v>1110</v>
      </c>
      <c r="F88" s="19"/>
      <c r="G88" s="21"/>
      <c r="H88" s="19"/>
      <c r="I88" s="20">
        <v>45369</v>
      </c>
    </row>
    <row r="89" spans="1:9">
      <c r="A89" s="18">
        <v>2022</v>
      </c>
      <c r="B89" s="19" t="str">
        <f>IFERROR(VLOOKUP(A89,CLIENTES!A:E,2,0),"CADASTRAR CLIENTE")</f>
        <v>LAB. MEDICO DR. MARICONDI S/C LTDA.</v>
      </c>
      <c r="C89" s="60" t="s">
        <v>3</v>
      </c>
      <c r="D89" s="60">
        <v>71465</v>
      </c>
      <c r="E89" s="21">
        <v>308</v>
      </c>
      <c r="F89" s="19"/>
      <c r="G89" s="21"/>
      <c r="H89" s="19"/>
      <c r="I89" s="20">
        <v>45369</v>
      </c>
    </row>
    <row r="90" spans="1:9">
      <c r="A90" s="18">
        <v>575</v>
      </c>
      <c r="B90" s="19" t="str">
        <f>IFERROR(VLOOKUP(A90,CLIENTES!A:E,2,0),"CADASTRAR CLIENTE")</f>
        <v>DR MUNHOZ HOSPITAL VETERINARIO E PET SHOP</v>
      </c>
      <c r="C90" s="60" t="s">
        <v>2</v>
      </c>
      <c r="D90" s="60">
        <v>71780</v>
      </c>
      <c r="E90" s="21">
        <v>734.73</v>
      </c>
      <c r="F90" s="19"/>
      <c r="G90" s="21"/>
      <c r="H90" s="19"/>
      <c r="I90" s="20">
        <v>45369</v>
      </c>
    </row>
    <row r="91" spans="1:9">
      <c r="A91" s="18">
        <v>311</v>
      </c>
      <c r="B91" s="19" t="str">
        <f>IFERROR(VLOOKUP(A91,CLIENTES!A:E,2,0),"CADASTRAR CLIENTE")</f>
        <v>CENTRO DE ANAL.CLIN. UNILAB  SC LTDA.</v>
      </c>
      <c r="C91" s="60" t="s">
        <v>3</v>
      </c>
      <c r="D91" s="60">
        <v>98292</v>
      </c>
      <c r="E91" s="21">
        <v>758.4</v>
      </c>
      <c r="F91" s="19"/>
      <c r="G91" s="21"/>
      <c r="H91" s="19"/>
      <c r="I91" s="20">
        <v>45369</v>
      </c>
    </row>
    <row r="92" spans="1:9">
      <c r="A92" s="18">
        <v>311</v>
      </c>
      <c r="B92" s="19" t="str">
        <f>IFERROR(VLOOKUP(A92,CLIENTES!A:E,2,0),"CADASTRAR CLIENTE")</f>
        <v>CENTRO DE ANAL.CLIN. UNILAB  SC LTDA.</v>
      </c>
      <c r="C92" s="60" t="s">
        <v>3</v>
      </c>
      <c r="D92" s="60">
        <v>71795</v>
      </c>
      <c r="E92" s="21">
        <v>552.6</v>
      </c>
      <c r="F92" s="19"/>
      <c r="G92" s="21"/>
      <c r="H92" s="19"/>
      <c r="I92" s="20">
        <v>45369</v>
      </c>
    </row>
    <row r="93" spans="1:9">
      <c r="A93" s="18">
        <v>575</v>
      </c>
      <c r="B93" s="19" t="str">
        <f>IFERROR(VLOOKUP(A93,CLIENTES!A:E,2,0),"CADASTRAR CLIENTE")</f>
        <v>DR MUNHOZ HOSPITAL VETERINARIO E PET SHOP</v>
      </c>
      <c r="C93" s="60" t="s">
        <v>328</v>
      </c>
      <c r="D93" s="60">
        <v>71780</v>
      </c>
      <c r="E93" s="21">
        <v>734.73</v>
      </c>
      <c r="F93" s="19"/>
      <c r="G93" s="21"/>
      <c r="H93" s="19"/>
      <c r="I93" s="20">
        <v>45369</v>
      </c>
    </row>
    <row r="94" spans="1:9">
      <c r="A94" s="18">
        <v>575</v>
      </c>
      <c r="B94" s="19" t="str">
        <f>IFERROR(VLOOKUP(A94,CLIENTES!A:E,2,0),"CADASTRAR CLIENTE")</f>
        <v>DR MUNHOZ HOSPITAL VETERINARIO E PET SHOP</v>
      </c>
      <c r="C94" s="60" t="s">
        <v>2</v>
      </c>
      <c r="D94" s="60">
        <v>70835</v>
      </c>
      <c r="E94" s="21">
        <v>252.5</v>
      </c>
      <c r="F94" s="19"/>
      <c r="G94" s="21"/>
      <c r="H94" s="19"/>
      <c r="I94" s="20">
        <v>45369</v>
      </c>
    </row>
    <row r="95" spans="1:9">
      <c r="A95" s="18">
        <v>1842</v>
      </c>
      <c r="B95" s="19" t="str">
        <f>IFERROR(VLOOKUP(A95,CLIENTES!A:E,2,0),"CADASTRAR CLIENTE")</f>
        <v>LABORATORIO UNILABVET EIRELI</v>
      </c>
      <c r="C95" s="60" t="s">
        <v>3</v>
      </c>
      <c r="D95" s="60">
        <v>98294</v>
      </c>
      <c r="E95" s="21">
        <v>112.45</v>
      </c>
      <c r="F95" s="19"/>
      <c r="G95" s="21"/>
      <c r="H95" s="19"/>
      <c r="I95" s="20">
        <v>45369</v>
      </c>
    </row>
    <row r="96" spans="1:9">
      <c r="A96" s="18">
        <v>1842</v>
      </c>
      <c r="B96" s="19" t="str">
        <f>IFERROR(VLOOKUP(A96,CLIENTES!A:E,2,0),"CADASTRAR CLIENTE")</f>
        <v>LABORATORIO UNILABVET EIRELI</v>
      </c>
      <c r="C96" s="60" t="s">
        <v>3</v>
      </c>
      <c r="D96" s="60">
        <v>71804</v>
      </c>
      <c r="E96" s="21">
        <v>185.5</v>
      </c>
      <c r="F96" s="19"/>
      <c r="G96" s="21"/>
      <c r="H96" s="19"/>
      <c r="I96" s="20">
        <v>45369</v>
      </c>
    </row>
    <row r="97" spans="1:9">
      <c r="A97" s="18">
        <v>1813</v>
      </c>
      <c r="B97" s="19" t="str">
        <f>IFERROR(VLOOKUP(A97,CLIENTES!A:E,2,0),"CADASTRAR CLIENTE")</f>
        <v>BIOMED LAB.ANAL.CLIN. SC  LTDA</v>
      </c>
      <c r="C97" s="60" t="s">
        <v>3</v>
      </c>
      <c r="D97" s="60">
        <v>71794</v>
      </c>
      <c r="E97" s="21">
        <v>1007.2</v>
      </c>
      <c r="F97" s="19"/>
      <c r="G97" s="21"/>
      <c r="H97" s="19"/>
      <c r="I97" s="20">
        <v>45369</v>
      </c>
    </row>
    <row r="98" spans="1:9">
      <c r="A98" s="18">
        <v>704</v>
      </c>
      <c r="B98" s="19" t="str">
        <f>IFERROR(VLOOKUP(A98,CLIENTES!A:E,2,0),"CADASTRAR CLIENTE")</f>
        <v>LAB. ONUMA E BASILIO S/C LTDA</v>
      </c>
      <c r="C98" s="60" t="s">
        <v>328</v>
      </c>
      <c r="D98" s="60">
        <v>71833</v>
      </c>
      <c r="E98" s="21">
        <v>895.5</v>
      </c>
      <c r="F98" s="19"/>
      <c r="G98" s="21"/>
      <c r="H98" s="19"/>
      <c r="I98" s="20">
        <v>45369</v>
      </c>
    </row>
    <row r="99" spans="1:9">
      <c r="A99" s="18">
        <v>704</v>
      </c>
      <c r="B99" s="19" t="str">
        <f>IFERROR(VLOOKUP(A99,CLIENTES!A:E,2,0),"CADASTRAR CLIENTE")</f>
        <v>LAB. ONUMA E BASILIO S/C LTDA</v>
      </c>
      <c r="C99" s="60" t="s">
        <v>328</v>
      </c>
      <c r="D99" s="60">
        <v>98304</v>
      </c>
      <c r="E99" s="21">
        <v>255.85</v>
      </c>
      <c r="F99" s="19"/>
      <c r="G99" s="21"/>
      <c r="H99" s="19"/>
      <c r="I99" s="20">
        <v>45369</v>
      </c>
    </row>
    <row r="100" spans="1:9">
      <c r="A100" s="18">
        <v>1533</v>
      </c>
      <c r="B100" s="19" t="str">
        <f>IFERROR(VLOOKUP(A100,CLIENTES!A:E,2,0),"CADASTRAR CLIENTE")</f>
        <v>LABORATORIO BIOANALISE DIAGNOSTICO LTDA</v>
      </c>
      <c r="C100" s="60" t="s">
        <v>3</v>
      </c>
      <c r="D100" s="60">
        <v>98303</v>
      </c>
      <c r="E100" s="21">
        <v>520.61</v>
      </c>
      <c r="F100" s="19"/>
      <c r="G100" s="21"/>
      <c r="H100" s="19"/>
      <c r="I100" s="20">
        <v>45369</v>
      </c>
    </row>
    <row r="101" spans="1:9">
      <c r="A101" s="18">
        <v>756</v>
      </c>
      <c r="B101" s="19" t="str">
        <f>IFERROR(VLOOKUP(A101,CLIENTES!A:E,2,0),"CADASTRAR CLIENTE")</f>
        <v>LAB.TRIANON DE ANAL.CLIN.SC LTDA.</v>
      </c>
      <c r="C101" s="60" t="s">
        <v>328</v>
      </c>
      <c r="D101" s="60">
        <v>71840</v>
      </c>
      <c r="E101" s="21">
        <v>109</v>
      </c>
      <c r="F101" s="19"/>
      <c r="G101" s="21"/>
      <c r="H101" s="19"/>
      <c r="I101" s="20">
        <v>45369</v>
      </c>
    </row>
    <row r="102" spans="1:9">
      <c r="A102" s="18">
        <v>572</v>
      </c>
      <c r="B102" s="19" t="str">
        <f>IFERROR(VLOOKUP(A102,CLIENTES!A:E,2,0),"CADASTRAR CLIENTE")</f>
        <v>LABORATORIO MULTIANALISES LTDA-ME</v>
      </c>
      <c r="C102" s="60" t="s">
        <v>3</v>
      </c>
      <c r="D102" s="60">
        <v>71687</v>
      </c>
      <c r="E102" s="21">
        <v>1658.85</v>
      </c>
      <c r="F102" s="19"/>
      <c r="G102" s="21"/>
      <c r="H102" s="19"/>
      <c r="I102" s="20">
        <v>45369</v>
      </c>
    </row>
    <row r="103" spans="1:9">
      <c r="A103" s="18">
        <v>1206</v>
      </c>
      <c r="B103" s="19" t="str">
        <f>IFERROR(VLOOKUP(A103,CLIENTES!A:E,2,0),"CADASTRAR CLIENTE")</f>
        <v>LABORATORIO RIO NEGRO CENTER DE MARILIA  LTDA</v>
      </c>
      <c r="C103" s="60" t="s">
        <v>328</v>
      </c>
      <c r="D103" s="60">
        <v>71847</v>
      </c>
      <c r="E103" s="21">
        <v>1320</v>
      </c>
      <c r="F103" s="19"/>
      <c r="G103" s="21"/>
      <c r="H103" s="19"/>
      <c r="I103" s="20">
        <v>45370</v>
      </c>
    </row>
    <row r="104" spans="1:9">
      <c r="A104" s="18">
        <v>516</v>
      </c>
      <c r="B104" s="19" t="str">
        <f>IFERROR(VLOOKUP(A104,CLIENTES!A:E,2,0),"CADASTRAR CLIENTE")</f>
        <v>TECNOLAB PATOLOGIA CLINICA S/C LTDA</v>
      </c>
      <c r="C104" s="60" t="s">
        <v>2</v>
      </c>
      <c r="D104" s="60">
        <v>71843</v>
      </c>
      <c r="E104" s="21">
        <v>15108.13</v>
      </c>
      <c r="F104" s="19"/>
      <c r="G104" s="21"/>
      <c r="H104" s="19"/>
      <c r="I104" s="20">
        <v>45370</v>
      </c>
    </row>
    <row r="105" spans="1:9">
      <c r="A105" s="18">
        <v>2655</v>
      </c>
      <c r="B105" s="19" t="str">
        <f>IFERROR(VLOOKUP(A105,CLIENTES!A:E,2,0),"CADASTRAR CLIENTE")</f>
        <v>LABORATORIO JUNHO TEIXEIRA LTDA</v>
      </c>
      <c r="C105" s="60" t="s">
        <v>3</v>
      </c>
      <c r="D105" s="60">
        <v>71792</v>
      </c>
      <c r="E105" s="21">
        <v>909.71</v>
      </c>
      <c r="F105" s="19"/>
      <c r="G105" s="21"/>
      <c r="H105" s="19"/>
      <c r="I105" s="20">
        <v>45370</v>
      </c>
    </row>
    <row r="106" spans="1:9">
      <c r="A106" s="18">
        <v>874</v>
      </c>
      <c r="B106" s="19" t="str">
        <f>IFERROR(VLOOKUP(A106,CLIENTES!A:E,2,0),"CADASTRAR CLIENTE")</f>
        <v>LAB.ANAL.CLIN ABI JAUDI SC LTDA.</v>
      </c>
      <c r="C106" s="60" t="s">
        <v>3</v>
      </c>
      <c r="D106" s="60">
        <v>71859</v>
      </c>
      <c r="E106" s="21">
        <v>1316.27</v>
      </c>
      <c r="F106" s="19"/>
      <c r="G106" s="21"/>
      <c r="H106" s="19"/>
      <c r="I106" s="20">
        <v>45370</v>
      </c>
    </row>
    <row r="107" spans="1:9">
      <c r="A107" s="18">
        <v>724</v>
      </c>
      <c r="B107" s="19" t="str">
        <f>IFERROR(VLOOKUP(A107,CLIENTES!A:E,2,0),"CADASTRAR CLIENTE")</f>
        <v>LAB. ANAL. CLIN. DRA SILVIA M.MANZATO LARANJO SC LTDA.</v>
      </c>
      <c r="C107" s="60" t="s">
        <v>3</v>
      </c>
      <c r="D107" s="60">
        <v>71673</v>
      </c>
      <c r="E107" s="21">
        <v>450</v>
      </c>
      <c r="F107" s="19"/>
      <c r="G107" s="21"/>
      <c r="H107" s="19"/>
      <c r="I107" s="20">
        <v>45370</v>
      </c>
    </row>
    <row r="108" spans="1:9">
      <c r="A108" s="18">
        <v>724</v>
      </c>
      <c r="B108" s="19" t="str">
        <f>IFERROR(VLOOKUP(A108,CLIENTES!A:E,2,0),"CADASTRAR CLIENTE")</f>
        <v>LAB. ANAL. CLIN. DRA SILVIA M.MANZATO LARANJO SC LTDA.</v>
      </c>
      <c r="C108" s="60" t="s">
        <v>3</v>
      </c>
      <c r="D108" s="60">
        <v>71670</v>
      </c>
      <c r="E108" s="21">
        <v>406.8</v>
      </c>
      <c r="F108" s="19"/>
      <c r="G108" s="21"/>
      <c r="H108" s="19"/>
      <c r="I108" s="20">
        <v>45370</v>
      </c>
    </row>
    <row r="109" spans="1:9">
      <c r="A109" s="18">
        <v>50219</v>
      </c>
      <c r="B109" s="19" t="str">
        <f>IFERROR(VLOOKUP(A109,CLIENTES!A:E,2,0),"CADASTRAR CLIENTE")</f>
        <v>UNIPREV LAB DE ANALISES LOCACAO DE BENS E REPAROS LTDA EPP</v>
      </c>
      <c r="C109" s="60" t="s">
        <v>3</v>
      </c>
      <c r="D109" s="60">
        <v>71770</v>
      </c>
      <c r="E109" s="21">
        <v>60</v>
      </c>
      <c r="F109" s="19"/>
      <c r="G109" s="21"/>
      <c r="H109" s="19"/>
      <c r="I109" s="20">
        <v>45370</v>
      </c>
    </row>
    <row r="110" spans="1:9">
      <c r="A110" s="18">
        <v>1770</v>
      </c>
      <c r="B110" s="19" t="str">
        <f>IFERROR(VLOOKUP(A110,CLIENTES!A:E,2,0),"CADASTRAR CLIENTE")</f>
        <v>CADASTRAR CLIENTE</v>
      </c>
      <c r="C110" s="60" t="s">
        <v>2</v>
      </c>
      <c r="D110" s="60">
        <v>71571</v>
      </c>
      <c r="E110" s="21">
        <v>745.07</v>
      </c>
      <c r="F110" s="19"/>
      <c r="G110" s="21"/>
      <c r="H110" s="19"/>
      <c r="I110" s="20">
        <v>45370</v>
      </c>
    </row>
    <row r="111" spans="1:9">
      <c r="A111" s="18">
        <v>1806</v>
      </c>
      <c r="B111" s="19" t="str">
        <f>IFERROR(VLOOKUP(A111,CLIENTES!A:E,2,0),"CADASTRAR CLIENTE")</f>
        <v>LABORATORIO DE ANALISES CLINICAS SENTOME LTDA-ME</v>
      </c>
      <c r="C111" s="60" t="s">
        <v>2</v>
      </c>
      <c r="D111" s="60">
        <v>71903</v>
      </c>
      <c r="E111" s="21">
        <v>479.01</v>
      </c>
      <c r="F111" s="19"/>
      <c r="G111" s="21"/>
      <c r="H111" s="19"/>
      <c r="I111" s="20">
        <v>45371</v>
      </c>
    </row>
    <row r="112" spans="1:9">
      <c r="A112" s="18">
        <v>832</v>
      </c>
      <c r="B112" s="19" t="str">
        <f>IFERROR(VLOOKUP(A112,CLIENTES!A:E,2,0),"CADASTRAR CLIENTE")</f>
        <v>ASSOCIACAO DE ENSINO E CULTURA DE MATO GROSSO</v>
      </c>
      <c r="C112" s="60" t="s">
        <v>328</v>
      </c>
      <c r="D112" s="60">
        <v>71345</v>
      </c>
      <c r="E112" s="21">
        <v>1290</v>
      </c>
      <c r="F112" s="19"/>
      <c r="G112" s="21"/>
      <c r="H112" s="19"/>
      <c r="I112" s="20">
        <v>45371</v>
      </c>
    </row>
    <row r="113" spans="1:9">
      <c r="A113" s="18">
        <v>708</v>
      </c>
      <c r="B113" s="19" t="str">
        <f>IFERROR(VLOOKUP(A113,CLIENTES!A:E,2,0),"CADASTRAR CLIENTE")</f>
        <v>IMEDI INST.MEDICO DE PAT.E DIAGNOSTICO SC LTDA.</v>
      </c>
      <c r="C113" s="60" t="s">
        <v>3</v>
      </c>
      <c r="D113" s="60">
        <v>71934</v>
      </c>
      <c r="E113" s="21">
        <v>242.5</v>
      </c>
      <c r="F113" s="19"/>
      <c r="G113" s="21"/>
      <c r="H113" s="19"/>
      <c r="I113" s="20">
        <v>45371</v>
      </c>
    </row>
    <row r="114" spans="1:9">
      <c r="A114" s="18">
        <v>1623</v>
      </c>
      <c r="B114" s="19" t="str">
        <f>IFERROR(VLOOKUP(A114,CLIENTES!A:E,2,0),"CADASTRAR CLIENTE")</f>
        <v>LAB.ANAL.CLIN. E REP. BADY BASSIT LTDA</v>
      </c>
      <c r="C114" s="60" t="s">
        <v>328</v>
      </c>
      <c r="D114" s="60">
        <v>70900</v>
      </c>
      <c r="E114" s="21">
        <v>857.8</v>
      </c>
      <c r="F114" s="19"/>
      <c r="G114" s="21"/>
      <c r="H114" s="19"/>
      <c r="I114" s="20">
        <v>45371</v>
      </c>
    </row>
    <row r="115" spans="1:9">
      <c r="A115" s="18">
        <v>1533</v>
      </c>
      <c r="B115" s="19" t="str">
        <f>IFERROR(VLOOKUP(A115,CLIENTES!A:E,2,0),"CADASTRAR CLIENTE")</f>
        <v>LABORATORIO BIOANALISE DIAGNOSTICO LTDA</v>
      </c>
      <c r="C115" s="60" t="s">
        <v>3</v>
      </c>
      <c r="D115" s="60">
        <v>71941</v>
      </c>
      <c r="E115" s="21">
        <v>103.4</v>
      </c>
      <c r="F115" s="19"/>
      <c r="G115" s="21"/>
      <c r="H115" s="19"/>
      <c r="I115" s="20">
        <v>45372</v>
      </c>
    </row>
    <row r="116" spans="1:9">
      <c r="A116" s="18">
        <v>1533</v>
      </c>
      <c r="B116" s="19" t="str">
        <f>IFERROR(VLOOKUP(A116,CLIENTES!A:E,2,0),"CADASTRAR CLIENTE")</f>
        <v>LABORATORIO BIOANALISE DIAGNOSTICO LTDA</v>
      </c>
      <c r="C116" s="60" t="s">
        <v>3</v>
      </c>
      <c r="D116" s="60">
        <v>98320</v>
      </c>
      <c r="E116" s="21">
        <v>59.25</v>
      </c>
      <c r="F116" s="19"/>
      <c r="G116" s="21"/>
      <c r="H116" s="19"/>
      <c r="I116" s="20">
        <v>45372</v>
      </c>
    </row>
    <row r="117" spans="1:9">
      <c r="A117" s="18">
        <v>50558</v>
      </c>
      <c r="B117" s="19" t="str">
        <f>IFERROR(VLOOKUP(A117,CLIENTES!A:E,2,0),"CADASTRAR CLIENTE")</f>
        <v>FUNDACAO PAULISTA DE TECNOLOGIA E EDUCACAO</v>
      </c>
      <c r="C117" s="60" t="s">
        <v>2</v>
      </c>
      <c r="D117" s="60">
        <v>71990</v>
      </c>
      <c r="E117" s="21">
        <v>3110</v>
      </c>
      <c r="F117" s="19"/>
      <c r="G117" s="21"/>
      <c r="H117" s="19"/>
      <c r="I117" s="20">
        <v>45372</v>
      </c>
    </row>
    <row r="118" spans="1:9">
      <c r="A118" s="18">
        <v>1164</v>
      </c>
      <c r="B118" s="19" t="str">
        <f>IFERROR(VLOOKUP(A118,CLIENTES!A:E,2,0),"CADASTRAR CLIENTE")</f>
        <v>LAB. ANAL. CLIN. SAO LOURENCO S/C LTDA</v>
      </c>
      <c r="C118" s="60" t="s">
        <v>328</v>
      </c>
      <c r="D118" s="60">
        <v>71992</v>
      </c>
      <c r="E118" s="21">
        <v>421</v>
      </c>
      <c r="F118" s="19"/>
      <c r="G118" s="21"/>
      <c r="H118" s="19"/>
      <c r="I118" s="20">
        <v>45372</v>
      </c>
    </row>
    <row r="119" spans="1:9">
      <c r="A119" s="18">
        <v>1164</v>
      </c>
      <c r="B119" s="19" t="str">
        <f>IFERROR(VLOOKUP(A119,CLIENTES!A:E,2,0),"CADASTRAR CLIENTE")</f>
        <v>LAB. ANAL. CLIN. SAO LOURENCO S/C LTDA</v>
      </c>
      <c r="C119" s="60" t="s">
        <v>328</v>
      </c>
      <c r="D119" s="60">
        <v>98313</v>
      </c>
      <c r="E119" s="21">
        <v>100.74</v>
      </c>
      <c r="F119" s="19"/>
      <c r="G119" s="21"/>
      <c r="H119" s="19"/>
      <c r="I119" s="20">
        <v>45372</v>
      </c>
    </row>
    <row r="120" spans="1:9">
      <c r="A120" s="18">
        <v>3475</v>
      </c>
      <c r="B120" s="19" t="str">
        <f>IFERROR(VLOOKUP(A120,CLIENTES!A:E,2,0),"CADASTRAR CLIENTE")</f>
        <v>LQF LABORATORIO QUIMICO FARMACEUTICO RIO PRETO EIRELI - ME</v>
      </c>
      <c r="C120" s="60" t="s">
        <v>3</v>
      </c>
      <c r="D120" s="60">
        <v>71995</v>
      </c>
      <c r="E120" s="21">
        <v>458.9</v>
      </c>
      <c r="F120" s="19"/>
      <c r="G120" s="21"/>
      <c r="H120" s="19"/>
      <c r="I120" s="20">
        <v>45372</v>
      </c>
    </row>
    <row r="121" spans="1:9">
      <c r="A121" s="18">
        <v>832</v>
      </c>
      <c r="B121" s="19" t="str">
        <f>IFERROR(VLOOKUP(A121,CLIENTES!A:E,2,0),"CADASTRAR CLIENTE")</f>
        <v>ASSOCIACAO DE ENSINO E CULTURA DE MATO GROSSO</v>
      </c>
      <c r="C121" s="60" t="s">
        <v>3</v>
      </c>
      <c r="D121" s="60">
        <v>71504</v>
      </c>
      <c r="E121" s="21">
        <v>581.25</v>
      </c>
      <c r="F121" s="19"/>
      <c r="G121" s="21"/>
      <c r="H121" s="19"/>
      <c r="I121" s="20">
        <v>45373</v>
      </c>
    </row>
    <row r="122" spans="1:9">
      <c r="A122" s="18">
        <v>1842</v>
      </c>
      <c r="B122" s="19" t="str">
        <f>IFERROR(VLOOKUP(A122,CLIENTES!A:E,2,0),"CADASTRAR CLIENTE")</f>
        <v>LABORATORIO UNILABVET EIRELI</v>
      </c>
      <c r="C122" s="60" t="s">
        <v>3</v>
      </c>
      <c r="D122" s="60">
        <v>71804</v>
      </c>
      <c r="E122" s="21">
        <v>516.29</v>
      </c>
      <c r="F122" s="19"/>
      <c r="G122" s="21"/>
      <c r="H122" s="19"/>
      <c r="I122" s="20">
        <v>45372</v>
      </c>
    </row>
    <row r="123" spans="1:9">
      <c r="A123" s="18">
        <v>3190</v>
      </c>
      <c r="B123" s="19" t="str">
        <f>IFERROR(VLOOKUP(A123,CLIENTES!A:E,2,0),"CADASTRAR CLIENTE")</f>
        <v>C D A CENTRO DE DIAGNOSTICO VETERINARIO</v>
      </c>
      <c r="C123" s="60" t="s">
        <v>3</v>
      </c>
      <c r="D123" s="60">
        <v>71580</v>
      </c>
      <c r="E123" s="21">
        <v>1382.28</v>
      </c>
      <c r="F123" s="19"/>
      <c r="G123" s="21"/>
      <c r="H123" s="19"/>
      <c r="I123" s="20">
        <v>45372</v>
      </c>
    </row>
    <row r="124" spans="1:9">
      <c r="A124" s="18">
        <v>3327</v>
      </c>
      <c r="B124" s="19" t="str">
        <f>IFERROR(VLOOKUP(A124,CLIENTES!A:E,2,0),"CADASTRAR CLIENTE")</f>
        <v>CADASTRAR CLIENTE</v>
      </c>
      <c r="C124" s="60" t="s">
        <v>3</v>
      </c>
      <c r="D124" s="60">
        <v>72008</v>
      </c>
      <c r="E124" s="21">
        <v>48</v>
      </c>
      <c r="F124" s="19"/>
      <c r="G124" s="21"/>
      <c r="H124" s="19"/>
      <c r="I124" s="20">
        <v>45373</v>
      </c>
    </row>
    <row r="125" spans="1:9">
      <c r="A125" s="18">
        <v>475</v>
      </c>
      <c r="B125" s="19" t="str">
        <f>IFERROR(VLOOKUP(A125,CLIENTES!A:E,2,0),"CADASTRAR CLIENTE")</f>
        <v>LABORATORIO DE ANALISES CLINICAS SRC LTDA</v>
      </c>
      <c r="C125" s="60" t="s">
        <v>3</v>
      </c>
      <c r="D125" s="60">
        <v>71937</v>
      </c>
      <c r="E125" s="21">
        <v>6848.48</v>
      </c>
      <c r="F125" s="19"/>
      <c r="G125" s="21"/>
      <c r="H125" s="19"/>
      <c r="I125" s="20">
        <v>45373</v>
      </c>
    </row>
    <row r="126" spans="1:9">
      <c r="A126" s="18">
        <v>475</v>
      </c>
      <c r="B126" s="19" t="str">
        <f>IFERROR(VLOOKUP(A126,CLIENTES!A:E,2,0),"CADASTRAR CLIENTE")</f>
        <v>LABORATORIO DE ANALISES CLINICAS SRC LTDA</v>
      </c>
      <c r="C126" s="60" t="s">
        <v>3</v>
      </c>
      <c r="D126" s="60">
        <v>98328</v>
      </c>
      <c r="E126" s="21">
        <v>826.41</v>
      </c>
      <c r="F126" s="19"/>
      <c r="G126" s="21"/>
      <c r="H126" s="19"/>
      <c r="I126" s="20">
        <v>45373</v>
      </c>
    </row>
    <row r="127" spans="1:9">
      <c r="A127" s="18">
        <v>2022</v>
      </c>
      <c r="B127" s="19" t="str">
        <f>IFERROR(VLOOKUP(A127,CLIENTES!A:E,2,0),"CADASTRAR CLIENTE")</f>
        <v>LAB. MEDICO DR. MARICONDI S/C LTDA.</v>
      </c>
      <c r="C127" s="60" t="s">
        <v>3</v>
      </c>
      <c r="D127" s="60">
        <v>72015</v>
      </c>
      <c r="E127" s="21">
        <v>51.78</v>
      </c>
      <c r="F127" s="19"/>
      <c r="G127" s="21"/>
      <c r="H127" s="19"/>
      <c r="I127" s="20">
        <v>45373</v>
      </c>
    </row>
    <row r="128" spans="1:9">
      <c r="A128" s="18">
        <v>1026</v>
      </c>
      <c r="B128" s="19" t="str">
        <f>IFERROR(VLOOKUP(A128,CLIENTES!A:E,2,0),"CADASTRAR CLIENTE")</f>
        <v>LABSC SERVICOS LABORATORIAIS LTDA</v>
      </c>
      <c r="C128" s="60" t="s">
        <v>3</v>
      </c>
      <c r="D128" s="60">
        <v>71719</v>
      </c>
      <c r="E128" s="21">
        <v>1480.4</v>
      </c>
      <c r="F128" s="19"/>
      <c r="G128" s="21"/>
      <c r="H128" s="19"/>
      <c r="I128" s="20">
        <v>45373</v>
      </c>
    </row>
    <row r="129" spans="1:9">
      <c r="A129" s="18">
        <v>50576</v>
      </c>
      <c r="B129" s="19" t="str">
        <f>IFERROR(VLOOKUP(A129,CLIENTES!A:E,2,0),"CADASTRAR CLIENTE")</f>
        <v>ANDRIAO CANEPPA E SILVA LTDA ME</v>
      </c>
      <c r="C129" s="60" t="s">
        <v>329</v>
      </c>
      <c r="D129" s="60">
        <v>71841</v>
      </c>
      <c r="E129" s="21">
        <v>415.24</v>
      </c>
      <c r="F129" s="19"/>
      <c r="G129" s="21"/>
      <c r="H129" s="19"/>
      <c r="I129" s="20">
        <v>45373</v>
      </c>
    </row>
    <row r="130" spans="1:9">
      <c r="A130" s="18">
        <v>50576</v>
      </c>
      <c r="B130" s="19" t="str">
        <f>IFERROR(VLOOKUP(A130,CLIENTES!A:E,2,0),"CADASTRAR CLIENTE")</f>
        <v>ANDRIAO CANEPPA E SILVA LTDA ME</v>
      </c>
      <c r="C130" s="60" t="s">
        <v>3</v>
      </c>
      <c r="D130" s="60">
        <v>98306</v>
      </c>
      <c r="E130" s="21">
        <v>102</v>
      </c>
      <c r="F130" s="19"/>
      <c r="G130" s="21"/>
      <c r="H130" s="19"/>
      <c r="I130" s="20">
        <v>45373</v>
      </c>
    </row>
    <row r="131" spans="1:9">
      <c r="A131" s="18">
        <v>906</v>
      </c>
      <c r="B131" s="19" t="str">
        <f>IFERROR(VLOOKUP(A131,CLIENTES!A:E,2,0),"CADASTRAR CLIENTE")</f>
        <v>LABORATORIO ANAL. CLIN. DESCALVADO LTDA</v>
      </c>
      <c r="C131" s="60" t="s">
        <v>3</v>
      </c>
      <c r="D131" s="60">
        <v>71767</v>
      </c>
      <c r="E131" s="21">
        <v>295.81</v>
      </c>
      <c r="F131" s="19"/>
      <c r="G131" s="21"/>
      <c r="H131" s="19"/>
      <c r="I131" s="20">
        <v>45373</v>
      </c>
    </row>
    <row r="132" spans="1:9">
      <c r="A132" s="18">
        <v>906</v>
      </c>
      <c r="B132" s="19" t="str">
        <f>IFERROR(VLOOKUP(A132,CLIENTES!A:E,2,0),"CADASTRAR CLIENTE")</f>
        <v>LABORATORIO ANAL. CLIN. DESCALVADO LTDA</v>
      </c>
      <c r="C132" s="60" t="s">
        <v>3</v>
      </c>
      <c r="D132" s="60">
        <v>98342</v>
      </c>
      <c r="E132" s="21">
        <v>288.82</v>
      </c>
      <c r="F132" s="19"/>
      <c r="G132" s="21"/>
      <c r="H132" s="19"/>
      <c r="I132" s="20">
        <v>45373</v>
      </c>
    </row>
    <row r="133" spans="1:9">
      <c r="A133" s="18">
        <v>1652</v>
      </c>
      <c r="B133" s="19" t="str">
        <f>IFERROR(VLOOKUP(A133,CLIENTES!A:E,2,0),"CADASTRAR CLIENTE")</f>
        <v>LAB. SANTA CLARA ANAL.CLIN.</v>
      </c>
      <c r="C133" s="60" t="s">
        <v>328</v>
      </c>
      <c r="D133" s="60">
        <v>71537</v>
      </c>
      <c r="E133" s="21">
        <v>360.5</v>
      </c>
      <c r="F133" s="19"/>
      <c r="G133" s="21"/>
      <c r="H133" s="19"/>
      <c r="I133" s="20">
        <v>45376</v>
      </c>
    </row>
    <row r="134" spans="1:9">
      <c r="A134" s="18">
        <v>1652</v>
      </c>
      <c r="B134" s="19" t="str">
        <f>IFERROR(VLOOKUP(A134,CLIENTES!A:E,2,0),"CADASTRAR CLIENTE")</f>
        <v>LAB. SANTA CLARA ANAL.CLIN.</v>
      </c>
      <c r="C134" s="60" t="s">
        <v>328</v>
      </c>
      <c r="D134" s="60">
        <v>71077</v>
      </c>
      <c r="E134" s="21">
        <v>299</v>
      </c>
      <c r="F134" s="19"/>
      <c r="G134" s="21"/>
      <c r="H134" s="19"/>
      <c r="I134" s="20">
        <v>45376</v>
      </c>
    </row>
    <row r="135" spans="1:9">
      <c r="A135" s="18">
        <v>3017</v>
      </c>
      <c r="B135" s="19" t="str">
        <f>IFERROR(VLOOKUP(A135,CLIENTES!A:E,2,0),"CADASTRAR CLIENTE")</f>
        <v>IMUNOLAB LABORATORIO DE ANALISES CLINICAS LTDA ME</v>
      </c>
      <c r="C135" s="60" t="s">
        <v>3</v>
      </c>
      <c r="D135" s="60">
        <v>72053</v>
      </c>
      <c r="E135" s="21">
        <v>717.38</v>
      </c>
      <c r="F135" s="19"/>
      <c r="G135" s="21"/>
      <c r="H135" s="19"/>
      <c r="I135" s="20">
        <v>45376</v>
      </c>
    </row>
    <row r="136" spans="1:9">
      <c r="A136" s="18">
        <v>690</v>
      </c>
      <c r="B136" s="19" t="str">
        <f>IFERROR(VLOOKUP(A136,CLIENTES!A:E,2,0),"CADASTRAR CLIENTE")</f>
        <v>SAO ROQUE MEDICINA DIAGNOSTICA LTDA EPP</v>
      </c>
      <c r="C136" s="60" t="s">
        <v>328</v>
      </c>
      <c r="D136" s="60">
        <v>72077</v>
      </c>
      <c r="E136" s="21">
        <v>986.32</v>
      </c>
      <c r="F136" s="19"/>
      <c r="G136" s="21"/>
      <c r="H136" s="19"/>
      <c r="I136" s="20">
        <v>45376</v>
      </c>
    </row>
    <row r="137" spans="1:9">
      <c r="A137" s="18">
        <v>690</v>
      </c>
      <c r="B137" s="19" t="str">
        <f>IFERROR(VLOOKUP(A137,CLIENTES!A:E,2,0),"CADASTRAR CLIENTE")</f>
        <v>SAO ROQUE MEDICINA DIAGNOSTICA LTDA EPP</v>
      </c>
      <c r="C137" s="60" t="s">
        <v>328</v>
      </c>
      <c r="D137" s="60">
        <v>72075</v>
      </c>
      <c r="E137" s="21">
        <v>284</v>
      </c>
      <c r="F137" s="19"/>
      <c r="G137" s="21"/>
      <c r="H137" s="19"/>
      <c r="I137" s="20">
        <v>45376</v>
      </c>
    </row>
    <row r="138" spans="1:9">
      <c r="A138" s="18">
        <v>874</v>
      </c>
      <c r="B138" s="19" t="str">
        <f>IFERROR(VLOOKUP(A138,CLIENTES!A:E,2,0),"CADASTRAR CLIENTE")</f>
        <v>LAB.ANAL.CLIN ABI JAUDI SC LTDA.</v>
      </c>
      <c r="C138" s="60" t="s">
        <v>3</v>
      </c>
      <c r="D138" s="60">
        <v>72067</v>
      </c>
      <c r="E138" s="21">
        <v>116.97</v>
      </c>
      <c r="F138" s="19"/>
      <c r="G138" s="21"/>
      <c r="H138" s="19"/>
      <c r="I138" s="20">
        <v>45376</v>
      </c>
    </row>
    <row r="139" spans="1:9">
      <c r="A139" s="18">
        <v>2415</v>
      </c>
      <c r="B139" s="19" t="str">
        <f>IFERROR(VLOOKUP(A139,CLIENTES!A:E,2,0),"CADASTRAR CLIENTE")</f>
        <v>ROSSETTO E BARROS LABORATORIO DE ANALISES CLINICAS LTDA</v>
      </c>
      <c r="C139" s="60" t="s">
        <v>3</v>
      </c>
      <c r="D139" s="60">
        <v>72056</v>
      </c>
      <c r="E139" s="21">
        <v>218</v>
      </c>
      <c r="F139" s="19"/>
      <c r="G139" s="21"/>
      <c r="H139" s="19"/>
      <c r="I139" s="20">
        <v>45376</v>
      </c>
    </row>
    <row r="140" spans="1:9">
      <c r="A140" s="18">
        <v>3194</v>
      </c>
      <c r="B140" s="19" t="str">
        <f>IFERROR(VLOOKUP(A140,CLIENTES!A:E,2,0),"CADASTRAR CLIENTE")</f>
        <v>CENTRO DE DIAGNOSTICOS CONTROLE LTDA</v>
      </c>
      <c r="C140" s="60" t="s">
        <v>328</v>
      </c>
      <c r="D140" s="60">
        <v>71972</v>
      </c>
      <c r="E140" s="21">
        <v>272.68</v>
      </c>
      <c r="F140" s="19"/>
      <c r="G140" s="21"/>
      <c r="H140" s="19"/>
      <c r="I140" s="20">
        <v>45376</v>
      </c>
    </row>
    <row r="141" spans="1:9">
      <c r="A141" s="18">
        <v>2415</v>
      </c>
      <c r="B141" s="19" t="str">
        <f>IFERROR(VLOOKUP(A141,CLIENTES!A:E,2,0),"CADASTRAR CLIENTE")</f>
        <v>ROSSETTO E BARROS LABORATORIO DE ANALISES CLINICAS LTDA</v>
      </c>
      <c r="C141" s="60" t="s">
        <v>3</v>
      </c>
      <c r="D141" s="60">
        <v>72056</v>
      </c>
      <c r="E141" s="21">
        <v>436</v>
      </c>
      <c r="F141" s="19"/>
      <c r="G141" s="21"/>
      <c r="H141" s="19"/>
      <c r="I141" s="20">
        <v>45376</v>
      </c>
    </row>
    <row r="142" spans="1:9">
      <c r="A142" s="18">
        <v>3018</v>
      </c>
      <c r="B142" s="19" t="str">
        <f>IFERROR(VLOOKUP(A142,CLIENTES!A:E,2,0),"CADASTRAR CLIENTE")</f>
        <v>NP- LABORATORIO DE ANALISES CLINICAS LTDA</v>
      </c>
      <c r="C142" s="60" t="s">
        <v>3</v>
      </c>
      <c r="D142" s="60">
        <v>72088</v>
      </c>
      <c r="E142" s="21">
        <v>549.14</v>
      </c>
      <c r="F142" s="19"/>
      <c r="G142" s="21"/>
      <c r="H142" s="19"/>
      <c r="I142" s="20">
        <v>45376</v>
      </c>
    </row>
    <row r="143" spans="1:9">
      <c r="A143" s="18">
        <v>3018</v>
      </c>
      <c r="B143" s="19" t="str">
        <f>IFERROR(VLOOKUP(A143,CLIENTES!A:E,2,0),"CADASTRAR CLIENTE")</f>
        <v>NP- LABORATORIO DE ANALISES CLINICAS LTDA</v>
      </c>
      <c r="C143" s="60" t="s">
        <v>3</v>
      </c>
      <c r="D143" s="60">
        <v>98351</v>
      </c>
      <c r="E143" s="21">
        <v>236.55</v>
      </c>
      <c r="F143" s="19"/>
      <c r="G143" s="21"/>
      <c r="H143" s="19"/>
      <c r="I143" s="20">
        <v>45376</v>
      </c>
    </row>
    <row r="144" spans="1:9">
      <c r="A144" s="18">
        <v>50558</v>
      </c>
      <c r="B144" s="19" t="str">
        <f>IFERROR(VLOOKUP(A144,CLIENTES!A:E,2,0),"CADASTRAR CLIENTE")</f>
        <v>FUNDACAO PAULISTA DE TECNOLOGIA E EDUCACAO</v>
      </c>
      <c r="C144" s="60" t="s">
        <v>2</v>
      </c>
      <c r="D144" s="60">
        <v>71990</v>
      </c>
      <c r="E144" s="21">
        <v>598</v>
      </c>
      <c r="F144" s="19"/>
      <c r="G144" s="21"/>
      <c r="H144" s="19"/>
      <c r="I144" s="20">
        <v>45376</v>
      </c>
    </row>
    <row r="145" spans="1:9">
      <c r="A145" s="18">
        <v>725</v>
      </c>
      <c r="B145" s="19" t="str">
        <f>IFERROR(VLOOKUP(A145,CLIENTES!A:E,2,0),"CADASTRAR CLIENTE")</f>
        <v>LAB. ANAL. CLIN. DR. ALUISIO CASELLA</v>
      </c>
      <c r="C145" s="60" t="s">
        <v>2</v>
      </c>
      <c r="D145" s="60">
        <v>72109</v>
      </c>
      <c r="E145" s="21">
        <v>3139.71</v>
      </c>
      <c r="F145" s="19"/>
      <c r="G145" s="21"/>
      <c r="H145" s="19"/>
      <c r="I145" s="20">
        <v>45376</v>
      </c>
    </row>
    <row r="146" spans="1:9">
      <c r="A146" s="18">
        <v>725</v>
      </c>
      <c r="B146" s="19" t="str">
        <f>IFERROR(VLOOKUP(A146,CLIENTES!A:E,2,0),"CADASTRAR CLIENTE")</f>
        <v>LAB. ANAL. CLIN. DR. ALUISIO CASELLA</v>
      </c>
      <c r="C146" s="60" t="s">
        <v>2</v>
      </c>
      <c r="D146" s="60">
        <v>98354</v>
      </c>
      <c r="E146" s="21">
        <v>267.45</v>
      </c>
      <c r="F146" s="19"/>
      <c r="G146" s="21"/>
      <c r="H146" s="19"/>
      <c r="I146" s="20">
        <v>45376</v>
      </c>
    </row>
    <row r="147" spans="1:9">
      <c r="A147" s="18">
        <v>2022</v>
      </c>
      <c r="B147" s="19" t="str">
        <f>IFERROR(VLOOKUP(A147,CLIENTES!A:E,2,0),"CADASTRAR CLIENTE")</f>
        <v>LAB. MEDICO DR. MARICONDI S/C LTDA.</v>
      </c>
      <c r="C147" s="60" t="s">
        <v>3</v>
      </c>
      <c r="D147" s="60">
        <v>98343</v>
      </c>
      <c r="E147" s="21">
        <v>215</v>
      </c>
      <c r="F147" s="19"/>
      <c r="G147" s="21"/>
      <c r="H147" s="19"/>
      <c r="I147" s="20">
        <v>45376</v>
      </c>
    </row>
    <row r="148" spans="1:9">
      <c r="A148" s="18">
        <v>2022</v>
      </c>
      <c r="B148" s="19" t="str">
        <f>IFERROR(VLOOKUP(A148,CLIENTES!A:E,2,0),"CADASTRAR CLIENTE")</f>
        <v>LAB. MEDICO DR. MARICONDI S/C LTDA.</v>
      </c>
      <c r="C148" s="60" t="s">
        <v>3</v>
      </c>
      <c r="D148" s="60">
        <v>72045</v>
      </c>
      <c r="E148" s="21">
        <v>1935.84</v>
      </c>
      <c r="F148" s="19"/>
      <c r="G148" s="21"/>
      <c r="H148" s="19"/>
      <c r="I148" s="20">
        <v>45377</v>
      </c>
    </row>
    <row r="149" spans="1:9">
      <c r="A149" s="18">
        <v>731</v>
      </c>
      <c r="B149" s="19" t="str">
        <f>IFERROR(VLOOKUP(A149,CLIENTES!A:E,2,0),"CADASTRAR CLIENTE")</f>
        <v>UNILAB LABORATORIO ANALISES CLINICAS SANTA FE DO SUL LTDA</v>
      </c>
      <c r="C149" s="60" t="s">
        <v>3</v>
      </c>
      <c r="D149" s="60">
        <v>72149</v>
      </c>
      <c r="E149" s="21">
        <v>1035</v>
      </c>
      <c r="F149" s="19"/>
      <c r="G149" s="21"/>
      <c r="H149" s="19"/>
      <c r="I149" s="20">
        <v>45377</v>
      </c>
    </row>
    <row r="150" spans="1:9">
      <c r="A150" s="18">
        <v>822</v>
      </c>
      <c r="B150" s="19" t="str">
        <f>IFERROR(VLOOKUP(A150,CLIENTES!A:E,2,0),"CADASTRAR CLIENTE")</f>
        <v>SAO LUCAS LABORATORIO ANAL. CLIN. S/C LTDA</v>
      </c>
      <c r="C150" s="60" t="s">
        <v>328</v>
      </c>
      <c r="D150" s="60">
        <v>98363</v>
      </c>
      <c r="E150" s="21">
        <v>1623.35</v>
      </c>
      <c r="F150" s="19"/>
      <c r="G150" s="21"/>
      <c r="H150" s="19"/>
      <c r="I150" s="20">
        <v>45377</v>
      </c>
    </row>
    <row r="151" spans="1:9">
      <c r="A151" s="18">
        <v>822</v>
      </c>
      <c r="B151" s="19" t="str">
        <f>IFERROR(VLOOKUP(A151,CLIENTES!A:E,2,0),"CADASTRAR CLIENTE")</f>
        <v>SAO LUCAS LABORATORIO ANAL. CLIN. S/C LTDA</v>
      </c>
      <c r="C151" s="60" t="s">
        <v>328</v>
      </c>
      <c r="D151" s="60">
        <v>72170</v>
      </c>
      <c r="E151" s="21">
        <v>1476</v>
      </c>
      <c r="F151" s="19"/>
      <c r="G151" s="21"/>
      <c r="H151" s="19"/>
      <c r="I151" s="20">
        <v>45377</v>
      </c>
    </row>
    <row r="152" spans="1:9">
      <c r="A152" s="18">
        <v>1989</v>
      </c>
      <c r="B152" s="19" t="str">
        <f>IFERROR(VLOOKUP(A152,CLIENTES!A:E,2,0),"CADASTRAR CLIENTE")</f>
        <v>SAO FRANCISCO ANAL. CLIN.</v>
      </c>
      <c r="C152" s="60" t="s">
        <v>3</v>
      </c>
      <c r="D152" s="60">
        <v>71272</v>
      </c>
      <c r="E152" s="21">
        <v>606.12</v>
      </c>
      <c r="F152" s="19"/>
      <c r="G152" s="21"/>
      <c r="H152" s="19"/>
      <c r="I152" s="20">
        <v>45377</v>
      </c>
    </row>
    <row r="153" spans="1:9">
      <c r="A153" s="18">
        <v>2763</v>
      </c>
      <c r="B153" s="19" t="str">
        <f>IFERROR(VLOOKUP(A153,CLIENTES!A:E,2,0),"CADASTRAR CLIENTE")</f>
        <v xml:space="preserve">cliente bia </v>
      </c>
      <c r="C153" s="60" t="s">
        <v>3</v>
      </c>
      <c r="D153" s="60">
        <v>71274</v>
      </c>
      <c r="E153" s="21">
        <v>561</v>
      </c>
      <c r="F153" s="19"/>
      <c r="G153" s="21"/>
      <c r="H153" s="19"/>
      <c r="I153" s="20">
        <v>45377</v>
      </c>
    </row>
    <row r="154" spans="1:9">
      <c r="A154" s="18">
        <v>690</v>
      </c>
      <c r="B154" s="19" t="str">
        <f>IFERROR(VLOOKUP(A154,CLIENTES!A:E,2,0),"CADASTRAR CLIENTE")</f>
        <v>SAO ROQUE MEDICINA DIAGNOSTICA LTDA EPP</v>
      </c>
      <c r="C154" s="60" t="s">
        <v>3</v>
      </c>
      <c r="D154" s="60">
        <v>71270</v>
      </c>
      <c r="E154" s="21">
        <v>189</v>
      </c>
      <c r="F154" s="19"/>
      <c r="G154" s="21"/>
      <c r="H154" s="19"/>
      <c r="I154" s="20">
        <v>45377</v>
      </c>
    </row>
    <row r="155" spans="1:9">
      <c r="A155" s="18">
        <v>50554</v>
      </c>
      <c r="B155" s="19" t="str">
        <f>IFERROR(VLOOKUP(A155,CLIENTES!A:E,2,0),"CADASTRAR CLIENTE")</f>
        <v>SAO ROQUE MEDICINA DIAGNOSTICA</v>
      </c>
      <c r="C155" s="60" t="s">
        <v>3</v>
      </c>
      <c r="D155" s="60">
        <v>71271</v>
      </c>
      <c r="E155" s="21">
        <v>189</v>
      </c>
      <c r="F155" s="19"/>
      <c r="G155" s="21"/>
      <c r="H155" s="19"/>
      <c r="I155" s="20">
        <v>45377</v>
      </c>
    </row>
    <row r="156" spans="1:9">
      <c r="A156" s="18">
        <v>1493</v>
      </c>
      <c r="B156" s="19" t="str">
        <f>IFERROR(VLOOKUP(A156,CLIENTES!A:E,2,0),"CADASTRAR CLIENTE")</f>
        <v>CEDIMA  CENTRO DE DIAG MONTE AZUL ANAL CLIN E CIT</v>
      </c>
      <c r="C156" s="60" t="s">
        <v>3</v>
      </c>
      <c r="D156" s="60">
        <v>72160</v>
      </c>
      <c r="E156" s="21">
        <v>728.73</v>
      </c>
      <c r="F156" s="19"/>
      <c r="G156" s="21"/>
      <c r="H156" s="19"/>
      <c r="I156" s="20">
        <v>45377</v>
      </c>
    </row>
    <row r="157" spans="1:9">
      <c r="A157" s="18">
        <v>977</v>
      </c>
      <c r="B157" s="19" t="str">
        <f>IFERROR(VLOOKUP(A157,CLIENTES!A:E,2,0),"CADASTRAR CLIENTE")</f>
        <v>CADASTRAR CLIENTE</v>
      </c>
      <c r="C157" s="60" t="s">
        <v>3</v>
      </c>
      <c r="D157" s="60">
        <v>72146</v>
      </c>
      <c r="E157" s="21">
        <v>1524.9</v>
      </c>
      <c r="F157" s="19"/>
      <c r="G157" s="21"/>
      <c r="H157" s="19"/>
      <c r="I157" s="20">
        <v>45377</v>
      </c>
    </row>
    <row r="158" spans="1:9">
      <c r="A158" s="18">
        <v>3190</v>
      </c>
      <c r="B158" s="19" t="str">
        <f>IFERROR(VLOOKUP(A158,CLIENTES!A:E,2,0),"CADASTRAR CLIENTE")</f>
        <v>C D A CENTRO DE DIAGNOSTICO VETERINARIO</v>
      </c>
      <c r="C158" s="60" t="s">
        <v>3</v>
      </c>
      <c r="D158" s="60">
        <v>71580</v>
      </c>
      <c r="E158" s="21">
        <v>2256.7800000000002</v>
      </c>
      <c r="F158" s="19"/>
      <c r="G158" s="21"/>
      <c r="H158" s="19"/>
      <c r="I158" s="20">
        <v>45377</v>
      </c>
    </row>
    <row r="159" spans="1:9">
      <c r="A159" s="18">
        <v>1533</v>
      </c>
      <c r="B159" s="19" t="str">
        <f>IFERROR(VLOOKUP(A159,CLIENTES!A:E,2,0),"CADASTRAR CLIENTE")</f>
        <v>LABORATORIO BIOANALISE DIAGNOSTICO LTDA</v>
      </c>
      <c r="C159" s="60" t="s">
        <v>3</v>
      </c>
      <c r="D159" s="60">
        <v>72189</v>
      </c>
      <c r="E159" s="21">
        <v>1490</v>
      </c>
      <c r="F159" s="19"/>
      <c r="G159" s="21"/>
      <c r="H159" s="19"/>
      <c r="I159" s="20">
        <v>45378</v>
      </c>
    </row>
    <row r="160" spans="1:9">
      <c r="A160" s="18">
        <v>932</v>
      </c>
      <c r="B160" s="19" t="str">
        <f>IFERROR(VLOOKUP(A160,CLIENTES!A:E,2,0),"CADASTRAR CLIENTE")</f>
        <v>CADASTRAR CLIENTE</v>
      </c>
      <c r="C160" s="60" t="s">
        <v>3</v>
      </c>
      <c r="D160" s="60">
        <v>72198</v>
      </c>
      <c r="E160" s="21">
        <v>811.81</v>
      </c>
      <c r="F160" s="19"/>
      <c r="G160" s="21"/>
      <c r="H160" s="19"/>
      <c r="I160" s="20">
        <v>45378</v>
      </c>
    </row>
    <row r="161" spans="1:9">
      <c r="A161" s="18">
        <v>1240</v>
      </c>
      <c r="B161" s="19" t="str">
        <f>IFERROR(VLOOKUP(A161,CLIENTES!A:E,2,0),"CADASTRAR CLIENTE")</f>
        <v>MONICA VIEIRA DE CAMPOS REBELO-ME</v>
      </c>
      <c r="C161" s="60" t="s">
        <v>3</v>
      </c>
      <c r="D161" s="60">
        <v>71985</v>
      </c>
      <c r="E161" s="21">
        <v>553.08000000000004</v>
      </c>
      <c r="F161" s="19"/>
      <c r="G161" s="21"/>
      <c r="H161" s="19"/>
      <c r="I161" s="20">
        <v>45378</v>
      </c>
    </row>
    <row r="162" spans="1:9">
      <c r="A162" s="18">
        <v>475</v>
      </c>
      <c r="B162" s="19" t="str">
        <f>IFERROR(VLOOKUP(A162,CLIENTES!A:E,2,0),"CADASTRAR CLIENTE")</f>
        <v>LABORATORIO DE ANALISES CLINICAS SRC LTDA</v>
      </c>
      <c r="C162" s="60" t="s">
        <v>3</v>
      </c>
      <c r="D162" s="60">
        <v>72216</v>
      </c>
      <c r="E162" s="21">
        <v>526</v>
      </c>
      <c r="F162" s="19"/>
      <c r="G162" s="21"/>
      <c r="H162" s="19"/>
      <c r="I162" s="20">
        <v>45378</v>
      </c>
    </row>
    <row r="163" spans="1:9">
      <c r="A163" s="18">
        <v>620</v>
      </c>
      <c r="B163" s="19" t="str">
        <f>IFERROR(VLOOKUP(A163,CLIENTES!A:E,2,0),"CADASTRAR CLIENTE")</f>
        <v>LAB.SAO PAULO DE ANAL.CLIN.SC LTDA.</v>
      </c>
      <c r="C163" s="60" t="s">
        <v>3</v>
      </c>
      <c r="D163" s="60">
        <v>98347</v>
      </c>
      <c r="E163" s="21">
        <v>201.78</v>
      </c>
      <c r="F163" s="19"/>
      <c r="G163" s="21"/>
      <c r="H163" s="19"/>
      <c r="I163" s="20">
        <v>45378</v>
      </c>
    </row>
    <row r="164" spans="1:9">
      <c r="A164" s="18">
        <v>620</v>
      </c>
      <c r="B164" s="19" t="str">
        <f>IFERROR(VLOOKUP(A164,CLIENTES!A:E,2,0),"CADASTRAR CLIENTE")</f>
        <v>LAB.SAO PAULO DE ANAL.CLIN.SC LTDA.</v>
      </c>
      <c r="C164" s="60" t="s">
        <v>3</v>
      </c>
      <c r="D164" s="60">
        <v>72070</v>
      </c>
      <c r="E164" s="21">
        <v>1993.6</v>
      </c>
      <c r="F164" s="19"/>
      <c r="G164" s="21"/>
      <c r="H164" s="19"/>
      <c r="I164" s="20">
        <v>45378</v>
      </c>
    </row>
    <row r="165" spans="1:9">
      <c r="A165" s="18">
        <v>2980</v>
      </c>
      <c r="B165" s="19" t="str">
        <f>IFERROR(VLOOKUP(A165,CLIENTES!A:E,2,0),"CADASTRAR CLIENTE")</f>
        <v>ALMEIDA &amp; FLAITT LABORATORIOS DE ANALISES CLINICAS LTDA</v>
      </c>
      <c r="C165" s="60" t="s">
        <v>3</v>
      </c>
      <c r="D165" s="60">
        <v>72199</v>
      </c>
      <c r="E165" s="21">
        <v>1008.73</v>
      </c>
      <c r="F165" s="19"/>
      <c r="G165" s="21"/>
      <c r="H165" s="19"/>
      <c r="I165" s="20">
        <v>45378</v>
      </c>
    </row>
    <row r="166" spans="1:9">
      <c r="A166" s="18">
        <v>2980</v>
      </c>
      <c r="B166" s="19" t="str">
        <f>IFERROR(VLOOKUP(A166,CLIENTES!A:E,2,0),"CADASTRAR CLIENTE")</f>
        <v>ALMEIDA &amp; FLAITT LABORATORIOS DE ANALISES CLINICAS LTDA</v>
      </c>
      <c r="C166" s="60" t="s">
        <v>3</v>
      </c>
      <c r="D166" s="60">
        <v>98373</v>
      </c>
      <c r="E166" s="21">
        <v>109.5</v>
      </c>
      <c r="F166" s="19"/>
      <c r="G166" s="21"/>
      <c r="H166" s="19"/>
      <c r="I166" s="20">
        <v>45378</v>
      </c>
    </row>
    <row r="167" spans="1:9">
      <c r="A167" s="18">
        <v>2192</v>
      </c>
      <c r="B167" s="19" t="str">
        <f>IFERROR(VLOOKUP(A167,CLIENTES!A:E,2,0),"CADASTRAR CLIENTE")</f>
        <v>CADASTRAR CLIENTE</v>
      </c>
      <c r="C167" s="60" t="s">
        <v>3</v>
      </c>
      <c r="D167" s="60">
        <v>71067</v>
      </c>
      <c r="E167" s="21">
        <v>1428</v>
      </c>
      <c r="F167" s="19"/>
      <c r="G167" s="21"/>
      <c r="H167" s="19"/>
      <c r="I167" s="20">
        <v>45379</v>
      </c>
    </row>
    <row r="168" spans="1:9">
      <c r="A168" s="18">
        <v>171</v>
      </c>
      <c r="B168" s="19" t="str">
        <f>IFERROR(VLOOKUP(A168,CLIENTES!A:E,2,0),"CADASTRAR CLIENTE")</f>
        <v>HOSPITAL BENEFICENTE SAO JOSE</v>
      </c>
      <c r="C168" s="60" t="s">
        <v>3</v>
      </c>
      <c r="D168" s="60">
        <v>72163</v>
      </c>
      <c r="E168" s="21">
        <v>232.83</v>
      </c>
      <c r="F168" s="19"/>
      <c r="G168" s="21"/>
      <c r="H168" s="19"/>
      <c r="I168" s="20">
        <v>45377</v>
      </c>
    </row>
    <row r="169" spans="1:9">
      <c r="A169" s="18">
        <v>1726</v>
      </c>
      <c r="B169" s="19" t="str">
        <f>IFERROR(VLOOKUP(A169,CLIENTES!A:E,2,0),"CADASTRAR CLIENTE")</f>
        <v>IRMANDADE DA SANTA CASA DE MISERIC. DE MOGI MIRIM</v>
      </c>
      <c r="C169" s="60" t="s">
        <v>2</v>
      </c>
      <c r="D169" s="60">
        <v>72241</v>
      </c>
      <c r="E169" s="21">
        <v>704.08</v>
      </c>
      <c r="F169" s="19"/>
      <c r="G169" s="21"/>
      <c r="H169" s="19"/>
      <c r="I169" s="20">
        <v>45379</v>
      </c>
    </row>
    <row r="170" spans="1:9">
      <c r="A170" s="18">
        <v>832</v>
      </c>
      <c r="B170" s="19" t="str">
        <f>IFERROR(VLOOKUP(A170,CLIENTES!A:E,2,0),"CADASTRAR CLIENTE")</f>
        <v>ASSOCIACAO DE ENSINO E CULTURA DE MATO GROSSO</v>
      </c>
      <c r="C170" s="60" t="s">
        <v>3</v>
      </c>
      <c r="D170" s="60">
        <v>71504</v>
      </c>
      <c r="E170" s="21">
        <v>581.25</v>
      </c>
      <c r="F170" s="19"/>
      <c r="G170" s="21"/>
      <c r="H170" s="19"/>
      <c r="I170" s="20">
        <v>45359</v>
      </c>
    </row>
    <row r="171" spans="1:9">
      <c r="A171" s="18">
        <v>832</v>
      </c>
      <c r="B171" s="19" t="str">
        <f>IFERROR(VLOOKUP(A171,CLIENTES!A:E,2,0),"CADASTRAR CLIENTE")</f>
        <v>ASSOCIACAO DE ENSINO E CULTURA DE MATO GROSSO</v>
      </c>
      <c r="C171" s="60" t="s">
        <v>3</v>
      </c>
      <c r="D171" s="60">
        <v>98317</v>
      </c>
      <c r="E171" s="21">
        <v>918</v>
      </c>
      <c r="F171" s="19"/>
      <c r="G171" s="21"/>
      <c r="H171" s="19"/>
      <c r="I171" s="20">
        <v>45379</v>
      </c>
    </row>
    <row r="172" spans="1:9">
      <c r="A172" s="18">
        <v>725</v>
      </c>
      <c r="B172" s="19" t="str">
        <f>IFERROR(VLOOKUP(A172,CLIENTES!A:E,2,0),"CADASTRAR CLIENTE")</f>
        <v>LAB. ANAL. CLIN. DR. ALUISIO CASELLA</v>
      </c>
      <c r="C172" s="60" t="s">
        <v>3</v>
      </c>
      <c r="D172" s="60">
        <v>72250</v>
      </c>
      <c r="E172" s="21">
        <v>637.5</v>
      </c>
      <c r="F172" s="19"/>
      <c r="G172" s="21"/>
      <c r="H172" s="19"/>
      <c r="I172" s="20">
        <v>45379</v>
      </c>
    </row>
    <row r="173" spans="1:9">
      <c r="A173" s="18">
        <v>2397</v>
      </c>
      <c r="B173" s="19" t="str">
        <f>IFERROR(VLOOKUP(A173,CLIENTES!A:E,2,0),"CADASTRAR CLIENTE")</f>
        <v>LAB ANAL CLINICAS SANTA RITA S/C LTDA</v>
      </c>
      <c r="C173" s="60" t="s">
        <v>328</v>
      </c>
      <c r="D173" s="60">
        <v>72283</v>
      </c>
      <c r="E173" s="21">
        <v>860.9</v>
      </c>
      <c r="F173" s="19"/>
      <c r="G173" s="21"/>
      <c r="H173" s="19"/>
      <c r="I173" s="20">
        <v>45383</v>
      </c>
    </row>
    <row r="174" spans="1:9">
      <c r="A174" s="18">
        <v>772</v>
      </c>
      <c r="B174" s="19" t="str">
        <f>IFERROR(VLOOKUP(A174,CLIENTES!A:E,2,0),"CADASTRAR CLIENTE")</f>
        <v>MEGARON LABORATORIO ANAL.CLIN.SC LTDA.</v>
      </c>
      <c r="C174" s="60" t="s">
        <v>3</v>
      </c>
      <c r="D174" s="60">
        <v>72272</v>
      </c>
      <c r="E174" s="21">
        <v>456.8</v>
      </c>
      <c r="F174" s="19"/>
      <c r="G174" s="21"/>
      <c r="H174" s="19"/>
      <c r="I174" s="20">
        <v>45383</v>
      </c>
    </row>
    <row r="175" spans="1:9">
      <c r="A175" s="18">
        <v>3077</v>
      </c>
      <c r="B175" s="19" t="str">
        <f>IFERROR(VLOOKUP(A175,CLIENTES!A:E,2,0),"CADASTRAR CLIENTE")</f>
        <v>CBI ANALISES CLINICAS S/S LTDA</v>
      </c>
      <c r="C175" s="60" t="s">
        <v>3</v>
      </c>
      <c r="D175" s="60">
        <v>72299</v>
      </c>
      <c r="E175" s="21">
        <v>589.55999999999995</v>
      </c>
      <c r="F175" s="19"/>
      <c r="G175" s="21"/>
      <c r="H175" s="19"/>
      <c r="I175" s="20">
        <v>45383</v>
      </c>
    </row>
    <row r="176" spans="1:9">
      <c r="A176" s="18">
        <v>2203</v>
      </c>
      <c r="B176" s="19" t="str">
        <f>IFERROR(VLOOKUP(A176,CLIENTES!A:E,2,0),"CADASTRAR CLIENTE")</f>
        <v>FUNDACAO EDUCACIONAL DE ANDRADINA-FEA</v>
      </c>
      <c r="C176" s="60" t="s">
        <v>3</v>
      </c>
      <c r="D176" s="60">
        <v>72328</v>
      </c>
      <c r="E176" s="21">
        <v>247.21</v>
      </c>
      <c r="F176" s="19"/>
      <c r="G176" s="21"/>
      <c r="H176" s="19"/>
      <c r="I176" s="20">
        <v>45383</v>
      </c>
    </row>
    <row r="177" spans="1:9">
      <c r="A177" s="18">
        <v>690</v>
      </c>
      <c r="B177" s="19" t="str">
        <f>IFERROR(VLOOKUP(A177,CLIENTES!A:E,2,0),"CADASTRAR CLIENTE")</f>
        <v>SAO ROQUE MEDICINA DIAGNOSTICA LTDA EPP</v>
      </c>
      <c r="C177" s="60" t="s">
        <v>3</v>
      </c>
      <c r="D177" s="60">
        <v>72332</v>
      </c>
      <c r="E177" s="21">
        <v>188.05</v>
      </c>
      <c r="F177" s="19"/>
      <c r="G177" s="21"/>
      <c r="H177" s="19"/>
      <c r="I177" s="20">
        <v>45383</v>
      </c>
    </row>
    <row r="178" spans="1:9">
      <c r="A178" s="18">
        <v>2763</v>
      </c>
      <c r="B178" s="19" t="str">
        <f>IFERROR(VLOOKUP(A178,CLIENTES!A:E,2,0),"CADASTRAR CLIENTE")</f>
        <v xml:space="preserve">cliente bia </v>
      </c>
      <c r="C178" s="60" t="s">
        <v>3</v>
      </c>
      <c r="D178" s="60">
        <v>72335</v>
      </c>
      <c r="E178" s="21">
        <v>561</v>
      </c>
      <c r="F178" s="19"/>
      <c r="G178" s="21"/>
      <c r="H178" s="19"/>
      <c r="I178" s="20">
        <v>45383</v>
      </c>
    </row>
    <row r="179" spans="1:9">
      <c r="A179" s="18">
        <v>1989</v>
      </c>
      <c r="B179" s="19" t="str">
        <f>IFERROR(VLOOKUP(A179,CLIENTES!A:E,2,0),"CADASTRAR CLIENTE")</f>
        <v>SAO FRANCISCO ANAL. CLIN.</v>
      </c>
      <c r="C179" s="60" t="s">
        <v>3</v>
      </c>
      <c r="D179" s="60">
        <v>72334</v>
      </c>
      <c r="E179" s="21">
        <v>608.29999999999995</v>
      </c>
      <c r="F179" s="19"/>
      <c r="G179" s="21"/>
      <c r="H179" s="19"/>
      <c r="I179" s="20">
        <v>45383</v>
      </c>
    </row>
    <row r="180" spans="1:9">
      <c r="A180" s="18">
        <v>50554</v>
      </c>
      <c r="B180" s="19" t="str">
        <f>IFERROR(VLOOKUP(A180,CLIENTES!A:E,2,0),"CADASTRAR CLIENTE")</f>
        <v>SAO ROQUE MEDICINA DIAGNOSTICA</v>
      </c>
      <c r="C180" s="60" t="s">
        <v>3</v>
      </c>
      <c r="D180" s="60">
        <v>72333</v>
      </c>
      <c r="E180" s="21">
        <v>189</v>
      </c>
      <c r="F180" s="19"/>
      <c r="G180" s="21"/>
      <c r="H180" s="19"/>
      <c r="I180" s="20">
        <v>45383</v>
      </c>
    </row>
    <row r="181" spans="1:9">
      <c r="A181" s="18">
        <v>50593</v>
      </c>
      <c r="B181" s="19" t="str">
        <f>IFERROR(VLOOKUP(A181,CLIENTES!A:E,2,0),"CADASTRAR CLIENTE")</f>
        <v>CADASTRAR CLIENTE</v>
      </c>
      <c r="C181" s="60" t="s">
        <v>3</v>
      </c>
      <c r="D181" s="60">
        <v>72343</v>
      </c>
      <c r="E181" s="21">
        <v>338.46</v>
      </c>
      <c r="F181" s="19"/>
      <c r="G181" s="21"/>
      <c r="H181" s="19"/>
      <c r="I181" s="20">
        <v>45384</v>
      </c>
    </row>
    <row r="182" spans="1:9">
      <c r="A182" s="18">
        <v>1164</v>
      </c>
      <c r="B182" s="19" t="str">
        <f>IFERROR(VLOOKUP(A182,CLIENTES!A:E,2,0),"CADASTRAR CLIENTE")</f>
        <v>LAB. ANAL. CLIN. SAO LOURENCO S/C LTDA</v>
      </c>
      <c r="C182" s="60" t="s">
        <v>328</v>
      </c>
      <c r="D182" s="60">
        <v>72344</v>
      </c>
      <c r="E182" s="21">
        <v>959.7</v>
      </c>
      <c r="F182" s="19"/>
      <c r="G182" s="21"/>
      <c r="H182" s="19"/>
      <c r="I182" s="20">
        <v>45384</v>
      </c>
    </row>
    <row r="183" spans="1:9">
      <c r="A183" s="18">
        <v>905</v>
      </c>
      <c r="B183" s="19" t="str">
        <f>IFERROR(VLOOKUP(A183,CLIENTES!A:E,2,0),"CADASTRAR CLIENTE")</f>
        <v>LAB AN CLIN DR NESTOR FERRAREZZI FILHO  SC LTDA</v>
      </c>
      <c r="C183" s="60" t="s">
        <v>328</v>
      </c>
      <c r="D183" s="60">
        <v>98391</v>
      </c>
      <c r="E183" s="21">
        <v>178.37</v>
      </c>
      <c r="F183" s="19"/>
      <c r="G183" s="21"/>
      <c r="H183" s="19"/>
      <c r="I183" s="20">
        <v>45384</v>
      </c>
    </row>
    <row r="184" spans="1:9">
      <c r="A184" s="18">
        <v>905</v>
      </c>
      <c r="B184" s="19" t="str">
        <f>IFERROR(VLOOKUP(A184,CLIENTES!A:E,2,0),"CADASTRAR CLIENTE")</f>
        <v>LAB AN CLIN DR NESTOR FERRAREZZI FILHO  SC LTDA</v>
      </c>
      <c r="C184" s="60" t="s">
        <v>328</v>
      </c>
      <c r="D184" s="60">
        <v>71315</v>
      </c>
      <c r="E184" s="21">
        <v>583.16999999999996</v>
      </c>
      <c r="F184" s="19"/>
      <c r="G184" s="21"/>
      <c r="H184" s="19"/>
      <c r="I184" s="20">
        <v>45384</v>
      </c>
    </row>
    <row r="185" spans="1:9">
      <c r="A185" s="18">
        <v>592</v>
      </c>
      <c r="B185" s="19" t="str">
        <f>IFERROR(VLOOKUP(A185,CLIENTES!A:E,2,0),"CADASTRAR CLIENTE")</f>
        <v>CADASTRAR CLIENTE</v>
      </c>
      <c r="C185" s="60" t="s">
        <v>3</v>
      </c>
      <c r="D185" s="60">
        <v>72353</v>
      </c>
      <c r="E185" s="21">
        <v>1093.8599999999999</v>
      </c>
      <c r="F185" s="19"/>
      <c r="G185" s="21"/>
      <c r="H185" s="19"/>
      <c r="I185" s="20">
        <v>45384</v>
      </c>
    </row>
    <row r="186" spans="1:9">
      <c r="A186" s="18">
        <v>784</v>
      </c>
      <c r="B186" s="19" t="str">
        <f>IFERROR(VLOOKUP(A186,CLIENTES!A:E,2,0),"CADASTRAR CLIENTE")</f>
        <v>LAB.ANAL.CLIN. ALBERT SABIN SC LTDA.</v>
      </c>
      <c r="C186" s="60" t="s">
        <v>3</v>
      </c>
      <c r="D186" s="60">
        <v>72133</v>
      </c>
      <c r="E186" s="21">
        <v>3650.34</v>
      </c>
      <c r="F186" s="19"/>
      <c r="G186" s="21"/>
      <c r="H186" s="19"/>
      <c r="I186" s="20">
        <v>45384</v>
      </c>
    </row>
    <row r="187" spans="1:9">
      <c r="A187" s="18">
        <v>746</v>
      </c>
      <c r="B187" s="19" t="str">
        <f>IFERROR(VLOOKUP(A187,CLIENTES!A:E,2,0),"CADASTRAR CLIENTE")</f>
        <v>LAB.ANAL.CLIN.BIOCLIN SC LTDA.</v>
      </c>
      <c r="C187" s="60" t="s">
        <v>328</v>
      </c>
      <c r="D187" s="60">
        <v>98395</v>
      </c>
      <c r="E187" s="21">
        <v>201.7</v>
      </c>
      <c r="F187" s="19"/>
      <c r="G187" s="21"/>
      <c r="H187" s="19"/>
      <c r="I187" s="20">
        <v>45384</v>
      </c>
    </row>
    <row r="188" spans="1:9">
      <c r="A188" s="18">
        <v>746</v>
      </c>
      <c r="B188" s="19" t="str">
        <f>IFERROR(VLOOKUP(A188,CLIENTES!A:E,2,0),"CADASTRAR CLIENTE")</f>
        <v>LAB.ANAL.CLIN.BIOCLIN SC LTDA.</v>
      </c>
      <c r="C188" s="60" t="s">
        <v>328</v>
      </c>
      <c r="D188" s="60">
        <v>72392</v>
      </c>
      <c r="E188" s="21">
        <v>3439.02</v>
      </c>
      <c r="F188" s="19"/>
      <c r="G188" s="21"/>
      <c r="H188" s="19"/>
      <c r="I188" s="20">
        <v>45385</v>
      </c>
    </row>
    <row r="189" spans="1:9">
      <c r="A189" s="18">
        <v>823</v>
      </c>
      <c r="B189" s="19" t="str">
        <f>IFERROR(VLOOKUP(A189,CLIENTES!A:E,2,0),"CADASTRAR CLIENTE")</f>
        <v>SANCHES x SANCHES S/C LTDA</v>
      </c>
      <c r="C189" s="60" t="s">
        <v>328</v>
      </c>
      <c r="D189" s="60">
        <v>71504</v>
      </c>
      <c r="E189" s="21">
        <v>3860.18</v>
      </c>
      <c r="F189" s="19"/>
      <c r="G189" s="21"/>
      <c r="H189" s="19"/>
      <c r="I189" s="20">
        <v>45385</v>
      </c>
    </row>
    <row r="190" spans="1:9">
      <c r="A190" s="18">
        <v>823</v>
      </c>
      <c r="B190" s="19" t="str">
        <f>IFERROR(VLOOKUP(A190,CLIENTES!A:E,2,0),"CADASTRAR CLIENTE")</f>
        <v>SANCHES x SANCHES S/C LTDA</v>
      </c>
      <c r="C190" s="60" t="s">
        <v>328</v>
      </c>
      <c r="D190" s="60">
        <v>98317</v>
      </c>
      <c r="E190" s="21">
        <v>1077.6500000000001</v>
      </c>
      <c r="F190" s="19"/>
      <c r="G190" s="21"/>
      <c r="H190" s="19"/>
      <c r="I190" s="20">
        <v>45385</v>
      </c>
    </row>
    <row r="191" spans="1:9">
      <c r="A191" s="18">
        <v>50558</v>
      </c>
      <c r="B191" s="19" t="str">
        <f>IFERROR(VLOOKUP(A191,CLIENTES!A:E,2,0),"CADASTRAR CLIENTE")</f>
        <v>FUNDACAO PAULISTA DE TECNOLOGIA E EDUCACAO</v>
      </c>
      <c r="C191" s="60" t="s">
        <v>2</v>
      </c>
      <c r="D191" s="60">
        <v>72387</v>
      </c>
      <c r="E191" s="21">
        <v>1476</v>
      </c>
      <c r="F191" s="19"/>
      <c r="G191" s="21"/>
      <c r="H191" s="19"/>
      <c r="I191" s="20">
        <v>45385</v>
      </c>
    </row>
    <row r="192" spans="1:9">
      <c r="A192" s="18">
        <v>731</v>
      </c>
      <c r="B192" s="19" t="str">
        <f>IFERROR(VLOOKUP(A192,CLIENTES!A:E,2,0),"CADASTRAR CLIENTE")</f>
        <v>UNILAB LABORATORIO ANALISES CLINICAS SANTA FE DO SUL LTDA</v>
      </c>
      <c r="C192" s="60" t="s">
        <v>3</v>
      </c>
      <c r="D192" s="60">
        <v>72408</v>
      </c>
      <c r="E192" s="21">
        <v>1515</v>
      </c>
      <c r="F192" s="19"/>
      <c r="G192" s="21"/>
      <c r="H192" s="19"/>
      <c r="I192" s="20">
        <v>45385</v>
      </c>
    </row>
    <row r="193" spans="1:9">
      <c r="A193" s="18">
        <v>2702</v>
      </c>
      <c r="B193" s="19" t="str">
        <f>IFERROR(VLOOKUP(A193,CLIENTES!A:E,2,0),"CADASTRAR CLIENTE")</f>
        <v>SANTA CASA DE MISER. DE TAQUARITUBA</v>
      </c>
      <c r="C193" s="60" t="s">
        <v>3</v>
      </c>
      <c r="D193" s="60">
        <v>72319</v>
      </c>
      <c r="E193" s="21">
        <v>331.4</v>
      </c>
      <c r="F193" s="19"/>
      <c r="G193" s="21"/>
      <c r="H193" s="19"/>
      <c r="I193" s="20">
        <v>45385</v>
      </c>
    </row>
    <row r="194" spans="1:9">
      <c r="A194" s="18">
        <v>708</v>
      </c>
      <c r="B194" s="19" t="str">
        <f>IFERROR(VLOOKUP(A194,CLIENTES!A:E,2,0),"CADASTRAR CLIENTE")</f>
        <v>IMEDI INST.MEDICO DE PAT.E DIAGNOSTICO SC LTDA.</v>
      </c>
      <c r="C194" s="60" t="s">
        <v>3</v>
      </c>
      <c r="D194" s="60">
        <v>72368</v>
      </c>
      <c r="E194" s="21">
        <v>145.5</v>
      </c>
      <c r="F194" s="19"/>
      <c r="G194" s="21"/>
      <c r="H194" s="19"/>
      <c r="I194" s="20">
        <v>45385</v>
      </c>
    </row>
    <row r="195" spans="1:9">
      <c r="A195" s="18">
        <v>3475</v>
      </c>
      <c r="B195" s="19" t="str">
        <f>IFERROR(VLOOKUP(A195,CLIENTES!A:E,2,0),"CADASTRAR CLIENTE")</f>
        <v>LQF LABORATORIO QUIMICO FARMACEUTICO RIO PRETO EIRELI - ME</v>
      </c>
      <c r="C195" s="60" t="s">
        <v>3</v>
      </c>
      <c r="D195" s="60">
        <v>72002</v>
      </c>
      <c r="E195" s="21">
        <v>458.9</v>
      </c>
      <c r="F195" s="19"/>
      <c r="G195" s="21"/>
      <c r="H195" s="19"/>
      <c r="I195" s="20">
        <v>45385</v>
      </c>
    </row>
    <row r="196" spans="1:9">
      <c r="A196" s="18">
        <v>761</v>
      </c>
      <c r="B196" s="19" t="str">
        <f>IFERROR(VLOOKUP(A196,CLIENTES!A:E,2,0),"CADASTRAR CLIENTE")</f>
        <v>EXAME CENTRO DIAG.M.ARACATUBA SC LTDA.</v>
      </c>
      <c r="C196" s="60" t="s">
        <v>3</v>
      </c>
      <c r="D196" s="60">
        <v>98404</v>
      </c>
      <c r="E196" s="21">
        <v>299.05</v>
      </c>
      <c r="F196" s="19"/>
      <c r="G196" s="21"/>
      <c r="H196" s="19"/>
      <c r="I196" s="20">
        <v>45385</v>
      </c>
    </row>
    <row r="197" spans="1:9">
      <c r="A197" s="18">
        <v>761</v>
      </c>
      <c r="B197" s="19" t="str">
        <f>IFERROR(VLOOKUP(A197,CLIENTES!A:E,2,0),"CADASTRAR CLIENTE")</f>
        <v>EXAME CENTRO DIAG.M.ARACATUBA SC LTDA.</v>
      </c>
      <c r="C197" s="60" t="s">
        <v>3</v>
      </c>
      <c r="D197" s="60">
        <v>71459</v>
      </c>
      <c r="E197" s="21">
        <v>195</v>
      </c>
      <c r="F197" s="19"/>
      <c r="G197" s="21"/>
      <c r="H197" s="19"/>
      <c r="I197" s="20">
        <v>45385</v>
      </c>
    </row>
    <row r="198" spans="1:9">
      <c r="A198" s="18">
        <v>761</v>
      </c>
      <c r="B198" s="19" t="str">
        <f>IFERROR(VLOOKUP(A198,CLIENTES!A:E,2,0),"CADASTRAR CLIENTE")</f>
        <v>EXAME CENTRO DIAG.M.ARACATUBA SC LTDA.</v>
      </c>
      <c r="C198" s="60" t="s">
        <v>3</v>
      </c>
      <c r="D198" s="60">
        <v>72432</v>
      </c>
      <c r="E198" s="21">
        <v>810.87</v>
      </c>
      <c r="F198" s="19"/>
      <c r="G198" s="21"/>
      <c r="H198" s="19"/>
      <c r="I198" s="20">
        <v>45385</v>
      </c>
    </row>
    <row r="199" spans="1:9">
      <c r="A199" s="18">
        <v>731</v>
      </c>
      <c r="B199" s="19" t="str">
        <f>IFERROR(VLOOKUP(A199,CLIENTES!A:E,2,0),"CADASTRAR CLIENTE")</f>
        <v>UNILAB LABORATORIO ANALISES CLINICAS SANTA FE DO SUL LTDA</v>
      </c>
      <c r="C199" s="60" t="s">
        <v>3</v>
      </c>
      <c r="D199" s="60">
        <v>72468</v>
      </c>
      <c r="E199" s="21">
        <v>243.9</v>
      </c>
      <c r="F199" s="19"/>
      <c r="G199" s="21"/>
      <c r="H199" s="19"/>
      <c r="I199" s="20">
        <v>45385</v>
      </c>
    </row>
    <row r="200" spans="1:9">
      <c r="A200" s="18">
        <v>731</v>
      </c>
      <c r="B200" s="19" t="str">
        <f>IFERROR(VLOOKUP(A200,CLIENTES!A:E,2,0),"CADASTRAR CLIENTE")</f>
        <v>UNILAB LABORATORIO ANALISES CLINICAS SANTA FE DO SUL LTDA</v>
      </c>
      <c r="C200" s="60" t="s">
        <v>3</v>
      </c>
      <c r="D200" s="60">
        <v>98412</v>
      </c>
      <c r="E200" s="21">
        <v>118</v>
      </c>
      <c r="F200" s="19"/>
      <c r="G200" s="21"/>
      <c r="H200" s="19"/>
      <c r="I200" s="20">
        <v>45386</v>
      </c>
    </row>
    <row r="201" spans="1:9">
      <c r="A201" s="18">
        <v>581</v>
      </c>
      <c r="B201" s="19" t="str">
        <f>IFERROR(VLOOKUP(A201,CLIENTES!A:E,2,0),"CADASTRAR CLIENTE")</f>
        <v>CLINILAB LABORAT. ANAL. CLIN SC LTDA</v>
      </c>
      <c r="C201" s="60" t="s">
        <v>3</v>
      </c>
      <c r="D201" s="60">
        <v>72494</v>
      </c>
      <c r="E201" s="21">
        <v>110</v>
      </c>
      <c r="F201" s="19"/>
      <c r="G201" s="21"/>
      <c r="H201" s="19"/>
      <c r="I201" s="20">
        <v>45386</v>
      </c>
    </row>
    <row r="202" spans="1:9">
      <c r="A202" s="18">
        <v>581</v>
      </c>
      <c r="B202" s="19" t="str">
        <f>IFERROR(VLOOKUP(A202,CLIENTES!A:E,2,0),"CADASTRAR CLIENTE")</f>
        <v>CLINILAB LABORAT. ANAL. CLIN SC LTDA</v>
      </c>
      <c r="C202" s="60" t="s">
        <v>3</v>
      </c>
      <c r="D202" s="60">
        <v>98418</v>
      </c>
      <c r="E202" s="21">
        <v>2256.21</v>
      </c>
      <c r="F202" s="19"/>
      <c r="G202" s="21"/>
      <c r="H202" s="19"/>
      <c r="I202" s="20">
        <v>45386</v>
      </c>
    </row>
    <row r="203" spans="1:9">
      <c r="A203" s="18">
        <v>311</v>
      </c>
      <c r="B203" s="19" t="str">
        <f>IFERROR(VLOOKUP(A203,CLIENTES!A:E,2,0),"CADASTRAR CLIENTE")</f>
        <v>CENTRO DE ANAL.CLIN. UNILAB  SC LTDA.</v>
      </c>
      <c r="C203" s="60" t="s">
        <v>3</v>
      </c>
      <c r="D203" s="60">
        <v>72502</v>
      </c>
      <c r="E203" s="21">
        <v>1223.8499999999999</v>
      </c>
      <c r="F203" s="19"/>
      <c r="G203" s="21"/>
      <c r="H203" s="19"/>
      <c r="I203" s="20">
        <v>45386</v>
      </c>
    </row>
    <row r="204" spans="1:9">
      <c r="A204" s="18">
        <v>311</v>
      </c>
      <c r="B204" s="19" t="str">
        <f>IFERROR(VLOOKUP(A204,CLIENTES!A:E,2,0),"CADASTRAR CLIENTE")</f>
        <v>CENTRO DE ANAL.CLIN. UNILAB  SC LTDA.</v>
      </c>
      <c r="C204" s="60" t="s">
        <v>3</v>
      </c>
      <c r="D204" s="60">
        <v>98417</v>
      </c>
      <c r="E204" s="21">
        <v>367.6</v>
      </c>
      <c r="F204" s="19"/>
      <c r="G204" s="21"/>
      <c r="H204" s="19"/>
      <c r="I204" s="20">
        <v>45386</v>
      </c>
    </row>
    <row r="205" spans="1:9">
      <c r="A205" s="18">
        <v>960</v>
      </c>
      <c r="B205" s="19" t="str">
        <f>IFERROR(VLOOKUP(A205,CLIENTES!A:E,2,0),"CADASTRAR CLIENTE")</f>
        <v>LUIS VALERIO FILHO-ME</v>
      </c>
      <c r="C205" s="60" t="s">
        <v>3</v>
      </c>
      <c r="D205" s="60">
        <v>72471</v>
      </c>
      <c r="E205" s="21">
        <v>505</v>
      </c>
      <c r="F205" s="19"/>
      <c r="G205" s="21"/>
      <c r="H205" s="19"/>
      <c r="I205" s="20">
        <v>45386</v>
      </c>
    </row>
    <row r="206" spans="1:9">
      <c r="A206" s="18">
        <v>432</v>
      </c>
      <c r="B206" s="19" t="str">
        <f>IFERROR(VLOOKUP(A206,CLIENTES!A:E,2,0),"CADASTRAR CLIENTE")</f>
        <v>LABORATORIO PASTEUR HEMATOLOGIA E MICROBIOLOGIA S/S LTDA</v>
      </c>
      <c r="C206" s="60" t="s">
        <v>3</v>
      </c>
      <c r="D206" s="60">
        <v>72435</v>
      </c>
      <c r="E206" s="21">
        <v>3484.95</v>
      </c>
      <c r="F206" s="19"/>
      <c r="G206" s="21"/>
      <c r="H206" s="19"/>
      <c r="I206" s="20">
        <v>45386</v>
      </c>
    </row>
    <row r="207" spans="1:9">
      <c r="A207" s="18">
        <v>432</v>
      </c>
      <c r="B207" s="19" t="str">
        <f>IFERROR(VLOOKUP(A207,CLIENTES!A:E,2,0),"CADASTRAR CLIENTE")</f>
        <v>LABORATORIO PASTEUR HEMATOLOGIA E MICROBIOLOGIA S/S LTDA</v>
      </c>
      <c r="C207" s="60" t="s">
        <v>3</v>
      </c>
      <c r="D207" s="60">
        <v>98396</v>
      </c>
      <c r="E207" s="21">
        <v>206.47</v>
      </c>
      <c r="F207" s="19"/>
      <c r="G207" s="21"/>
      <c r="H207" s="19"/>
      <c r="I207" s="20">
        <v>45386</v>
      </c>
    </row>
    <row r="208" spans="1:9">
      <c r="A208" s="18">
        <v>708</v>
      </c>
      <c r="B208" s="19" t="str">
        <f>IFERROR(VLOOKUP(A208,CLIENTES!A:E,2,0),"CADASTRAR CLIENTE")</f>
        <v>IMEDI INST.MEDICO DE PAT.E DIAGNOSTICO SC LTDA.</v>
      </c>
      <c r="C208" s="60" t="s">
        <v>3</v>
      </c>
      <c r="D208" s="60">
        <v>72506</v>
      </c>
      <c r="E208" s="21">
        <v>700</v>
      </c>
      <c r="F208" s="19"/>
      <c r="G208" s="21"/>
      <c r="H208" s="19"/>
      <c r="I208" s="20">
        <v>45386</v>
      </c>
    </row>
    <row r="209" spans="1:9">
      <c r="A209" s="18">
        <v>3240</v>
      </c>
      <c r="B209" s="19" t="str">
        <f>IFERROR(VLOOKUP(A209,CLIENTES!A:E,2,0),"CADASTRAR CLIENTE")</f>
        <v>LABORLOPES LABORATORIO DE  ANALISES CLINICAS LTDA</v>
      </c>
      <c r="C209" s="60" t="s">
        <v>3</v>
      </c>
      <c r="D209" s="60">
        <v>72517</v>
      </c>
      <c r="E209" s="21">
        <v>924.81</v>
      </c>
      <c r="F209" s="19"/>
      <c r="G209" s="21"/>
      <c r="H209" s="19"/>
      <c r="I209" s="20">
        <v>45387</v>
      </c>
    </row>
    <row r="210" spans="1:9">
      <c r="A210" s="18">
        <v>3240</v>
      </c>
      <c r="B210" s="19" t="str">
        <f>IFERROR(VLOOKUP(A210,CLIENTES!A:E,2,0),"CADASTRAR CLIENTE")</f>
        <v>LABORLOPES LABORATORIO DE  ANALISES CLINICAS LTDA</v>
      </c>
      <c r="C210" s="60" t="s">
        <v>3</v>
      </c>
      <c r="D210" s="60">
        <v>98426</v>
      </c>
      <c r="E210" s="21">
        <v>446.01</v>
      </c>
      <c r="F210" s="19"/>
      <c r="G210" s="21"/>
      <c r="H210" s="19"/>
      <c r="I210" s="20">
        <v>45387</v>
      </c>
    </row>
    <row r="211" spans="1:9">
      <c r="A211" s="18">
        <v>50418</v>
      </c>
      <c r="B211" s="19" t="str">
        <f>IFERROR(VLOOKUP(A211,CLIENTES!A:E,2,0),"CADASTRAR CLIENTE")</f>
        <v>LABORATORIO SAO LUCAS DE BROTAS SS LTDA</v>
      </c>
      <c r="C211" s="60" t="s">
        <v>3</v>
      </c>
      <c r="D211" s="60">
        <v>72522</v>
      </c>
      <c r="E211" s="21">
        <v>1035.5899999999999</v>
      </c>
      <c r="F211" s="19"/>
      <c r="G211" s="21"/>
      <c r="H211" s="19"/>
      <c r="I211" s="20">
        <v>45387</v>
      </c>
    </row>
    <row r="212" spans="1:9">
      <c r="A212" s="18">
        <v>1502</v>
      </c>
      <c r="B212" s="19" t="str">
        <f>IFERROR(VLOOKUP(A212,CLIENTES!A:E,2,0),"CADASTRAR CLIENTE")</f>
        <v>ASSOC.CASA DE SAUDE BEN. DE INDIAPORA</v>
      </c>
      <c r="C212" s="60" t="s">
        <v>2</v>
      </c>
      <c r="D212" s="60">
        <v>72531</v>
      </c>
      <c r="E212" s="21">
        <v>2602</v>
      </c>
      <c r="F212" s="19"/>
      <c r="G212" s="21"/>
      <c r="H212" s="19"/>
      <c r="I212" s="20">
        <v>45387</v>
      </c>
    </row>
    <row r="213" spans="1:9">
      <c r="A213" s="18">
        <v>50219</v>
      </c>
      <c r="B213" s="19" t="str">
        <f>IFERROR(VLOOKUP(A213,CLIENTES!A:E,2,0),"CADASTRAR CLIENTE")</f>
        <v>UNIPREV LAB DE ANALISES LOCACAO DE BENS E REPAROS LTDA EPP</v>
      </c>
      <c r="C213" s="60" t="s">
        <v>3</v>
      </c>
      <c r="D213" s="60">
        <v>73540</v>
      </c>
      <c r="E213" s="21">
        <v>884.8</v>
      </c>
      <c r="F213" s="19"/>
      <c r="G213" s="21"/>
      <c r="H213" s="19"/>
      <c r="I213" s="20">
        <v>45387</v>
      </c>
    </row>
    <row r="214" spans="1:9">
      <c r="A214" s="18">
        <v>480</v>
      </c>
      <c r="B214" s="19" t="str">
        <f>IFERROR(VLOOKUP(A214,CLIENTES!A:E,2,0),"CADASTRAR CLIENTE")</f>
        <v>LAB SAO LUCAS</v>
      </c>
      <c r="C214" s="60" t="s">
        <v>3</v>
      </c>
      <c r="D214" s="60">
        <v>72544</v>
      </c>
      <c r="E214" s="21">
        <v>1768.73</v>
      </c>
      <c r="F214" s="19"/>
      <c r="G214" s="21"/>
      <c r="H214" s="19"/>
      <c r="I214" s="20">
        <v>45387</v>
      </c>
    </row>
    <row r="215" spans="1:9">
      <c r="A215" s="18">
        <v>690</v>
      </c>
      <c r="B215" s="19" t="str">
        <f>IFERROR(VLOOKUP(A215,CLIENTES!A:E,2,0),"CADASTRAR CLIENTE")</f>
        <v>SAO ROQUE MEDICINA DIAGNOSTICA LTDA EPP</v>
      </c>
      <c r="C215" s="60" t="s">
        <v>328</v>
      </c>
      <c r="D215" s="60">
        <v>98436</v>
      </c>
      <c r="E215" s="21">
        <v>899.15</v>
      </c>
      <c r="F215" s="19"/>
      <c r="G215" s="21"/>
      <c r="H215" s="19"/>
      <c r="I215" s="20">
        <v>45390</v>
      </c>
    </row>
    <row r="216" spans="1:9">
      <c r="A216" s="18">
        <v>690</v>
      </c>
      <c r="B216" s="19" t="str">
        <f>IFERROR(VLOOKUP(A216,CLIENTES!A:E,2,0),"CADASTRAR CLIENTE")</f>
        <v>SAO ROQUE MEDICINA DIAGNOSTICA LTDA EPP</v>
      </c>
      <c r="C216" s="60" t="s">
        <v>328</v>
      </c>
      <c r="D216" s="60">
        <v>72566</v>
      </c>
      <c r="E216" s="21">
        <v>6810.5</v>
      </c>
      <c r="F216" s="19"/>
      <c r="G216" s="21"/>
      <c r="H216" s="19"/>
      <c r="I216" s="20">
        <v>45390</v>
      </c>
    </row>
    <row r="217" spans="1:9">
      <c r="A217" s="18">
        <v>3153</v>
      </c>
      <c r="B217" s="19" t="str">
        <f>IFERROR(VLOOKUP(A217,CLIENTES!A:E,2,0),"CADASTRAR CLIENTE")</f>
        <v>UNIMED DE TUPA COOPERATIVA DE TRABALHO MEDICO</v>
      </c>
      <c r="C217" s="60" t="s">
        <v>3</v>
      </c>
      <c r="D217" s="60">
        <v>72562</v>
      </c>
      <c r="E217" s="21">
        <v>2897.8</v>
      </c>
      <c r="F217" s="19"/>
      <c r="G217" s="21"/>
      <c r="H217" s="19"/>
      <c r="I217" s="20">
        <v>45390</v>
      </c>
    </row>
    <row r="218" spans="1:9">
      <c r="A218" s="18">
        <v>3194</v>
      </c>
      <c r="B218" s="19" t="str">
        <f>IFERROR(VLOOKUP(A218,CLIENTES!A:E,2,0),"CADASTRAR CLIENTE")</f>
        <v>CENTRO DE DIAGNOSTICOS CONTROLE LTDA</v>
      </c>
      <c r="C218" s="60" t="s">
        <v>328</v>
      </c>
      <c r="D218" s="60">
        <v>94837</v>
      </c>
      <c r="E218" s="21">
        <v>60.3</v>
      </c>
      <c r="F218" s="19"/>
      <c r="G218" s="21"/>
      <c r="H218" s="19"/>
      <c r="I218" s="20">
        <v>45390</v>
      </c>
    </row>
    <row r="219" spans="1:9">
      <c r="A219" s="18">
        <v>3194</v>
      </c>
      <c r="B219" s="19" t="str">
        <f>IFERROR(VLOOKUP(A219,CLIENTES!A:E,2,0),"CADASTRAR CLIENTE")</f>
        <v>CENTRO DE DIAGNOSTICOS CONTROLE LTDA</v>
      </c>
      <c r="C219" s="60" t="s">
        <v>328</v>
      </c>
      <c r="D219" s="60">
        <v>72568</v>
      </c>
      <c r="E219" s="21">
        <v>208.5</v>
      </c>
      <c r="F219" s="19"/>
      <c r="G219" s="21"/>
      <c r="H219" s="19"/>
      <c r="I219" s="20">
        <v>45390</v>
      </c>
    </row>
    <row r="220" spans="1:9">
      <c r="A220" s="18">
        <v>618</v>
      </c>
      <c r="B220" s="19" t="str">
        <f>IFERROR(VLOOKUP(A220,CLIENTES!A:E,2,0),"CADASTRAR CLIENTE")</f>
        <v>LAB. ANAL. CLIN. POMPEIA</v>
      </c>
      <c r="C220" s="60" t="s">
        <v>3</v>
      </c>
      <c r="D220" s="60">
        <v>72595</v>
      </c>
      <c r="E220" s="21">
        <v>228.4</v>
      </c>
      <c r="F220" s="19"/>
      <c r="G220" s="21"/>
      <c r="H220" s="19"/>
      <c r="I220" s="20">
        <v>45390</v>
      </c>
    </row>
    <row r="221" spans="1:9">
      <c r="A221" s="18">
        <v>1262</v>
      </c>
      <c r="B221" s="19" t="str">
        <f>IFERROR(VLOOKUP(A221,CLIENTES!A:E,2,0),"CADASTRAR CLIENTE")</f>
        <v>CADASTRAR CLIENTE</v>
      </c>
      <c r="C221" s="60" t="s">
        <v>3</v>
      </c>
      <c r="D221" s="60">
        <v>72577</v>
      </c>
      <c r="E221" s="21">
        <v>698.4</v>
      </c>
      <c r="F221" s="19"/>
      <c r="G221" s="21"/>
      <c r="H221" s="19"/>
      <c r="I221" s="20">
        <v>45390</v>
      </c>
    </row>
    <row r="222" spans="1:9">
      <c r="A222" s="18">
        <v>2911</v>
      </c>
      <c r="B222" s="19" t="str">
        <f>IFERROR(VLOOKUP(A222,CLIENTES!A:E,2,0),"CADASTRAR CLIENTE")</f>
        <v>BIOLIFE-LABORATORIO DE ANALISES CLINICAS LTDA</v>
      </c>
      <c r="C222" s="60" t="s">
        <v>3</v>
      </c>
      <c r="D222" s="60">
        <v>98441</v>
      </c>
      <c r="E222" s="21">
        <v>158.4</v>
      </c>
      <c r="F222" s="19"/>
      <c r="G222" s="21"/>
      <c r="H222" s="19"/>
      <c r="I222" s="20">
        <v>45390</v>
      </c>
    </row>
    <row r="223" spans="1:9">
      <c r="A223" s="18">
        <v>2911</v>
      </c>
      <c r="B223" s="19" t="str">
        <f>IFERROR(VLOOKUP(A223,CLIENTES!A:E,2,0),"CADASTRAR CLIENTE")</f>
        <v>BIOLIFE-LABORATORIO DE ANALISES CLINICAS LTDA</v>
      </c>
      <c r="C223" s="60" t="s">
        <v>3</v>
      </c>
      <c r="D223" s="60">
        <v>72572</v>
      </c>
      <c r="E223" s="21">
        <v>1541.24</v>
      </c>
      <c r="F223" s="19"/>
      <c r="G223" s="21"/>
      <c r="H223" s="19"/>
      <c r="I223" s="20">
        <v>45391</v>
      </c>
    </row>
    <row r="224" spans="1:9">
      <c r="A224" s="18">
        <v>1206</v>
      </c>
      <c r="B224" s="19" t="str">
        <f>IFERROR(VLOOKUP(A224,CLIENTES!A:E,2,0),"CADASTRAR CLIENTE")</f>
        <v>LABORATORIO RIO NEGRO CENTER DE MARILIA  LTDA</v>
      </c>
      <c r="C224" s="60" t="s">
        <v>328</v>
      </c>
      <c r="D224" s="60">
        <v>72636</v>
      </c>
      <c r="E224" s="21">
        <v>2277.9899999999998</v>
      </c>
      <c r="F224" s="19"/>
      <c r="G224" s="21"/>
      <c r="H224" s="19"/>
      <c r="I224" s="20">
        <v>45391</v>
      </c>
    </row>
    <row r="225" spans="1:9">
      <c r="A225" s="18">
        <v>1164</v>
      </c>
      <c r="B225" s="19" t="str">
        <f>IFERROR(VLOOKUP(A225,CLIENTES!A:E,2,0),"CADASTRAR CLIENTE")</f>
        <v>LAB. ANAL. CLIN. SAO LOURENCO S/C LTDA</v>
      </c>
      <c r="C225" s="60" t="s">
        <v>3</v>
      </c>
      <c r="D225" s="60">
        <v>72637</v>
      </c>
      <c r="E225" s="21">
        <v>861.61</v>
      </c>
      <c r="F225" s="19"/>
      <c r="G225" s="21"/>
      <c r="H225" s="19"/>
      <c r="I225" s="20">
        <v>45391</v>
      </c>
    </row>
    <row r="226" spans="1:9">
      <c r="A226" s="18">
        <v>1164</v>
      </c>
      <c r="B226" s="19" t="str">
        <f>IFERROR(VLOOKUP(A226,CLIENTES!A:E,2,0),"CADASTRAR CLIENTE")</f>
        <v>LAB. ANAL. CLIN. SAO LOURENCO S/C LTDA</v>
      </c>
      <c r="C226" s="60" t="s">
        <v>3</v>
      </c>
      <c r="D226" s="60">
        <v>98452</v>
      </c>
      <c r="E226" s="21">
        <v>60.76</v>
      </c>
      <c r="F226" s="19"/>
      <c r="G226" s="21"/>
      <c r="H226" s="19"/>
      <c r="I226" s="20">
        <v>45391</v>
      </c>
    </row>
    <row r="227" spans="1:9">
      <c r="A227" s="18">
        <v>475</v>
      </c>
      <c r="B227" s="19" t="str">
        <f>IFERROR(VLOOKUP(A227,CLIENTES!A:E,2,0),"CADASTRAR CLIENTE")</f>
        <v>LABORATORIO DE ANALISES CLINICAS SRC LTDA</v>
      </c>
      <c r="C227" s="60" t="s">
        <v>3</v>
      </c>
      <c r="D227" s="60">
        <v>72479</v>
      </c>
      <c r="E227" s="21">
        <v>19760.22</v>
      </c>
      <c r="F227" s="19"/>
      <c r="G227" s="21"/>
      <c r="H227" s="19"/>
      <c r="I227" s="20">
        <v>45391</v>
      </c>
    </row>
    <row r="228" spans="1:9">
      <c r="A228" s="18">
        <v>475</v>
      </c>
      <c r="B228" s="19" t="str">
        <f>IFERROR(VLOOKUP(A228,CLIENTES!A:E,2,0),"CADASTRAR CLIENTE")</f>
        <v>LABORATORIO DE ANALISES CLINICAS SRC LTDA</v>
      </c>
      <c r="C228" s="60" t="s">
        <v>3</v>
      </c>
      <c r="D228" s="60">
        <v>98413</v>
      </c>
      <c r="E228" s="21">
        <v>619.4</v>
      </c>
      <c r="F228" s="19"/>
      <c r="G228" s="21"/>
      <c r="H228" s="19"/>
      <c r="I228" s="20">
        <v>45391</v>
      </c>
    </row>
    <row r="229" spans="1:9">
      <c r="A229" s="18">
        <v>50554</v>
      </c>
      <c r="B229" s="19" t="str">
        <f>IFERROR(VLOOKUP(A229,CLIENTES!A:E,2,0),"CADASTRAR CLIENTE")</f>
        <v>SAO ROQUE MEDICINA DIAGNOSTICA</v>
      </c>
      <c r="C229" s="60" t="s">
        <v>328</v>
      </c>
      <c r="D229" s="60">
        <v>72681</v>
      </c>
      <c r="E229" s="21">
        <v>3247.1</v>
      </c>
      <c r="F229" s="19"/>
      <c r="G229" s="21"/>
      <c r="H229" s="19"/>
      <c r="I229" s="20">
        <v>45391</v>
      </c>
    </row>
    <row r="230" spans="1:9">
      <c r="A230" s="18">
        <v>50497</v>
      </c>
      <c r="B230" s="19" t="str">
        <f>IFERROR(VLOOKUP(A230,CLIENTES!A:E,2,0),"CADASTRAR CLIENTE")</f>
        <v>DIAGNOSTIKA-UNIDADE DIAGNOSTICA EM PATOLOGIA CIRURGICA E CITOLOGIA LTDA</v>
      </c>
      <c r="C230" s="60" t="s">
        <v>328</v>
      </c>
      <c r="D230" s="60">
        <v>98464</v>
      </c>
      <c r="E230" s="21">
        <v>788.2</v>
      </c>
      <c r="F230" s="19"/>
      <c r="G230" s="21"/>
      <c r="H230" s="19"/>
      <c r="I230" s="20">
        <v>45391</v>
      </c>
    </row>
    <row r="231" spans="1:9">
      <c r="A231" s="18">
        <v>432</v>
      </c>
      <c r="B231" s="19" t="str">
        <f>IFERROR(VLOOKUP(A231,CLIENTES!A:E,2,0),"CADASTRAR CLIENTE")</f>
        <v>LABORATORIO PASTEUR HEMATOLOGIA E MICROBIOLOGIA S/S LTDA</v>
      </c>
      <c r="C231" s="60" t="s">
        <v>3</v>
      </c>
      <c r="D231" s="60">
        <v>72684</v>
      </c>
      <c r="E231" s="21">
        <v>388.55</v>
      </c>
      <c r="F231" s="19"/>
      <c r="G231" s="21"/>
      <c r="H231" s="19"/>
      <c r="I231" s="20">
        <v>45392</v>
      </c>
    </row>
    <row r="232" spans="1:9">
      <c r="A232" s="18">
        <v>731</v>
      </c>
      <c r="B232" s="19" t="str">
        <f>IFERROR(VLOOKUP(A232,CLIENTES!A:E,2,0),"CADASTRAR CLIENTE")</f>
        <v>UNILAB LABORATORIO ANALISES CLINICAS SANTA FE DO SUL LTDA</v>
      </c>
      <c r="C232" s="60" t="s">
        <v>3</v>
      </c>
      <c r="D232" s="60">
        <v>72703</v>
      </c>
      <c r="E232" s="21">
        <v>1515</v>
      </c>
      <c r="F232" s="19"/>
      <c r="G232" s="21"/>
      <c r="H232" s="19"/>
      <c r="I232" s="20">
        <v>45392</v>
      </c>
    </row>
    <row r="233" spans="1:9">
      <c r="A233" s="18">
        <v>618</v>
      </c>
      <c r="B233" s="19" t="str">
        <f>IFERROR(VLOOKUP(A233,CLIENTES!A:E,2,0),"CADASTRAR CLIENTE")</f>
        <v>LAB. ANAL. CLIN. POMPEIA</v>
      </c>
      <c r="C233" s="60" t="s">
        <v>3</v>
      </c>
      <c r="D233" s="60">
        <v>98473</v>
      </c>
      <c r="E233" s="21">
        <v>269.04000000000002</v>
      </c>
      <c r="F233" s="19"/>
      <c r="G233" s="21"/>
      <c r="H233" s="19"/>
      <c r="I233" s="20">
        <v>45392</v>
      </c>
    </row>
    <row r="234" spans="1:9">
      <c r="A234" s="18">
        <v>618</v>
      </c>
      <c r="B234" s="19" t="str">
        <f>IFERROR(VLOOKUP(A234,CLIENTES!A:E,2,0),"CADASTRAR CLIENTE")</f>
        <v>LAB. ANAL. CLIN. POMPEIA</v>
      </c>
      <c r="C234" s="60" t="s">
        <v>328</v>
      </c>
      <c r="D234" s="60">
        <v>72728</v>
      </c>
      <c r="E234" s="21">
        <v>521.70000000000005</v>
      </c>
      <c r="F234" s="19"/>
      <c r="G234" s="21"/>
      <c r="H234" s="19"/>
      <c r="I234" s="20">
        <v>45392</v>
      </c>
    </row>
    <row r="235" spans="1:9">
      <c r="A235" s="18">
        <v>874</v>
      </c>
      <c r="B235" s="19" t="str">
        <f>IFERROR(VLOOKUP(A235,CLIENTES!A:E,2,0),"CADASTRAR CLIENTE")</f>
        <v>LAB.ANAL.CLIN ABI JAUDI SC LTDA.</v>
      </c>
      <c r="C235" s="60" t="s">
        <v>3</v>
      </c>
      <c r="D235" s="60">
        <v>72732</v>
      </c>
      <c r="E235" s="21">
        <v>1070.58</v>
      </c>
      <c r="F235" s="19"/>
      <c r="G235" s="21"/>
      <c r="H235" s="19"/>
      <c r="I235" s="20">
        <v>45392</v>
      </c>
    </row>
    <row r="236" spans="1:9">
      <c r="A236" s="18">
        <v>823</v>
      </c>
      <c r="B236" s="19" t="str">
        <f>IFERROR(VLOOKUP(A236,CLIENTES!A:E,2,0),"CADASTRAR CLIENTE")</f>
        <v>SANCHES x SANCHES S/C LTDA</v>
      </c>
      <c r="C236" s="60" t="s">
        <v>3</v>
      </c>
      <c r="D236" s="60">
        <v>72644</v>
      </c>
      <c r="E236" s="21">
        <v>1864.86</v>
      </c>
      <c r="F236" s="19"/>
      <c r="G236" s="21"/>
      <c r="H236" s="19"/>
      <c r="I236" s="20">
        <v>45392</v>
      </c>
    </row>
    <row r="237" spans="1:9">
      <c r="A237" s="18">
        <v>756</v>
      </c>
      <c r="B237" s="19" t="str">
        <f>IFERROR(VLOOKUP(A237,CLIENTES!A:E,2,0),"CADASTRAR CLIENTE")</f>
        <v>LAB.TRIANON DE ANAL.CLIN.SC LTDA.</v>
      </c>
      <c r="C237" s="60" t="s">
        <v>3</v>
      </c>
      <c r="D237" s="60">
        <v>98476</v>
      </c>
      <c r="E237" s="21">
        <v>206.47</v>
      </c>
      <c r="F237" s="19"/>
      <c r="G237" s="21"/>
      <c r="H237" s="19"/>
      <c r="I237" s="20">
        <v>45392</v>
      </c>
    </row>
    <row r="238" spans="1:9">
      <c r="A238" s="18">
        <v>756</v>
      </c>
      <c r="B238" s="19" t="str">
        <f>IFERROR(VLOOKUP(A238,CLIENTES!A:E,2,0),"CADASTRAR CLIENTE")</f>
        <v>LAB.TRIANON DE ANAL.CLIN.SC LTDA.</v>
      </c>
      <c r="C238" s="60" t="s">
        <v>3</v>
      </c>
      <c r="D238" s="60">
        <v>72737</v>
      </c>
      <c r="E238" s="21">
        <v>5783.68</v>
      </c>
      <c r="F238" s="19"/>
      <c r="G238" s="21"/>
      <c r="H238" s="19"/>
      <c r="I238" s="20">
        <v>45392</v>
      </c>
    </row>
    <row r="239" spans="1:9">
      <c r="A239" s="18">
        <v>50576</v>
      </c>
      <c r="B239" s="19" t="str">
        <f>IFERROR(VLOOKUP(A239,CLIENTES!A:E,2,0),"CADASTRAR CLIENTE")</f>
        <v>ANDRIAO CANEPPA E SILVA LTDA ME</v>
      </c>
      <c r="C239" s="60" t="s">
        <v>3</v>
      </c>
      <c r="D239" s="60">
        <v>72744</v>
      </c>
      <c r="E239" s="21">
        <v>2365.86</v>
      </c>
      <c r="F239" s="19"/>
      <c r="G239" s="21"/>
      <c r="H239" s="19"/>
      <c r="I239" s="20">
        <v>45393</v>
      </c>
    </row>
    <row r="240" spans="1:9">
      <c r="A240" s="18">
        <v>50576</v>
      </c>
      <c r="B240" s="19" t="str">
        <f>IFERROR(VLOOKUP(A240,CLIENTES!A:E,2,0),"CADASTRAR CLIENTE")</f>
        <v>ANDRIAO CANEPPA E SILVA LTDA ME</v>
      </c>
      <c r="C240" s="60" t="s">
        <v>3</v>
      </c>
      <c r="D240" s="60">
        <v>98478</v>
      </c>
      <c r="E240" s="21">
        <v>260.7</v>
      </c>
      <c r="F240" s="19"/>
      <c r="G240" s="21"/>
      <c r="H240" s="19"/>
      <c r="I240" s="20">
        <v>45393</v>
      </c>
    </row>
    <row r="241" spans="1:9">
      <c r="A241" s="18">
        <v>731</v>
      </c>
      <c r="B241" s="19" t="str">
        <f>IFERROR(VLOOKUP(A241,CLIENTES!A:E,2,0),"CADASTRAR CLIENTE")</f>
        <v>UNILAB LABORATORIO ANALISES CLINICAS SANTA FE DO SUL LTDA</v>
      </c>
      <c r="C241" s="60" t="s">
        <v>3</v>
      </c>
      <c r="D241" s="60">
        <v>72741</v>
      </c>
      <c r="E241" s="21">
        <v>358.5</v>
      </c>
      <c r="F241" s="19"/>
      <c r="G241" s="21"/>
      <c r="H241" s="19"/>
      <c r="I241" s="20">
        <v>45393</v>
      </c>
    </row>
    <row r="242" spans="1:9">
      <c r="A242" s="18">
        <v>516</v>
      </c>
      <c r="B242" s="19" t="str">
        <f>IFERROR(VLOOKUP(A242,CLIENTES!A:E,2,0),"CADASTRAR CLIENTE")</f>
        <v>TECNOLAB PATOLOGIA CLINICA S/C LTDA</v>
      </c>
      <c r="C242" s="60" t="s">
        <v>3</v>
      </c>
      <c r="D242" s="60">
        <v>71923</v>
      </c>
      <c r="E242" s="21">
        <v>5693.58</v>
      </c>
      <c r="F242" s="19"/>
      <c r="G242" s="21"/>
      <c r="H242" s="19"/>
      <c r="I242" s="20">
        <v>45393</v>
      </c>
    </row>
    <row r="243" spans="1:9">
      <c r="A243" s="18">
        <v>731</v>
      </c>
      <c r="B243" s="19" t="str">
        <f>IFERROR(VLOOKUP(A243,CLIENTES!A:E,2,0),"CADASTRAR CLIENTE")</f>
        <v>UNILAB LABORATORIO ANALISES CLINICAS SANTA FE DO SUL LTDA</v>
      </c>
      <c r="C243" s="60" t="s">
        <v>3</v>
      </c>
      <c r="D243" s="60">
        <v>72759</v>
      </c>
      <c r="E243" s="21">
        <v>1010</v>
      </c>
      <c r="F243" s="19"/>
      <c r="G243" s="21"/>
      <c r="H243" s="19"/>
      <c r="I243" s="20">
        <v>45393</v>
      </c>
    </row>
    <row r="244" spans="1:9">
      <c r="A244" s="18">
        <v>708</v>
      </c>
      <c r="B244" s="19" t="str">
        <f>IFERROR(VLOOKUP(A244,CLIENTES!A:E,2,0),"CADASTRAR CLIENTE")</f>
        <v>IMEDI INST.MEDICO DE PAT.E DIAGNOSTICO SC LTDA.</v>
      </c>
      <c r="C244" s="60" t="s">
        <v>3</v>
      </c>
      <c r="D244" s="60">
        <v>72768</v>
      </c>
      <c r="E244" s="21">
        <v>1327.5</v>
      </c>
      <c r="F244" s="19"/>
      <c r="G244" s="21"/>
      <c r="H244" s="19"/>
      <c r="I244" s="20">
        <v>45393</v>
      </c>
    </row>
    <row r="245" spans="1:9">
      <c r="A245" s="18">
        <v>364</v>
      </c>
      <c r="B245" s="19" t="str">
        <f>IFERROR(VLOOKUP(A245,CLIENTES!A:E,2,0),"CADASTRAR CLIENTE")</f>
        <v>VITALIS LAB.ANAL.CLIN.S/C LTDA</v>
      </c>
      <c r="C245" s="60" t="s">
        <v>3</v>
      </c>
      <c r="D245" s="60">
        <v>72772</v>
      </c>
      <c r="E245" s="21">
        <v>164.2</v>
      </c>
      <c r="F245" s="19"/>
      <c r="G245" s="21"/>
      <c r="H245" s="19"/>
      <c r="I245" s="20">
        <v>45393</v>
      </c>
    </row>
    <row r="246" spans="1:9">
      <c r="A246" s="18">
        <v>364</v>
      </c>
      <c r="B246" s="19" t="str">
        <f>IFERROR(VLOOKUP(A246,CLIENTES!A:E,2,0),"CADASTRAR CLIENTE")</f>
        <v>VITALIS LAB.ANAL.CLIN.S/C LTDA</v>
      </c>
      <c r="C246" s="60" t="s">
        <v>3</v>
      </c>
      <c r="D246" s="60">
        <v>98482</v>
      </c>
      <c r="E246" s="21">
        <v>185.48</v>
      </c>
      <c r="F246" s="19"/>
      <c r="G246" s="21"/>
      <c r="H246" s="19"/>
      <c r="I246" s="20">
        <v>45393</v>
      </c>
    </row>
    <row r="247" spans="1:9">
      <c r="A247" s="18">
        <v>463</v>
      </c>
      <c r="B247" s="19" t="str">
        <f>IFERROR(VLOOKUP(A247,CLIENTES!A:E,2,0),"CADASTRAR CLIENTE")</f>
        <v>MASUDA &amp; MASUDA LABORATORIO CLINICO LTDA</v>
      </c>
      <c r="C247" s="60" t="s">
        <v>3</v>
      </c>
      <c r="D247" s="60">
        <v>72788</v>
      </c>
      <c r="E247" s="21">
        <v>894.4</v>
      </c>
      <c r="F247" s="19"/>
      <c r="G247" s="21"/>
      <c r="H247" s="19"/>
      <c r="I247" s="20">
        <v>45394</v>
      </c>
    </row>
    <row r="248" spans="1:9">
      <c r="A248" s="18">
        <v>50558</v>
      </c>
      <c r="B248" s="19" t="str">
        <f>IFERROR(VLOOKUP(A248,CLIENTES!A:E,2,0),"CADASTRAR CLIENTE")</f>
        <v>FUNDACAO PAULISTA DE TECNOLOGIA E EDUCACAO</v>
      </c>
      <c r="C248" s="60" t="s">
        <v>2</v>
      </c>
      <c r="D248" s="60">
        <v>72789</v>
      </c>
      <c r="E248" s="21">
        <v>2385</v>
      </c>
      <c r="F248" s="19"/>
      <c r="G248" s="21"/>
      <c r="H248" s="19"/>
      <c r="I248" s="20">
        <v>45394</v>
      </c>
    </row>
    <row r="249" spans="1:9">
      <c r="A249" s="18">
        <v>1533</v>
      </c>
      <c r="B249" s="19" t="str">
        <f>IFERROR(VLOOKUP(A249,CLIENTES!A:E,2,0),"CADASTRAR CLIENTE")</f>
        <v>LABORATORIO BIOANALISE DIAGNOSTICO LTDA</v>
      </c>
      <c r="C249" s="60" t="s">
        <v>3</v>
      </c>
      <c r="D249" s="60">
        <v>72651</v>
      </c>
      <c r="E249" s="21">
        <v>706.2</v>
      </c>
      <c r="F249" s="19"/>
      <c r="G249" s="21"/>
      <c r="H249" s="19"/>
      <c r="I249" s="20">
        <v>45394</v>
      </c>
    </row>
    <row r="250" spans="1:9">
      <c r="A250" s="18">
        <v>513</v>
      </c>
      <c r="B250" s="19" t="str">
        <f>IFERROR(VLOOKUP(A250,CLIENTES!A:E,2,0),"CADASTRAR CLIENTE")</f>
        <v>CADASTRAR CLIENTE</v>
      </c>
      <c r="C250" s="60" t="s">
        <v>3</v>
      </c>
      <c r="D250" s="60">
        <v>72802</v>
      </c>
      <c r="E250" s="21">
        <v>2955</v>
      </c>
      <c r="F250" s="19">
        <v>1</v>
      </c>
      <c r="G250" s="21">
        <v>2995</v>
      </c>
      <c r="H250" s="19"/>
      <c r="I250" s="20">
        <v>45394</v>
      </c>
    </row>
    <row r="251" spans="1:9">
      <c r="A251" s="18">
        <v>1041</v>
      </c>
      <c r="B251" s="19" t="str">
        <f>IFERROR(VLOOKUP(A251,CLIENTES!A:E,2,0),"CADASTRAR CLIENTE")</f>
        <v>EDSON VANDERLEI CARRERA</v>
      </c>
      <c r="C251" s="60" t="s">
        <v>3</v>
      </c>
      <c r="D251" s="60">
        <v>72800</v>
      </c>
      <c r="E251" s="21">
        <v>594.5</v>
      </c>
      <c r="F251" s="19"/>
      <c r="G251" s="21"/>
      <c r="H251" s="19"/>
      <c r="I251" s="20">
        <v>45394</v>
      </c>
    </row>
    <row r="252" spans="1:9">
      <c r="A252" s="18">
        <v>762</v>
      </c>
      <c r="B252" s="19" t="str">
        <f>IFERROR(VLOOKUP(A252,CLIENTES!A:E,2,0),"CADASTRAR CLIENTE")</f>
        <v>STA. CASA MISERICORDIA DE ARACATUBA</v>
      </c>
      <c r="C252" s="60" t="s">
        <v>2</v>
      </c>
      <c r="D252" s="60">
        <v>72610</v>
      </c>
      <c r="E252" s="21">
        <v>3974.3</v>
      </c>
      <c r="F252" s="19"/>
      <c r="G252" s="21"/>
      <c r="H252" s="19"/>
      <c r="I252" s="20">
        <v>45394</v>
      </c>
    </row>
    <row r="253" spans="1:9">
      <c r="A253" s="18">
        <v>762</v>
      </c>
      <c r="B253" s="19" t="str">
        <f>IFERROR(VLOOKUP(A253,CLIENTES!A:E,2,0),"CADASTRAR CLIENTE")</f>
        <v>STA. CASA MISERICORDIA DE ARACATUBA</v>
      </c>
      <c r="C253" s="60" t="s">
        <v>2</v>
      </c>
      <c r="D253" s="60">
        <v>72611</v>
      </c>
      <c r="E253" s="21">
        <v>9420.3799999999992</v>
      </c>
      <c r="F253" s="19"/>
      <c r="G253" s="21"/>
      <c r="H253" s="19"/>
      <c r="I253" s="20">
        <v>45394</v>
      </c>
    </row>
    <row r="254" spans="1:9">
      <c r="A254" s="18">
        <v>51175</v>
      </c>
      <c r="B254" s="19" t="str">
        <f>IFERROR(VLOOKUP(A254,CLIENTES!A:E,2,0),"CADASTRAR CLIENTE")</f>
        <v>CLINICA MEDICA E ODONTOLOGICA AMOR SAUDE TUPA LTDA</v>
      </c>
      <c r="C254" s="60" t="s">
        <v>3</v>
      </c>
      <c r="D254" s="60">
        <v>72834</v>
      </c>
      <c r="E254" s="21">
        <v>164.15</v>
      </c>
      <c r="F254" s="19"/>
      <c r="G254" s="21"/>
      <c r="H254" s="19"/>
      <c r="I254" s="20">
        <v>45397</v>
      </c>
    </row>
    <row r="255" spans="1:9">
      <c r="A255" s="18">
        <v>3017</v>
      </c>
      <c r="B255" s="19" t="str">
        <f>IFERROR(VLOOKUP(A255,CLIENTES!A:E,2,0),"CADASTRAR CLIENTE")</f>
        <v>IMUNOLAB LABORATORIO DE ANALISES CLINICAS LTDA ME</v>
      </c>
      <c r="C255" s="60" t="s">
        <v>3</v>
      </c>
      <c r="D255" s="60">
        <v>72898</v>
      </c>
      <c r="E255" s="21">
        <v>657.88</v>
      </c>
      <c r="F255" s="19"/>
      <c r="G255" s="21"/>
      <c r="H255" s="19"/>
      <c r="I255" s="20">
        <v>45397</v>
      </c>
    </row>
    <row r="256" spans="1:9">
      <c r="A256" s="18">
        <v>980</v>
      </c>
      <c r="B256" s="19" t="str">
        <f>IFERROR(VLOOKUP(A256,CLIENTES!A:E,2,0),"CADASTRAR CLIENTE")</f>
        <v>LAB. GUARARAPES  ANAL. CLIN. SC LTDA</v>
      </c>
      <c r="C256" s="60" t="s">
        <v>3</v>
      </c>
      <c r="D256" s="60">
        <v>72901</v>
      </c>
      <c r="E256" s="21">
        <v>142</v>
      </c>
      <c r="F256" s="19"/>
      <c r="G256" s="21"/>
      <c r="H256" s="19"/>
      <c r="I256" s="20">
        <v>45397</v>
      </c>
    </row>
    <row r="257" spans="1:9">
      <c r="A257" s="18">
        <v>620</v>
      </c>
      <c r="B257" s="19" t="str">
        <f>IFERROR(VLOOKUP(A257,CLIENTES!A:E,2,0),"CADASTRAR CLIENTE")</f>
        <v>LAB.SAO PAULO DE ANAL.CLIN.SC LTDA.</v>
      </c>
      <c r="C257" s="60" t="s">
        <v>3</v>
      </c>
      <c r="D257" s="60">
        <v>72909</v>
      </c>
      <c r="E257" s="21">
        <v>554.67999999999995</v>
      </c>
      <c r="F257" s="19"/>
      <c r="G257" s="21"/>
      <c r="H257" s="19"/>
      <c r="I257" s="20">
        <v>45397</v>
      </c>
    </row>
    <row r="258" spans="1:9">
      <c r="A258" s="18">
        <v>1806</v>
      </c>
      <c r="B258" s="19" t="str">
        <f>IFERROR(VLOOKUP(A258,CLIENTES!A:E,2,0),"CADASTRAR CLIENTE")</f>
        <v>LABORATORIO DE ANALISES CLINICAS SENTOME LTDA-ME</v>
      </c>
      <c r="C258" s="60" t="s">
        <v>2</v>
      </c>
      <c r="D258" s="60">
        <v>72888</v>
      </c>
      <c r="E258" s="21">
        <v>822.6</v>
      </c>
      <c r="F258" s="19"/>
      <c r="G258" s="21"/>
      <c r="H258" s="19"/>
      <c r="I258" s="20">
        <v>45397</v>
      </c>
    </row>
    <row r="259" spans="1:9">
      <c r="A259" s="18">
        <v>335</v>
      </c>
      <c r="B259" s="19" t="str">
        <f>IFERROR(VLOOKUP(A259,CLIENTES!A:E,2,0),"CADASTRAR CLIENTE")</f>
        <v>LABORATORIO VIDA  S/S LTDA</v>
      </c>
      <c r="C259" s="60" t="s">
        <v>3</v>
      </c>
      <c r="D259" s="60">
        <v>72874</v>
      </c>
      <c r="E259" s="21">
        <v>379.47</v>
      </c>
      <c r="F259" s="19"/>
      <c r="G259" s="21"/>
      <c r="H259" s="19"/>
      <c r="I259" s="20">
        <v>45397</v>
      </c>
    </row>
    <row r="260" spans="1:9">
      <c r="A260" s="18">
        <v>335</v>
      </c>
      <c r="B260" s="19" t="str">
        <f>IFERROR(VLOOKUP(A260,CLIENTES!A:E,2,0),"CADASTRAR CLIENTE")</f>
        <v>LABORATORIO VIDA  S/S LTDA</v>
      </c>
      <c r="C260" s="60" t="s">
        <v>3</v>
      </c>
      <c r="D260" s="60">
        <v>98497</v>
      </c>
      <c r="E260" s="21">
        <v>432.3</v>
      </c>
      <c r="F260" s="19"/>
      <c r="G260" s="21"/>
      <c r="H260" s="19"/>
      <c r="I260" s="20">
        <v>45397</v>
      </c>
    </row>
    <row r="261" spans="1:9">
      <c r="A261" s="18">
        <v>620</v>
      </c>
      <c r="B261" s="19" t="str">
        <f>IFERROR(VLOOKUP(A261,CLIENTES!A:E,2,0),"CADASTRAR CLIENTE")</f>
        <v>LAB.SAO PAULO DE ANAL.CLIN.SC LTDA.</v>
      </c>
      <c r="C261" s="60" t="s">
        <v>3</v>
      </c>
      <c r="D261" s="60">
        <v>98509</v>
      </c>
      <c r="E261" s="21">
        <v>220.2</v>
      </c>
      <c r="F261" s="19"/>
      <c r="G261" s="21"/>
      <c r="H261" s="19"/>
      <c r="I261" s="20">
        <v>45397</v>
      </c>
    </row>
    <row r="262" spans="1:9">
      <c r="A262" s="18">
        <v>480</v>
      </c>
      <c r="B262" s="19" t="str">
        <f>IFERROR(VLOOKUP(A262,CLIENTES!A:E,2,0),"CADASTRAR CLIENTE")</f>
        <v>LAB SAO LUCAS</v>
      </c>
      <c r="C262" s="60" t="s">
        <v>3</v>
      </c>
      <c r="D262" s="60">
        <v>72932</v>
      </c>
      <c r="E262" s="21">
        <v>2890</v>
      </c>
      <c r="F262" s="19"/>
      <c r="G262" s="21"/>
      <c r="H262" s="19"/>
      <c r="I262" s="20">
        <v>45398</v>
      </c>
    </row>
    <row r="263" spans="1:9">
      <c r="A263" s="18">
        <v>520</v>
      </c>
      <c r="B263" s="19" t="str">
        <f>IFERROR(VLOOKUP(A263,CLIENTES!A:E,2,0),"CADASTRAR CLIENTE")</f>
        <v>CADASTRAR CLIENTE</v>
      </c>
      <c r="C263" s="60" t="s">
        <v>3</v>
      </c>
      <c r="D263" s="60">
        <v>98514</v>
      </c>
      <c r="E263" s="21">
        <v>585.15</v>
      </c>
      <c r="F263" s="19"/>
      <c r="G263" s="21"/>
      <c r="H263" s="19"/>
      <c r="I263" s="20">
        <v>45398</v>
      </c>
    </row>
    <row r="264" spans="1:9">
      <c r="A264" s="18">
        <v>520</v>
      </c>
      <c r="B264" s="19" t="str">
        <f>IFERROR(VLOOKUP(A264,CLIENTES!A:E,2,0),"CADASTRAR CLIENTE")</f>
        <v>CADASTRAR CLIENTE</v>
      </c>
      <c r="C264" s="60" t="s">
        <v>3</v>
      </c>
      <c r="D264" s="60">
        <v>72963</v>
      </c>
      <c r="E264" s="21">
        <v>1047.8</v>
      </c>
      <c r="F264" s="19"/>
      <c r="G264" s="21"/>
      <c r="H264" s="19"/>
      <c r="I264" s="20">
        <v>45398</v>
      </c>
    </row>
    <row r="265" spans="1:9">
      <c r="A265" s="18">
        <v>3190</v>
      </c>
      <c r="B265" s="19" t="str">
        <f>IFERROR(VLOOKUP(A265,CLIENTES!A:E,2,0),"CADASTRAR CLIENTE")</f>
        <v>C D A CENTRO DE DIAGNOSTICO VETERINARIO</v>
      </c>
      <c r="C265" s="60" t="s">
        <v>3</v>
      </c>
      <c r="D265" s="60">
        <v>73006</v>
      </c>
      <c r="E265" s="21">
        <v>1289.9000000000001</v>
      </c>
      <c r="F265" s="19"/>
      <c r="G265" s="21"/>
      <c r="H265" s="19"/>
      <c r="I265" s="20">
        <v>45399</v>
      </c>
    </row>
    <row r="266" spans="1:9">
      <c r="A266" s="18">
        <v>3190</v>
      </c>
      <c r="B266" s="19" t="str">
        <f>IFERROR(VLOOKUP(A266,CLIENTES!A:E,2,0),"CADASTRAR CLIENTE")</f>
        <v>C D A CENTRO DE DIAGNOSTICO VETERINARIO</v>
      </c>
      <c r="C266" s="60" t="s">
        <v>3</v>
      </c>
      <c r="D266" s="60">
        <v>72989</v>
      </c>
      <c r="E266" s="21">
        <v>4280</v>
      </c>
      <c r="F266" s="19">
        <v>1</v>
      </c>
      <c r="G266" s="21">
        <v>4280</v>
      </c>
      <c r="H266" s="19"/>
      <c r="I266" s="20">
        <v>45399</v>
      </c>
    </row>
    <row r="267" spans="1:9">
      <c r="A267" s="18">
        <v>2163</v>
      </c>
      <c r="B267" s="19" t="str">
        <f>IFERROR(VLOOKUP(A267,CLIENTES!A:E,2,0),"CADASTRAR CLIENTE")</f>
        <v>BIO-LAB SAO JUDAS TADEU S/C LTDA - ME</v>
      </c>
      <c r="C267" s="60" t="s">
        <v>328</v>
      </c>
      <c r="D267" s="60">
        <v>73003</v>
      </c>
      <c r="E267" s="21">
        <v>2211</v>
      </c>
      <c r="F267" s="19"/>
      <c r="G267" s="21"/>
      <c r="H267" s="19"/>
      <c r="I267" s="20">
        <v>45399</v>
      </c>
    </row>
    <row r="268" spans="1:9">
      <c r="A268" s="18">
        <v>1652</v>
      </c>
      <c r="B268" s="19" t="str">
        <f>IFERROR(VLOOKUP(A268,CLIENTES!A:E,2,0),"CADASTRAR CLIENTE")</f>
        <v>LAB. SANTA CLARA ANAL.CLIN.</v>
      </c>
      <c r="C268" s="60" t="s">
        <v>328</v>
      </c>
      <c r="D268" s="60">
        <v>73014</v>
      </c>
      <c r="E268" s="21">
        <v>271.01</v>
      </c>
      <c r="F268" s="19"/>
      <c r="G268" s="21"/>
      <c r="H268" s="19"/>
      <c r="I268" s="20">
        <v>45399</v>
      </c>
    </row>
    <row r="269" spans="1:9">
      <c r="A269" s="18">
        <v>1652</v>
      </c>
      <c r="B269" s="19" t="str">
        <f>IFERROR(VLOOKUP(A269,CLIENTES!A:E,2,0),"CADASTRAR CLIENTE")</f>
        <v>LAB. SANTA CLARA ANAL.CLIN.</v>
      </c>
      <c r="C269" s="60" t="s">
        <v>328</v>
      </c>
      <c r="D269" s="60">
        <v>98332</v>
      </c>
      <c r="E269" s="21">
        <v>154.05000000000001</v>
      </c>
      <c r="F269" s="19"/>
      <c r="G269" s="21"/>
      <c r="H269" s="19"/>
      <c r="I269" s="20">
        <v>45399</v>
      </c>
    </row>
    <row r="270" spans="1:9">
      <c r="A270" s="18">
        <v>9063</v>
      </c>
      <c r="B270" s="19" t="str">
        <f>IFERROR(VLOOKUP(A270,CLIENTES!A:E,2,0),"CADASTRAR CLIENTE")</f>
        <v>LABORATORIO SAMIA LTDA</v>
      </c>
      <c r="C270" s="60" t="s">
        <v>3</v>
      </c>
      <c r="D270" s="60">
        <v>73027</v>
      </c>
      <c r="E270" s="21">
        <v>279.60000000000002</v>
      </c>
      <c r="F270" s="19"/>
      <c r="G270" s="21"/>
      <c r="H270" s="19"/>
      <c r="I270" s="20">
        <v>45400</v>
      </c>
    </row>
    <row r="271" spans="1:9">
      <c r="A271" s="18">
        <v>705</v>
      </c>
      <c r="B271" s="19" t="str">
        <f>IFERROR(VLOOKUP(A271,CLIENTES!A:E,2,0),"CADASTRAR CLIENTE")</f>
        <v>JOAO JOSE SCHIAVUZZO ME</v>
      </c>
      <c r="C271" s="60" t="s">
        <v>328</v>
      </c>
      <c r="D271" s="60">
        <v>72422</v>
      </c>
      <c r="E271" s="21">
        <v>1178</v>
      </c>
      <c r="F271" s="19"/>
      <c r="G271" s="21"/>
      <c r="H271" s="19"/>
      <c r="I271" s="20">
        <v>45400</v>
      </c>
    </row>
    <row r="272" spans="1:9">
      <c r="A272" s="18">
        <v>2163</v>
      </c>
      <c r="B272" s="19" t="str">
        <f>IFERROR(VLOOKUP(A272,CLIENTES!A:E,2,0),"CADASTRAR CLIENTE")</f>
        <v>BIO-LAB SAO JUDAS TADEU S/C LTDA - ME</v>
      </c>
      <c r="C272" s="60" t="s">
        <v>328</v>
      </c>
      <c r="D272" s="60">
        <v>73031</v>
      </c>
      <c r="E272" s="21">
        <v>239.2</v>
      </c>
      <c r="F272" s="19"/>
      <c r="G272" s="21"/>
      <c r="H272" s="19"/>
      <c r="I272" s="20">
        <v>45400</v>
      </c>
    </row>
    <row r="273" spans="1:9">
      <c r="A273" s="18">
        <v>475</v>
      </c>
      <c r="B273" s="19" t="str">
        <f>IFERROR(VLOOKUP(A273,CLIENTES!A:E,2,0),"CADASTRAR CLIENTE")</f>
        <v>LABORATORIO DE ANALISES CLINICAS SRC LTDA</v>
      </c>
      <c r="C273" s="60" t="s">
        <v>3</v>
      </c>
      <c r="D273" s="60">
        <v>72818</v>
      </c>
      <c r="E273" s="21">
        <v>5315.57</v>
      </c>
      <c r="F273" s="19"/>
      <c r="G273" s="21"/>
      <c r="H273" s="19"/>
      <c r="I273" s="20">
        <v>45400</v>
      </c>
    </row>
    <row r="274" spans="1:9">
      <c r="A274" s="18">
        <v>475</v>
      </c>
      <c r="B274" s="19" t="str">
        <f>IFERROR(VLOOKUP(A274,CLIENTES!A:E,2,0),"CADASTRAR CLIENTE")</f>
        <v>LABORATORIO DE ANALISES CLINICAS SRC LTDA</v>
      </c>
      <c r="C274" s="60" t="s">
        <v>3</v>
      </c>
      <c r="D274" s="60">
        <v>98527</v>
      </c>
      <c r="E274" s="21">
        <v>95.8</v>
      </c>
      <c r="F274" s="19"/>
      <c r="G274" s="21"/>
      <c r="H274" s="19"/>
      <c r="I274" s="20">
        <v>45400</v>
      </c>
    </row>
    <row r="275" spans="1:9">
      <c r="A275" s="18">
        <v>432</v>
      </c>
      <c r="B275" s="19" t="str">
        <f>IFERROR(VLOOKUP(A275,CLIENTES!A:E,2,0),"CADASTRAR CLIENTE")</f>
        <v>LABORATORIO PASTEUR HEMATOLOGIA E MICROBIOLOGIA S/S LTDA</v>
      </c>
      <c r="C275" s="60" t="s">
        <v>3</v>
      </c>
      <c r="D275" s="60">
        <v>73035</v>
      </c>
      <c r="E275" s="21">
        <v>854.31</v>
      </c>
      <c r="F275" s="19"/>
      <c r="G275" s="21"/>
      <c r="H275" s="19"/>
      <c r="I275" s="20">
        <v>45400</v>
      </c>
    </row>
    <row r="276" spans="1:9">
      <c r="A276" s="18">
        <v>3153</v>
      </c>
      <c r="B276" s="19" t="str">
        <f>IFERROR(VLOOKUP(A276,CLIENTES!A:E,2,0),"CADASTRAR CLIENTE")</f>
        <v>UNIMED DE TUPA COOPERATIVA DE TRABALHO MEDICO</v>
      </c>
      <c r="C276" s="60" t="s">
        <v>3</v>
      </c>
      <c r="D276" s="60">
        <v>72671</v>
      </c>
      <c r="E276" s="21">
        <v>1410</v>
      </c>
      <c r="F276" s="19"/>
      <c r="G276" s="21"/>
      <c r="H276" s="19"/>
      <c r="I276" s="20">
        <v>45400</v>
      </c>
    </row>
    <row r="277" spans="1:9">
      <c r="A277" s="18">
        <v>516</v>
      </c>
      <c r="B277" s="19" t="str">
        <f>IFERROR(VLOOKUP(A277,CLIENTES!A:E,2,0),"CADASTRAR CLIENTE")</f>
        <v>TECNOLAB PATOLOGIA CLINICA S/C LTDA</v>
      </c>
      <c r="C277" s="60" t="s">
        <v>3</v>
      </c>
      <c r="D277" s="60">
        <v>72934</v>
      </c>
      <c r="E277" s="21">
        <v>5088.8999999999996</v>
      </c>
      <c r="F277" s="19"/>
      <c r="G277" s="21"/>
      <c r="H277" s="19"/>
      <c r="I277" s="20">
        <v>45400</v>
      </c>
    </row>
    <row r="278" spans="1:9">
      <c r="A278" s="18">
        <v>1742</v>
      </c>
      <c r="B278" s="19" t="str">
        <f>IFERROR(VLOOKUP(A278,CLIENTES!A:E,2,0),"CADASTRAR CLIENTE")</f>
        <v>A.C. BARBOSA S/C LTDA.</v>
      </c>
      <c r="C278" s="60" t="s">
        <v>3</v>
      </c>
      <c r="D278" s="60">
        <v>73085</v>
      </c>
      <c r="E278" s="21">
        <v>1011.3</v>
      </c>
      <c r="F278" s="19"/>
      <c r="G278" s="21"/>
      <c r="H278" s="19"/>
      <c r="I278" s="20">
        <v>45401</v>
      </c>
    </row>
    <row r="279" spans="1:9">
      <c r="A279" s="18">
        <v>756</v>
      </c>
      <c r="B279" s="19" t="str">
        <f>IFERROR(VLOOKUP(A279,CLIENTES!A:E,2,0),"CADASTRAR CLIENTE")</f>
        <v>LAB.TRIANON DE ANAL.CLIN.SC LTDA.</v>
      </c>
      <c r="C279" s="60" t="s">
        <v>3</v>
      </c>
      <c r="D279" s="60">
        <v>72950</v>
      </c>
      <c r="E279" s="21">
        <v>1479.9</v>
      </c>
      <c r="F279" s="19"/>
      <c r="G279" s="21"/>
      <c r="H279" s="19"/>
      <c r="I279" s="20">
        <v>45401</v>
      </c>
    </row>
    <row r="280" spans="1:9">
      <c r="A280" s="18">
        <v>575</v>
      </c>
      <c r="B280" s="19" t="str">
        <f>IFERROR(VLOOKUP(A280,CLIENTES!A:E,2,0),"CADASTRAR CLIENTE")</f>
        <v>DR MUNHOZ HOSPITAL VETERINARIO E PET SHOP</v>
      </c>
      <c r="C280" s="60" t="s">
        <v>328</v>
      </c>
      <c r="D280" s="60">
        <v>73097</v>
      </c>
      <c r="E280" s="21">
        <v>239.45</v>
      </c>
      <c r="F280" s="19"/>
      <c r="G280" s="21"/>
      <c r="H280" s="19"/>
      <c r="I280" s="20">
        <v>45401</v>
      </c>
    </row>
    <row r="281" spans="1:9">
      <c r="A281" s="18">
        <v>2955</v>
      </c>
      <c r="B281" s="19" t="str">
        <f>IFERROR(VLOOKUP(A281,CLIENTES!A:E,2,0),"CADASTRAR CLIENTE")</f>
        <v>ASSOCIACAO SANTA CASA SAUDE DE ARACATUBA</v>
      </c>
      <c r="C281" s="60" t="s">
        <v>3</v>
      </c>
      <c r="D281" s="60">
        <v>73093</v>
      </c>
      <c r="E281" s="21">
        <v>165.39</v>
      </c>
      <c r="F281" s="19"/>
      <c r="G281" s="21"/>
      <c r="H281" s="19"/>
      <c r="I281" s="20">
        <v>45401</v>
      </c>
    </row>
    <row r="282" spans="1:9">
      <c r="A282" s="18">
        <v>2397</v>
      </c>
      <c r="B282" s="19" t="str">
        <f>IFERROR(VLOOKUP(A282,CLIENTES!A:E,2,0),"CADASTRAR CLIENTE")</f>
        <v>LAB ANAL CLINICAS SANTA RITA S/C LTDA</v>
      </c>
      <c r="C282" s="60" t="s">
        <v>328</v>
      </c>
      <c r="D282" s="60">
        <v>72615</v>
      </c>
      <c r="E282" s="21">
        <v>1103</v>
      </c>
      <c r="F282" s="19"/>
      <c r="G282" s="21"/>
      <c r="H282" s="19"/>
      <c r="I282" s="20">
        <v>45401</v>
      </c>
    </row>
    <row r="283" spans="1:9">
      <c r="A283" s="18">
        <v>1026</v>
      </c>
      <c r="B283" s="19" t="str">
        <f>IFERROR(VLOOKUP(A283,CLIENTES!A:E,2,0),"CADASTRAR CLIENTE")</f>
        <v>LABSC SERVICOS LABORATORIAIS LTDA</v>
      </c>
      <c r="C283" s="60" t="s">
        <v>328</v>
      </c>
      <c r="D283" s="60">
        <v>73101</v>
      </c>
      <c r="E283" s="21">
        <v>1016.7</v>
      </c>
      <c r="F283" s="19"/>
      <c r="G283" s="21"/>
      <c r="H283" s="19"/>
      <c r="I283" s="20">
        <v>45401</v>
      </c>
    </row>
    <row r="284" spans="1:9">
      <c r="A284" s="18">
        <v>1164</v>
      </c>
      <c r="B284" s="19" t="str">
        <f>IFERROR(VLOOKUP(A284,CLIENTES!A:E,2,0),"CADASTRAR CLIENTE")</f>
        <v>LAB. ANAL. CLIN. SAO LOURENCO S/C LTDA</v>
      </c>
      <c r="C284" s="60" t="s">
        <v>328</v>
      </c>
      <c r="D284" s="60">
        <v>72637</v>
      </c>
      <c r="E284" s="21">
        <v>1256.79</v>
      </c>
      <c r="F284" s="19"/>
      <c r="G284" s="21"/>
      <c r="H284" s="19"/>
      <c r="I284" s="20">
        <v>45401</v>
      </c>
    </row>
    <row r="285" spans="1:9">
      <c r="A285" s="18">
        <v>704</v>
      </c>
      <c r="B285" s="19" t="str">
        <f>IFERROR(VLOOKUP(A285,CLIENTES!A:E,2,0),"CADASTRAR CLIENTE")</f>
        <v>LAB. ONUMA E BASILIO S/C LTDA</v>
      </c>
      <c r="C285" s="60" t="s">
        <v>3</v>
      </c>
      <c r="D285" s="60">
        <v>72952</v>
      </c>
      <c r="E285" s="21">
        <v>598</v>
      </c>
      <c r="F285" s="19"/>
      <c r="G285" s="21"/>
      <c r="H285" s="19"/>
      <c r="I285" s="20">
        <v>45401</v>
      </c>
    </row>
    <row r="286" spans="1:9">
      <c r="A286" s="18">
        <v>906</v>
      </c>
      <c r="B286" s="19" t="str">
        <f>IFERROR(VLOOKUP(A286,CLIENTES!A:E,2,0),"CADASTRAR CLIENTE")</f>
        <v>LABORATORIO ANAL. CLIN. DESCALVADO LTDA</v>
      </c>
      <c r="C286" s="60" t="s">
        <v>3</v>
      </c>
      <c r="D286" s="60">
        <v>73109</v>
      </c>
      <c r="E286" s="21">
        <v>1196</v>
      </c>
      <c r="F286" s="19"/>
      <c r="G286" s="21"/>
      <c r="H286" s="19"/>
      <c r="I286" s="20">
        <v>45404</v>
      </c>
    </row>
    <row r="287" spans="1:9">
      <c r="A287" s="18">
        <v>708</v>
      </c>
      <c r="B287" s="19" t="str">
        <f>IFERROR(VLOOKUP(A287,CLIENTES!A:E,2,0),"CADASTRAR CLIENTE")</f>
        <v>IMEDI INST.MEDICO DE PAT.E DIAGNOSTICO SC LTDA.</v>
      </c>
      <c r="C287" s="60" t="s">
        <v>3</v>
      </c>
      <c r="D287" s="60">
        <v>73114</v>
      </c>
      <c r="E287" s="21">
        <v>1257.5</v>
      </c>
      <c r="F287" s="19"/>
      <c r="G287" s="21"/>
      <c r="H287" s="19"/>
      <c r="I287" s="20">
        <v>45404</v>
      </c>
    </row>
    <row r="288" spans="1:9">
      <c r="A288" s="18">
        <v>572</v>
      </c>
      <c r="B288" s="19" t="str">
        <f>IFERROR(VLOOKUP(A288,CLIENTES!A:E,2,0),"CADASTRAR CLIENTE")</f>
        <v>LABORATORIO MULTIANALISES LTDA-ME</v>
      </c>
      <c r="C288" s="60" t="s">
        <v>3</v>
      </c>
      <c r="D288" s="60">
        <v>73107</v>
      </c>
      <c r="E288" s="21">
        <v>480</v>
      </c>
      <c r="F288" s="19"/>
      <c r="G288" s="21"/>
      <c r="H288" s="19"/>
      <c r="I288" s="20">
        <v>45404</v>
      </c>
    </row>
    <row r="289" spans="1:9">
      <c r="A289" s="18">
        <v>475</v>
      </c>
      <c r="B289" s="19" t="str">
        <f>IFERROR(VLOOKUP(A289,CLIENTES!A:E,2,0),"CADASTRAR CLIENTE")</f>
        <v>LABORATORIO DE ANALISES CLINICAS SRC LTDA</v>
      </c>
      <c r="C289" s="60" t="s">
        <v>328</v>
      </c>
      <c r="D289" s="60">
        <v>73119</v>
      </c>
      <c r="E289" s="21">
        <v>1740.9</v>
      </c>
      <c r="F289" s="19"/>
      <c r="G289" s="21"/>
      <c r="H289" s="19"/>
      <c r="I289" s="20">
        <v>45404</v>
      </c>
    </row>
    <row r="290" spans="1:9">
      <c r="A290" s="18">
        <v>475</v>
      </c>
      <c r="B290" s="19" t="str">
        <f>IFERROR(VLOOKUP(A290,CLIENTES!A:E,2,0),"CADASTRAR CLIENTE")</f>
        <v>LABORATORIO DE ANALISES CLINICAS SRC LTDA</v>
      </c>
      <c r="C290" s="60" t="s">
        <v>3</v>
      </c>
      <c r="D290" s="60">
        <v>73040</v>
      </c>
      <c r="E290" s="21">
        <v>505</v>
      </c>
      <c r="F290" s="19"/>
      <c r="G290" s="21"/>
      <c r="H290" s="19"/>
      <c r="I290" s="20">
        <v>45404</v>
      </c>
    </row>
    <row r="291" spans="1:9">
      <c r="A291" s="18">
        <v>2955</v>
      </c>
      <c r="B291" s="19" t="str">
        <f>IFERROR(VLOOKUP(A291,CLIENTES!A:E,2,0),"CADASTRAR CLIENTE")</f>
        <v>ASSOCIACAO SANTA CASA SAUDE DE ARACATUBA</v>
      </c>
      <c r="C291" s="60" t="s">
        <v>3</v>
      </c>
      <c r="D291" s="60">
        <v>73124</v>
      </c>
      <c r="E291" s="21">
        <v>302.10000000000002</v>
      </c>
      <c r="F291" s="19"/>
      <c r="G291" s="21"/>
      <c r="H291" s="19"/>
      <c r="I291" s="20">
        <v>45404</v>
      </c>
    </row>
    <row r="292" spans="1:9">
      <c r="A292" s="18">
        <v>364</v>
      </c>
      <c r="B292" s="19" t="str">
        <f>IFERROR(VLOOKUP(A292,CLIENTES!A:E,2,0),"CADASTRAR CLIENTE")</f>
        <v>VITALIS LAB.ANAL.CLIN.S/C LTDA</v>
      </c>
      <c r="C292" s="60" t="s">
        <v>3</v>
      </c>
      <c r="D292" s="60">
        <v>72772</v>
      </c>
      <c r="E292" s="21">
        <v>246.7</v>
      </c>
      <c r="F292" s="19"/>
      <c r="G292" s="21"/>
      <c r="H292" s="19"/>
      <c r="I292" s="20">
        <v>45404</v>
      </c>
    </row>
    <row r="293" spans="1:9">
      <c r="A293" s="18">
        <v>364</v>
      </c>
      <c r="B293" s="19" t="str">
        <f>IFERROR(VLOOKUP(A293,CLIENTES!A:E,2,0),"CADASTRAR CLIENTE")</f>
        <v>VITALIS LAB.ANAL.CLIN.S/C LTDA</v>
      </c>
      <c r="C293" s="60" t="s">
        <v>3</v>
      </c>
      <c r="D293" s="60">
        <v>98482</v>
      </c>
      <c r="E293" s="21">
        <v>185.48</v>
      </c>
      <c r="F293" s="19"/>
      <c r="G293" s="21"/>
      <c r="H293" s="19"/>
      <c r="I293" s="20">
        <v>45404</v>
      </c>
    </row>
    <row r="294" spans="1:9">
      <c r="A294" s="18">
        <v>3190</v>
      </c>
      <c r="B294" s="19" t="str">
        <f>IFERROR(VLOOKUP(A294,CLIENTES!A:E,2,0),"CADASTRAR CLIENTE")</f>
        <v>C D A CENTRO DE DIAGNOSTICO VETERINARIO</v>
      </c>
      <c r="C294" s="60" t="s">
        <v>3</v>
      </c>
      <c r="D294" s="60">
        <v>73138</v>
      </c>
      <c r="E294" s="21">
        <v>1850</v>
      </c>
      <c r="F294" s="19">
        <v>1</v>
      </c>
      <c r="G294" s="21">
        <v>1850</v>
      </c>
      <c r="H294" s="19"/>
      <c r="I294" s="20">
        <v>45404</v>
      </c>
    </row>
    <row r="295" spans="1:9">
      <c r="A295" s="18">
        <v>1206</v>
      </c>
      <c r="B295" s="19" t="str">
        <f>IFERROR(VLOOKUP(A295,CLIENTES!A:E,2,0),"CADASTRAR CLIENTE")</f>
        <v>LABORATORIO RIO NEGRO CENTER DE MARILIA  LTDA</v>
      </c>
      <c r="C295" s="60" t="s">
        <v>3</v>
      </c>
      <c r="D295" s="60">
        <v>73145</v>
      </c>
      <c r="E295" s="21">
        <v>675.84</v>
      </c>
      <c r="F295" s="19"/>
      <c r="G295" s="21"/>
      <c r="H295" s="19"/>
      <c r="I295" s="20">
        <v>45404</v>
      </c>
    </row>
    <row r="296" spans="1:9">
      <c r="A296" s="18">
        <v>2911</v>
      </c>
      <c r="B296" s="19" t="str">
        <f>IFERROR(VLOOKUP(A296,CLIENTES!A:E,2,0),"CADASTRAR CLIENTE")</f>
        <v>BIOLIFE-LABORATORIO DE ANALISES CLINICAS LTDA</v>
      </c>
      <c r="C296" s="60" t="s">
        <v>3</v>
      </c>
      <c r="D296" s="60">
        <v>73149</v>
      </c>
      <c r="E296" s="21">
        <v>397.81</v>
      </c>
      <c r="F296" s="19"/>
      <c r="G296" s="21"/>
      <c r="H296" s="19"/>
      <c r="I296" s="20">
        <v>45404</v>
      </c>
    </row>
    <row r="297" spans="1:9">
      <c r="A297" s="18">
        <v>3018</v>
      </c>
      <c r="B297" s="19" t="str">
        <f>IFERROR(VLOOKUP(A297,CLIENTES!A:E,2,0),"CADASTRAR CLIENTE")</f>
        <v>NP- LABORATORIO DE ANALISES CLINICAS LTDA</v>
      </c>
      <c r="C297" s="60" t="s">
        <v>3</v>
      </c>
      <c r="D297" s="60">
        <v>98549</v>
      </c>
      <c r="E297" s="21">
        <v>342</v>
      </c>
      <c r="F297" s="19"/>
      <c r="G297" s="21"/>
      <c r="H297" s="19"/>
      <c r="I297" s="20">
        <v>45404</v>
      </c>
    </row>
    <row r="298" spans="1:9">
      <c r="A298" s="18">
        <v>3018</v>
      </c>
      <c r="B298" s="19" t="str">
        <f>IFERROR(VLOOKUP(A298,CLIENTES!A:E,2,0),"CADASTRAR CLIENTE")</f>
        <v>NP- LABORATORIO DE ANALISES CLINICAS LTDA</v>
      </c>
      <c r="C298" s="60" t="s">
        <v>3</v>
      </c>
      <c r="D298" s="60">
        <v>73152</v>
      </c>
      <c r="E298" s="21">
        <v>475</v>
      </c>
      <c r="F298" s="19"/>
      <c r="G298" s="21"/>
      <c r="H298" s="19"/>
      <c r="I298" s="20">
        <v>45404</v>
      </c>
    </row>
    <row r="299" spans="1:9">
      <c r="A299" s="18">
        <v>50497</v>
      </c>
      <c r="B299" s="19" t="str">
        <f>IFERROR(VLOOKUP(A299,CLIENTES!A:E,2,0),"CADASTRAR CLIENTE")</f>
        <v>DIAGNOSTIKA-UNIDADE DIAGNOSTICA EM PATOLOGIA CIRURGICA E CITOLOGIA LTDA</v>
      </c>
      <c r="C299" s="60" t="s">
        <v>3</v>
      </c>
      <c r="D299" s="60">
        <v>98552</v>
      </c>
      <c r="E299" s="21">
        <v>96.6</v>
      </c>
      <c r="F299" s="19"/>
      <c r="G299" s="21"/>
      <c r="H299" s="19"/>
      <c r="I299" s="20">
        <v>45404</v>
      </c>
    </row>
    <row r="300" spans="1:9">
      <c r="A300" s="18">
        <v>50497</v>
      </c>
      <c r="B300" s="19" t="str">
        <f>IFERROR(VLOOKUP(A300,CLIENTES!A:E,2,0),"CADASTRAR CLIENTE")</f>
        <v>DIAGNOSTIKA-UNIDADE DIAGNOSTICA EM PATOLOGIA CIRURGICA E CITOLOGIA LTDA</v>
      </c>
      <c r="C300" s="60" t="s">
        <v>3</v>
      </c>
      <c r="D300" s="60">
        <v>73160</v>
      </c>
      <c r="E300" s="21">
        <v>518.4</v>
      </c>
      <c r="F300" s="19"/>
      <c r="G300" s="21"/>
      <c r="H300" s="19"/>
      <c r="I300" s="20">
        <v>45404</v>
      </c>
    </row>
    <row r="301" spans="1:9">
      <c r="A301" s="18">
        <v>2022</v>
      </c>
      <c r="B301" s="19" t="str">
        <f>IFERROR(VLOOKUP(A301,CLIENTES!A:E,2,0),"CADASTRAR CLIENTE")</f>
        <v>LAB. MEDICO DR. MARICONDI S/C LTDA.</v>
      </c>
      <c r="C301" s="60" t="s">
        <v>2</v>
      </c>
      <c r="D301" s="60">
        <v>73173</v>
      </c>
      <c r="E301" s="21">
        <v>2368.5</v>
      </c>
      <c r="F301" s="19"/>
      <c r="G301" s="21"/>
      <c r="H301" s="19"/>
      <c r="I301" s="20">
        <v>45405</v>
      </c>
    </row>
    <row r="302" spans="1:9">
      <c r="A302" s="18">
        <v>761</v>
      </c>
      <c r="B302" s="19" t="str">
        <f>IFERROR(VLOOKUP(A302,CLIENTES!A:E,2,0),"CADASTRAR CLIENTE")</f>
        <v>EXAME CENTRO DIAG.M.ARACATUBA SC LTDA.</v>
      </c>
      <c r="C302" s="60" t="s">
        <v>3</v>
      </c>
      <c r="D302" s="60">
        <v>98548</v>
      </c>
      <c r="E302" s="21">
        <v>204</v>
      </c>
      <c r="F302" s="19"/>
      <c r="G302" s="21"/>
      <c r="H302" s="19"/>
      <c r="I302" s="20">
        <v>45405</v>
      </c>
    </row>
    <row r="303" spans="1:9">
      <c r="A303" s="18">
        <v>761</v>
      </c>
      <c r="B303" s="19" t="str">
        <f>IFERROR(VLOOKUP(A303,CLIENTES!A:E,2,0),"CADASTRAR CLIENTE")</f>
        <v>EXAME CENTRO DIAG.M.ARACATUBA SC LTDA.</v>
      </c>
      <c r="C303" s="60" t="s">
        <v>3</v>
      </c>
      <c r="D303" s="60">
        <v>73187</v>
      </c>
      <c r="E303" s="21">
        <v>347</v>
      </c>
      <c r="F303" s="19"/>
      <c r="G303" s="21"/>
      <c r="H303" s="19"/>
      <c r="I303" s="20">
        <v>45405</v>
      </c>
    </row>
    <row r="304" spans="1:9">
      <c r="A304" s="18">
        <v>1493</v>
      </c>
      <c r="B304" s="19" t="str">
        <f>IFERROR(VLOOKUP(A304,CLIENTES!A:E,2,0),"CADASTRAR CLIENTE")</f>
        <v>CEDIMA  CENTRO DE DIAG MONTE AZUL ANAL CLIN E CIT</v>
      </c>
      <c r="C304" s="60" t="s">
        <v>3</v>
      </c>
      <c r="D304" s="60">
        <v>73214</v>
      </c>
      <c r="E304" s="21">
        <v>609.20000000000005</v>
      </c>
      <c r="F304" s="19"/>
      <c r="G304" s="21"/>
      <c r="H304" s="19"/>
      <c r="I304" s="20">
        <v>45405</v>
      </c>
    </row>
    <row r="305" spans="1:9">
      <c r="A305" s="18">
        <v>1652</v>
      </c>
      <c r="B305" s="19" t="str">
        <f>IFERROR(VLOOKUP(A305,CLIENTES!A:E,2,0),"CADASTRAR CLIENTE")</f>
        <v>LAB. SANTA CLARA ANAL.CLIN.</v>
      </c>
      <c r="C305" s="60" t="s">
        <v>3</v>
      </c>
      <c r="D305" s="60">
        <v>98332</v>
      </c>
      <c r="E305" s="21">
        <v>264.05</v>
      </c>
      <c r="F305" s="19"/>
      <c r="G305" s="21"/>
      <c r="H305" s="19"/>
      <c r="I305" s="20">
        <v>45405</v>
      </c>
    </row>
    <row r="306" spans="1:9">
      <c r="A306" s="18">
        <v>1652</v>
      </c>
      <c r="B306" s="19" t="str">
        <f>IFERROR(VLOOKUP(A306,CLIENTES!A:E,2,0),"CADASTRAR CLIENTE")</f>
        <v>LAB. SANTA CLARA ANAL.CLIN.</v>
      </c>
      <c r="C306" s="60" t="s">
        <v>3</v>
      </c>
      <c r="D306" s="60">
        <v>73017</v>
      </c>
      <c r="E306" s="21">
        <v>374.82</v>
      </c>
      <c r="F306" s="19"/>
      <c r="G306" s="21"/>
      <c r="H306" s="19"/>
      <c r="I306" s="20">
        <v>45405</v>
      </c>
    </row>
    <row r="307" spans="1:9">
      <c r="A307" s="18">
        <v>463</v>
      </c>
      <c r="B307" s="19" t="str">
        <f>IFERROR(VLOOKUP(A307,CLIENTES!A:E,2,0),"CADASTRAR CLIENTE")</f>
        <v>MASUDA &amp; MASUDA LABORATORIO CLINICO LTDA</v>
      </c>
      <c r="C307" s="60" t="s">
        <v>3</v>
      </c>
      <c r="D307" s="60">
        <v>73020</v>
      </c>
      <c r="E307" s="21">
        <v>766.9</v>
      </c>
      <c r="F307" s="19"/>
      <c r="G307" s="21"/>
      <c r="H307" s="19"/>
      <c r="I307" s="20">
        <v>45405</v>
      </c>
    </row>
    <row r="308" spans="1:9">
      <c r="A308" s="18">
        <v>1240</v>
      </c>
      <c r="B308" s="19" t="str">
        <f>IFERROR(VLOOKUP(A308,CLIENTES!A:E,2,0),"CADASTRAR CLIENTE")</f>
        <v>MONICA VIEIRA DE CAMPOS REBELO-ME</v>
      </c>
      <c r="C308" s="60" t="s">
        <v>3</v>
      </c>
      <c r="D308" s="60">
        <v>73116</v>
      </c>
      <c r="E308" s="21">
        <v>606.52</v>
      </c>
      <c r="F308" s="19"/>
      <c r="G308" s="21"/>
      <c r="H308" s="19"/>
      <c r="I308" s="20">
        <v>45405</v>
      </c>
    </row>
    <row r="309" spans="1:9">
      <c r="A309" s="18">
        <v>2955</v>
      </c>
      <c r="B309" s="19" t="str">
        <f>IFERROR(VLOOKUP(A309,CLIENTES!A:E,2,0),"CADASTRAR CLIENTE")</f>
        <v>ASSOCIACAO SANTA CASA SAUDE DE ARACATUBA</v>
      </c>
      <c r="C309" s="60" t="s">
        <v>328</v>
      </c>
      <c r="D309" s="60">
        <v>73216</v>
      </c>
      <c r="E309" s="21">
        <v>2011.9</v>
      </c>
      <c r="F309" s="19"/>
      <c r="G309" s="21"/>
      <c r="H309" s="19"/>
      <c r="I309" s="20">
        <v>45405</v>
      </c>
    </row>
    <row r="310" spans="1:9">
      <c r="A310" s="18">
        <v>1616</v>
      </c>
      <c r="B310" s="19" t="str">
        <f>IFERROR(VLOOKUP(A310,CLIENTES!A:E,2,0),"CADASTRAR CLIENTE")</f>
        <v>NOVO HORIZONTE LAB.ANAL.CLIN.S/C LTDA.</v>
      </c>
      <c r="C310" s="60" t="s">
        <v>3</v>
      </c>
      <c r="D310" s="60">
        <v>73224</v>
      </c>
      <c r="E310" s="21">
        <v>710</v>
      </c>
      <c r="F310" s="19"/>
      <c r="G310" s="21"/>
      <c r="H310" s="19"/>
      <c r="I310" s="20">
        <v>45406</v>
      </c>
    </row>
    <row r="311" spans="1:9">
      <c r="A311" s="18">
        <v>618</v>
      </c>
      <c r="B311" s="19" t="str">
        <f>IFERROR(VLOOKUP(A311,CLIENTES!A:E,2,0),"CADASTRAR CLIENTE")</f>
        <v>LAB. ANAL. CLIN. POMPEIA</v>
      </c>
      <c r="C311" s="60" t="s">
        <v>328</v>
      </c>
      <c r="D311" s="60">
        <v>98561</v>
      </c>
      <c r="E311" s="21">
        <v>52.13</v>
      </c>
      <c r="F311" s="19"/>
      <c r="G311" s="21"/>
      <c r="H311" s="19"/>
      <c r="I311" s="20">
        <v>45406</v>
      </c>
    </row>
    <row r="312" spans="1:9">
      <c r="A312" s="18">
        <v>618</v>
      </c>
      <c r="B312" s="19" t="str">
        <f>IFERROR(VLOOKUP(A312,CLIENTES!A:E,2,0),"CADASTRAR CLIENTE")</f>
        <v>LAB. ANAL. CLIN. POMPEIA</v>
      </c>
      <c r="C312" s="60" t="s">
        <v>328</v>
      </c>
      <c r="D312" s="60">
        <v>73241</v>
      </c>
      <c r="E312" s="21">
        <v>2015</v>
      </c>
      <c r="F312" s="19"/>
      <c r="G312" s="21"/>
      <c r="H312" s="19"/>
      <c r="I312" s="20">
        <v>45406</v>
      </c>
    </row>
    <row r="313" spans="1:9">
      <c r="A313" s="18">
        <v>822</v>
      </c>
      <c r="B313" s="19" t="str">
        <f>IFERROR(VLOOKUP(A313,CLIENTES!A:E,2,0),"CADASTRAR CLIENTE")</f>
        <v>SAO LUCAS LABORATORIO ANAL. CLIN. S/C LTDA</v>
      </c>
      <c r="C313" s="60" t="s">
        <v>328</v>
      </c>
      <c r="D313" s="60">
        <v>72946</v>
      </c>
      <c r="E313" s="21">
        <v>1010</v>
      </c>
      <c r="F313" s="19"/>
      <c r="G313" s="21"/>
      <c r="H313" s="19"/>
      <c r="I313" s="20">
        <v>45406</v>
      </c>
    </row>
    <row r="314" spans="1:9">
      <c r="A314" s="18">
        <v>1026</v>
      </c>
      <c r="B314" s="19" t="str">
        <f>IFERROR(VLOOKUP(A314,CLIENTES!A:E,2,0),"CADASTRAR CLIENTE")</f>
        <v>LABSC SERVICOS LABORATORIAIS LTDA</v>
      </c>
      <c r="C314" s="60" t="s">
        <v>3</v>
      </c>
      <c r="D314" s="60">
        <v>72679</v>
      </c>
      <c r="E314" s="21">
        <v>1177.5</v>
      </c>
      <c r="F314" s="19"/>
      <c r="G314" s="21"/>
      <c r="H314" s="19"/>
      <c r="I314" s="20">
        <v>45406</v>
      </c>
    </row>
    <row r="315" spans="1:9">
      <c r="A315" s="18">
        <v>50728</v>
      </c>
      <c r="B315" s="19" t="str">
        <f>IFERROR(VLOOKUP(A315,CLIENTES!A:E,2,0),"CADASTRAR CLIENTE")</f>
        <v>SESTITO &amp; TORRES CLINICA MEDICA</v>
      </c>
      <c r="C315" s="60" t="s">
        <v>3</v>
      </c>
      <c r="D315" s="60">
        <v>73264</v>
      </c>
      <c r="E315" s="21">
        <v>1010</v>
      </c>
      <c r="F315" s="19"/>
      <c r="G315" s="21"/>
      <c r="H315" s="19"/>
      <c r="I315" s="20">
        <v>45406</v>
      </c>
    </row>
    <row r="316" spans="1:9">
      <c r="A316" s="18">
        <v>1989</v>
      </c>
      <c r="B316" s="19" t="str">
        <f>IFERROR(VLOOKUP(A316,CLIENTES!A:E,2,0),"CADASTRAR CLIENTE")</f>
        <v>SAO FRANCISCO ANAL. CLIN.</v>
      </c>
      <c r="C316" s="60" t="s">
        <v>3</v>
      </c>
      <c r="D316" s="60">
        <v>72334</v>
      </c>
      <c r="E316" s="21">
        <v>606.13</v>
      </c>
      <c r="F316" s="19"/>
      <c r="G316" s="21"/>
      <c r="H316" s="19"/>
      <c r="I316" s="20">
        <v>45406</v>
      </c>
    </row>
    <row r="317" spans="1:9">
      <c r="A317" s="18">
        <v>50554</v>
      </c>
      <c r="B317" s="19" t="str">
        <f>IFERROR(VLOOKUP(A317,CLIENTES!A:E,2,0),"CADASTRAR CLIENTE")</f>
        <v>SAO ROQUE MEDICINA DIAGNOSTICA</v>
      </c>
      <c r="C317" s="60" t="s">
        <v>3</v>
      </c>
      <c r="D317" s="60">
        <v>72333</v>
      </c>
      <c r="E317" s="21">
        <v>189</v>
      </c>
      <c r="F317" s="19"/>
      <c r="G317" s="21"/>
      <c r="H317" s="19"/>
      <c r="I317" s="20">
        <v>45406</v>
      </c>
    </row>
    <row r="318" spans="1:9">
      <c r="A318" s="18">
        <v>690</v>
      </c>
      <c r="B318" s="19" t="str">
        <f>IFERROR(VLOOKUP(A318,CLIENTES!A:E,2,0),"CADASTRAR CLIENTE")</f>
        <v>SAO ROQUE MEDICINA DIAGNOSTICA LTDA EPP</v>
      </c>
      <c r="C318" s="60" t="s">
        <v>3</v>
      </c>
      <c r="D318" s="60">
        <v>72332</v>
      </c>
      <c r="E318" s="21">
        <v>189</v>
      </c>
      <c r="F318" s="19"/>
      <c r="G318" s="21"/>
      <c r="H318" s="19"/>
      <c r="I318" s="20">
        <v>45406</v>
      </c>
    </row>
    <row r="319" spans="1:9">
      <c r="A319" s="18">
        <v>2763</v>
      </c>
      <c r="B319" s="19" t="str">
        <f>IFERROR(VLOOKUP(A319,CLIENTES!A:E,2,0),"CADASTRAR CLIENTE")</f>
        <v xml:space="preserve">cliente bia </v>
      </c>
      <c r="C319" s="60" t="s">
        <v>3</v>
      </c>
      <c r="D319" s="60">
        <v>72335</v>
      </c>
      <c r="E319" s="21">
        <v>561</v>
      </c>
      <c r="F319" s="19"/>
      <c r="G319" s="21"/>
      <c r="H319" s="19"/>
      <c r="I319" s="20">
        <v>45406</v>
      </c>
    </row>
    <row r="320" spans="1:9">
      <c r="A320" s="18">
        <v>741</v>
      </c>
      <c r="B320" s="19" t="str">
        <f>IFERROR(VLOOKUP(A320,CLIENTES!A:E,2,0),"CADASTRAR CLIENTE")</f>
        <v>LAB. ANAL. CLIN. DR. HELIO NAKABASHI SC LTDA</v>
      </c>
      <c r="C320" s="60" t="s">
        <v>3</v>
      </c>
      <c r="D320" s="60">
        <v>73283</v>
      </c>
      <c r="E320" s="21">
        <v>1010</v>
      </c>
      <c r="F320" s="19"/>
      <c r="G320" s="21"/>
      <c r="H320" s="19"/>
      <c r="I320" s="20">
        <v>45407</v>
      </c>
    </row>
    <row r="321" spans="1:9">
      <c r="A321" s="18">
        <v>592</v>
      </c>
      <c r="B321" s="19" t="str">
        <f>IFERROR(VLOOKUP(A321,CLIENTES!A:E,2,0),"CADASTRAR CLIENTE")</f>
        <v>CADASTRAR CLIENTE</v>
      </c>
      <c r="C321" s="60" t="s">
        <v>3</v>
      </c>
      <c r="D321" s="60">
        <v>72890</v>
      </c>
      <c r="E321" s="21">
        <v>1515</v>
      </c>
      <c r="F321" s="19"/>
      <c r="G321" s="21"/>
      <c r="H321" s="19"/>
      <c r="I321" s="20">
        <v>45407</v>
      </c>
    </row>
    <row r="322" spans="1:9">
      <c r="A322" s="18">
        <v>50728</v>
      </c>
      <c r="B322" s="19" t="str">
        <f>IFERROR(VLOOKUP(A322,CLIENTES!A:E,2,0),"CADASTRAR CLIENTE")</f>
        <v>SESTITO &amp; TORRES CLINICA MEDICA</v>
      </c>
      <c r="C322" s="60" t="s">
        <v>3</v>
      </c>
      <c r="D322" s="60">
        <v>73265</v>
      </c>
      <c r="E322" s="21">
        <v>1010</v>
      </c>
      <c r="F322" s="19"/>
      <c r="G322" s="21"/>
      <c r="H322" s="19"/>
      <c r="I322" s="20">
        <v>45407</v>
      </c>
    </row>
    <row r="323" spans="1:9">
      <c r="A323" s="18">
        <v>50576</v>
      </c>
      <c r="B323" s="19" t="str">
        <f>IFERROR(VLOOKUP(A323,CLIENTES!A:E,2,0),"CADASTRAR CLIENTE")</f>
        <v>ANDRIAO CANEPPA E SILVA LTDA ME</v>
      </c>
      <c r="C323" s="60" t="s">
        <v>3</v>
      </c>
      <c r="D323" s="60">
        <v>73297</v>
      </c>
      <c r="E323" s="21">
        <v>505</v>
      </c>
      <c r="F323" s="19"/>
      <c r="G323" s="21"/>
      <c r="H323" s="19"/>
      <c r="I323" s="20">
        <v>45407</v>
      </c>
    </row>
    <row r="324" spans="1:9">
      <c r="A324" s="18">
        <v>1813</v>
      </c>
      <c r="B324" s="19" t="str">
        <f>IFERROR(VLOOKUP(A324,CLIENTES!A:E,2,0),"CADASTRAR CLIENTE")</f>
        <v>BIOMED LAB.ANAL.CLIN. SC  LTDA</v>
      </c>
      <c r="C324" s="60" t="s">
        <v>3</v>
      </c>
      <c r="D324" s="60">
        <v>73300</v>
      </c>
      <c r="E324" s="21">
        <v>468.7</v>
      </c>
      <c r="F324" s="19"/>
      <c r="G324" s="21"/>
      <c r="H324" s="19"/>
      <c r="I324" s="20">
        <v>45407</v>
      </c>
    </row>
    <row r="325" spans="1:9">
      <c r="A325" s="18">
        <v>3077</v>
      </c>
      <c r="B325" s="19" t="str">
        <f>IFERROR(VLOOKUP(A325,CLIENTES!A:E,2,0),"CADASTRAR CLIENTE")</f>
        <v>CBI ANALISES CLINICAS S/S LTDA</v>
      </c>
      <c r="C325" s="60" t="s">
        <v>328</v>
      </c>
      <c r="D325" s="60">
        <v>98569</v>
      </c>
      <c r="E325" s="21">
        <v>123.48</v>
      </c>
      <c r="F325" s="19"/>
      <c r="G325" s="21"/>
      <c r="H325" s="19"/>
      <c r="I325" s="20">
        <v>45408</v>
      </c>
    </row>
    <row r="326" spans="1:9">
      <c r="A326" s="18">
        <v>3077</v>
      </c>
      <c r="B326" s="19" t="str">
        <f>IFERROR(VLOOKUP(A326,CLIENTES!A:E,2,0),"CADASTRAR CLIENTE")</f>
        <v>CBI ANALISES CLINICAS S/S LTDA</v>
      </c>
      <c r="C326" s="60" t="s">
        <v>328</v>
      </c>
      <c r="D326" s="60">
        <v>73317</v>
      </c>
      <c r="E326" s="21">
        <v>1134.3</v>
      </c>
      <c r="F326" s="19"/>
      <c r="G326" s="21"/>
      <c r="H326" s="19"/>
      <c r="I326" s="20">
        <v>45408</v>
      </c>
    </row>
    <row r="327" spans="1:9">
      <c r="A327" s="18">
        <v>823</v>
      </c>
      <c r="B327" s="19" t="str">
        <f>IFERROR(VLOOKUP(A327,CLIENTES!A:E,2,0),"CADASTRAR CLIENTE")</f>
        <v>SANCHES x SANCHES S/C LTDA</v>
      </c>
      <c r="C327" s="60" t="s">
        <v>3</v>
      </c>
      <c r="D327" s="60">
        <v>73333</v>
      </c>
      <c r="E327" s="21">
        <v>85.78</v>
      </c>
      <c r="F327" s="19"/>
      <c r="G327" s="21"/>
      <c r="H327" s="19"/>
      <c r="I327" s="20">
        <v>45408</v>
      </c>
    </row>
    <row r="328" spans="1:9">
      <c r="A328" s="18">
        <v>364</v>
      </c>
      <c r="B328" s="19" t="str">
        <f>IFERROR(VLOOKUP(A328,CLIENTES!A:E,2,0),"CADASTRAR CLIENTE")</f>
        <v>VITALIS LAB.ANAL.CLIN.S/C LTDA</v>
      </c>
      <c r="C328" s="60" t="s">
        <v>3</v>
      </c>
      <c r="D328" s="60">
        <v>73341</v>
      </c>
      <c r="E328" s="21">
        <v>560</v>
      </c>
      <c r="F328" s="19"/>
      <c r="G328" s="21"/>
      <c r="H328" s="19"/>
      <c r="I328" s="20">
        <v>45408</v>
      </c>
    </row>
    <row r="329" spans="1:9">
      <c r="A329" s="18">
        <v>475</v>
      </c>
      <c r="B329" s="19" t="str">
        <f>IFERROR(VLOOKUP(A329,CLIENTES!A:E,2,0),"CADASTRAR CLIENTE")</f>
        <v>LABORATORIO DE ANALISES CLINICAS SRC LTDA</v>
      </c>
      <c r="C329" s="60" t="s">
        <v>3</v>
      </c>
      <c r="D329" s="60">
        <v>98575</v>
      </c>
      <c r="E329" s="21">
        <v>239.6</v>
      </c>
      <c r="F329" s="19"/>
      <c r="G329" s="21"/>
      <c r="H329" s="19"/>
      <c r="I329" s="20">
        <v>45411</v>
      </c>
    </row>
    <row r="330" spans="1:9">
      <c r="A330" s="18">
        <v>475</v>
      </c>
      <c r="B330" s="19" t="str">
        <f>IFERROR(VLOOKUP(A330,CLIENTES!A:E,2,0),"CADASTRAR CLIENTE")</f>
        <v>LABORATORIO DE ANALISES CLINICAS SRC LTDA</v>
      </c>
      <c r="C330" s="60" t="s">
        <v>3</v>
      </c>
      <c r="D330" s="60">
        <v>73165</v>
      </c>
      <c r="E330" s="21">
        <v>7769.28</v>
      </c>
      <c r="F330" s="19"/>
      <c r="G330" s="21"/>
      <c r="H330" s="19"/>
      <c r="I330" s="20">
        <v>45411</v>
      </c>
    </row>
    <row r="331" spans="1:9">
      <c r="A331" s="18">
        <v>1164</v>
      </c>
      <c r="B331" s="19" t="str">
        <f>IFERROR(VLOOKUP(A331,CLIENTES!A:E,2,0),"CADASTRAR CLIENTE")</f>
        <v>LAB. ANAL. CLIN. SAO LOURENCO S/C LTDA</v>
      </c>
      <c r="C331" s="60" t="s">
        <v>328</v>
      </c>
      <c r="D331" s="60">
        <v>98576</v>
      </c>
      <c r="E331" s="21">
        <v>71.45</v>
      </c>
      <c r="F331" s="19"/>
      <c r="G331" s="21"/>
      <c r="H331" s="19"/>
      <c r="I331" s="20">
        <v>45411</v>
      </c>
    </row>
    <row r="332" spans="1:9">
      <c r="A332" s="18">
        <v>1164</v>
      </c>
      <c r="B332" s="19" t="str">
        <f>IFERROR(VLOOKUP(A332,CLIENTES!A:E,2,0),"CADASTRAR CLIENTE")</f>
        <v>LAB. ANAL. CLIN. SAO LOURENCO S/C LTDA</v>
      </c>
      <c r="C332" s="60" t="s">
        <v>328</v>
      </c>
      <c r="D332" s="60">
        <v>73371</v>
      </c>
      <c r="E332" s="21">
        <v>1160.3599999999999</v>
      </c>
      <c r="F332" s="19"/>
      <c r="G332" s="21"/>
      <c r="H332" s="19"/>
      <c r="I332" s="20">
        <v>45411</v>
      </c>
    </row>
    <row r="333" spans="1:9">
      <c r="A333" s="18">
        <v>50312</v>
      </c>
      <c r="B333" s="19" t="str">
        <f>IFERROR(VLOOKUP(A333,CLIENTES!A:E,2,0),"CADASTRAR CLIENTE")</f>
        <v>LAB-MED LAB.ANALISES CLINICAS</v>
      </c>
      <c r="C333" s="60" t="s">
        <v>328</v>
      </c>
      <c r="D333" s="60">
        <v>73390</v>
      </c>
      <c r="E333" s="21">
        <v>575.85</v>
      </c>
      <c r="F333" s="19"/>
      <c r="G333" s="21"/>
      <c r="H333" s="19"/>
      <c r="I333" s="20">
        <v>45411</v>
      </c>
    </row>
    <row r="334" spans="1:9">
      <c r="A334" s="18">
        <v>1122</v>
      </c>
      <c r="B334" s="19" t="str">
        <f>IFERROR(VLOOKUP(A334,CLIENTES!A:E,2,0),"CADASTRAR CLIENTE")</f>
        <v>FUNDEPAG</v>
      </c>
      <c r="C334" s="60" t="s">
        <v>2</v>
      </c>
      <c r="D334" s="60">
        <v>73388</v>
      </c>
      <c r="E334" s="21">
        <v>824</v>
      </c>
      <c r="F334" s="19"/>
      <c r="G334" s="21"/>
      <c r="H334" s="19"/>
      <c r="I334" s="20">
        <v>45411</v>
      </c>
    </row>
    <row r="335" spans="1:9">
      <c r="A335" s="18">
        <v>1122</v>
      </c>
      <c r="B335" s="19" t="str">
        <f>IFERROR(VLOOKUP(A335,CLIENTES!A:E,2,0),"CADASTRAR CLIENTE")</f>
        <v>FUNDEPAG</v>
      </c>
      <c r="C335" s="60" t="s">
        <v>2</v>
      </c>
      <c r="D335" s="60">
        <v>73386</v>
      </c>
      <c r="E335" s="21">
        <v>2305.5500000000002</v>
      </c>
      <c r="F335" s="19"/>
      <c r="G335" s="21"/>
      <c r="H335" s="19"/>
      <c r="I335" s="20">
        <v>45411</v>
      </c>
    </row>
    <row r="336" spans="1:9">
      <c r="A336" s="18">
        <v>822</v>
      </c>
      <c r="B336" s="19" t="str">
        <f>IFERROR(VLOOKUP(A336,CLIENTES!A:E,2,0),"CADASTRAR CLIENTE")</f>
        <v>SAO LUCAS LABORATORIO ANAL. CLIN. S/C LTDA</v>
      </c>
      <c r="C336" s="60" t="s">
        <v>328</v>
      </c>
      <c r="D336" s="60">
        <v>73403</v>
      </c>
      <c r="E336" s="21">
        <v>1515</v>
      </c>
      <c r="F336" s="19"/>
      <c r="G336" s="21"/>
      <c r="H336" s="19"/>
      <c r="I336" s="20">
        <v>45411</v>
      </c>
    </row>
    <row r="337" spans="1:9">
      <c r="A337" s="18">
        <v>1493</v>
      </c>
      <c r="B337" s="19" t="str">
        <f>IFERROR(VLOOKUP(A337,CLIENTES!A:E,2,0),"CADASTRAR CLIENTE")</f>
        <v>CEDIMA  CENTRO DE DIAG MONTE AZUL ANAL CLIN E CIT</v>
      </c>
      <c r="C337" s="60" t="s">
        <v>3</v>
      </c>
      <c r="D337" s="60">
        <v>73424</v>
      </c>
      <c r="E337" s="21">
        <v>766.02</v>
      </c>
      <c r="F337" s="19"/>
      <c r="G337" s="21"/>
      <c r="H337" s="19"/>
      <c r="I337" s="20">
        <v>45414</v>
      </c>
    </row>
    <row r="338" spans="1:9">
      <c r="A338" s="18">
        <v>1616</v>
      </c>
      <c r="B338" s="19" t="str">
        <f>IFERROR(VLOOKUP(A338,CLIENTES!A:E,2,0),"CADASTRAR CLIENTE")</f>
        <v>NOVO HORIZONTE LAB.ANAL.CLIN.S/C LTDA.</v>
      </c>
      <c r="C338" s="60" t="s">
        <v>3</v>
      </c>
      <c r="D338" s="60">
        <v>73396</v>
      </c>
      <c r="E338" s="21">
        <v>1113</v>
      </c>
      <c r="F338" s="19"/>
      <c r="G338" s="21"/>
      <c r="H338" s="19"/>
      <c r="I338" s="20">
        <v>45414</v>
      </c>
    </row>
    <row r="339" spans="1:9">
      <c r="A339" s="18">
        <v>2192</v>
      </c>
      <c r="B339" s="19" t="str">
        <f>IFERROR(VLOOKUP(A339,CLIENTES!A:E,2,0),"CADASTRAR CLIENTE")</f>
        <v>CADASTRAR CLIENTE</v>
      </c>
      <c r="C339" s="60" t="s">
        <v>3</v>
      </c>
      <c r="D339" s="60">
        <v>73396</v>
      </c>
      <c r="E339" s="21">
        <v>2655.19</v>
      </c>
      <c r="F339" s="19"/>
      <c r="G339" s="21"/>
      <c r="H339" s="19"/>
      <c r="I339" s="20">
        <v>45414</v>
      </c>
    </row>
    <row r="340" spans="1:9">
      <c r="A340" s="18">
        <v>885</v>
      </c>
      <c r="B340" s="19" t="str">
        <f>IFERROR(VLOOKUP(A340,CLIENTES!A:E,2,0),"CADASTRAR CLIENTE")</f>
        <v>MEDCLINICA MORATENSE SC LTDA ME</v>
      </c>
      <c r="C340" s="60" t="s">
        <v>3</v>
      </c>
      <c r="D340" s="60">
        <v>73334</v>
      </c>
      <c r="E340" s="21">
        <v>3324.04</v>
      </c>
      <c r="F340" s="19"/>
      <c r="G340" s="21"/>
      <c r="H340" s="19"/>
      <c r="I340" s="20">
        <v>45414</v>
      </c>
    </row>
    <row r="341" spans="1:9">
      <c r="A341" s="18">
        <v>50222</v>
      </c>
      <c r="B341" s="19" t="str">
        <f>IFERROR(VLOOKUP(A341,CLIENTES!A:E,2,0),"CADASTRAR CLIENTE")</f>
        <v>HOSPITAL REGIONAL DR VIVALDO MARTINS SIMOES</v>
      </c>
      <c r="C341" s="60" t="s">
        <v>3</v>
      </c>
      <c r="D341" s="60">
        <v>73450</v>
      </c>
      <c r="E341" s="21">
        <v>1403.82</v>
      </c>
      <c r="F341" s="19"/>
      <c r="G341" s="21"/>
      <c r="H341" s="19"/>
      <c r="I341" s="20">
        <v>45414</v>
      </c>
    </row>
    <row r="342" spans="1:9">
      <c r="A342" s="18">
        <v>311</v>
      </c>
      <c r="B342" s="19" t="str">
        <f>IFERROR(VLOOKUP(A342,CLIENTES!A:E,2,0),"CADASTRAR CLIENTE")</f>
        <v>CENTRO DE ANAL.CLIN. UNILAB  SC LTDA.</v>
      </c>
      <c r="C342" s="60" t="s">
        <v>3</v>
      </c>
      <c r="D342" s="60">
        <v>73473</v>
      </c>
      <c r="E342" s="21">
        <v>184.1</v>
      </c>
      <c r="F342" s="19"/>
      <c r="G342" s="21"/>
      <c r="H342" s="19"/>
      <c r="I342" s="20">
        <v>45414</v>
      </c>
    </row>
    <row r="343" spans="1:9">
      <c r="A343" s="18">
        <v>311</v>
      </c>
      <c r="B343" s="19" t="str">
        <f>IFERROR(VLOOKUP(A343,CLIENTES!A:E,2,0),"CADASTRAR CLIENTE")</f>
        <v>CENTRO DE ANAL.CLIN. UNILAB  SC LTDA.</v>
      </c>
      <c r="C343" s="60" t="s">
        <v>3</v>
      </c>
      <c r="D343" s="60">
        <v>98599</v>
      </c>
      <c r="E343" s="21">
        <v>806.91</v>
      </c>
      <c r="F343" s="19"/>
      <c r="G343" s="21"/>
      <c r="H343" s="19"/>
      <c r="I343" s="20">
        <v>45414</v>
      </c>
    </row>
    <row r="344" spans="1:9">
      <c r="A344" s="18">
        <v>784</v>
      </c>
      <c r="B344" s="19" t="str">
        <f>IFERROR(VLOOKUP(A344,CLIENTES!A:E,2,0),"CADASTRAR CLIENTE")</f>
        <v>LAB.ANAL.CLIN. ALBERT SABIN SC LTDA.</v>
      </c>
      <c r="C344" s="60" t="s">
        <v>3</v>
      </c>
      <c r="D344" s="60">
        <v>73464</v>
      </c>
      <c r="E344" s="21">
        <v>4041.26</v>
      </c>
      <c r="F344" s="19"/>
      <c r="G344" s="21"/>
      <c r="H344" s="19"/>
      <c r="I344" s="20">
        <v>45414</v>
      </c>
    </row>
    <row r="345" spans="1:9">
      <c r="A345" s="18">
        <v>412</v>
      </c>
      <c r="B345" s="19" t="str">
        <f>IFERROR(VLOOKUP(A345,CLIENTES!A:E,2,0),"CADASTRAR CLIENTE")</f>
        <v>LAB.ANAL.CLIN.SAO MANUEL SC LTDA.</v>
      </c>
      <c r="C345" s="60" t="s">
        <v>3</v>
      </c>
      <c r="D345" s="60">
        <v>73486</v>
      </c>
      <c r="E345" s="21">
        <v>1228.8399999999999</v>
      </c>
      <c r="F345" s="19"/>
      <c r="G345" s="21"/>
      <c r="H345" s="19"/>
      <c r="I345" s="20">
        <v>45414</v>
      </c>
    </row>
    <row r="346" spans="1:9">
      <c r="A346" s="18">
        <v>1026</v>
      </c>
      <c r="B346" s="19" t="str">
        <f>IFERROR(VLOOKUP(A346,CLIENTES!A:E,2,0),"CADASTRAR CLIENTE")</f>
        <v>LABSC SERVICOS LABORATORIAIS LTDA</v>
      </c>
      <c r="C346" s="60" t="s">
        <v>328</v>
      </c>
      <c r="D346" s="60">
        <v>73496</v>
      </c>
      <c r="E346" s="21">
        <v>2079.9</v>
      </c>
      <c r="F346" s="19"/>
      <c r="G346" s="21"/>
      <c r="H346" s="19"/>
      <c r="I346" s="20">
        <v>45414</v>
      </c>
    </row>
    <row r="347" spans="1:9">
      <c r="A347" s="18">
        <v>1842</v>
      </c>
      <c r="B347" s="19" t="str">
        <f>IFERROR(VLOOKUP(A347,CLIENTES!A:E,2,0),"CADASTRAR CLIENTE")</f>
        <v>LABORATORIO UNILABVET EIRELI</v>
      </c>
      <c r="C347" s="60" t="s">
        <v>3</v>
      </c>
      <c r="D347" s="60">
        <v>72288</v>
      </c>
      <c r="E347" s="21">
        <v>692.6</v>
      </c>
      <c r="F347" s="19"/>
      <c r="G347" s="21"/>
      <c r="H347" s="19"/>
      <c r="I347" s="20">
        <v>45414</v>
      </c>
    </row>
    <row r="348" spans="1:9">
      <c r="A348" s="18">
        <v>1842</v>
      </c>
      <c r="B348" s="19" t="str">
        <f>IFERROR(VLOOKUP(A348,CLIENTES!A:E,2,0),"CADASTRAR CLIENTE")</f>
        <v>LABORATORIO UNILABVET EIRELI</v>
      </c>
      <c r="C348" s="60" t="s">
        <v>3</v>
      </c>
      <c r="D348" s="60">
        <v>98603</v>
      </c>
      <c r="E348" s="21">
        <v>122.75</v>
      </c>
      <c r="F348" s="19"/>
      <c r="G348" s="21"/>
      <c r="H348" s="19"/>
      <c r="I348" s="20">
        <v>45414</v>
      </c>
    </row>
    <row r="349" spans="1:9">
      <c r="A349" s="18">
        <v>50418</v>
      </c>
      <c r="B349" s="19" t="str">
        <f>IFERROR(VLOOKUP(A349,CLIENTES!A:E,2,0),"CADASTRAR CLIENTE")</f>
        <v>LABORATORIO SAO LUCAS DE BROTAS SS LTDA</v>
      </c>
      <c r="C349" s="60" t="s">
        <v>3</v>
      </c>
      <c r="D349" s="60">
        <v>73500</v>
      </c>
      <c r="E349" s="21">
        <v>1576.6</v>
      </c>
      <c r="F349" s="19"/>
      <c r="G349" s="21"/>
      <c r="H349" s="19"/>
      <c r="I349" s="20">
        <v>45414</v>
      </c>
    </row>
    <row r="350" spans="1:9">
      <c r="A350" s="18">
        <v>1262</v>
      </c>
      <c r="B350" s="19" t="str">
        <f>IFERROR(VLOOKUP(A350,CLIENTES!A:E,2,0),"CADASTRAR CLIENTE")</f>
        <v>CADASTRAR CLIENTE</v>
      </c>
      <c r="C350" s="60" t="s">
        <v>3</v>
      </c>
      <c r="D350" s="60">
        <v>73208</v>
      </c>
      <c r="E350" s="21">
        <v>583.36</v>
      </c>
      <c r="F350" s="19"/>
      <c r="G350" s="21"/>
      <c r="H350" s="19"/>
      <c r="I350" s="20">
        <v>45415</v>
      </c>
    </row>
    <row r="351" spans="1:9">
      <c r="A351" s="18">
        <v>1788</v>
      </c>
      <c r="B351" s="19" t="str">
        <f>IFERROR(VLOOKUP(A351,CLIENTES!A:E,2,0),"CADASTRAR CLIENTE")</f>
        <v>ZANATA &amp; REIS LABORCLINICA LTDA</v>
      </c>
      <c r="C351" s="60" t="s">
        <v>3</v>
      </c>
      <c r="D351" s="60">
        <v>73507</v>
      </c>
      <c r="E351" s="21">
        <v>190</v>
      </c>
      <c r="F351" s="19"/>
      <c r="G351" s="21"/>
      <c r="H351" s="19"/>
      <c r="I351" s="20">
        <v>45415</v>
      </c>
    </row>
    <row r="352" spans="1:9">
      <c r="A352" s="18">
        <v>50219</v>
      </c>
      <c r="B352" s="19" t="str">
        <f>IFERROR(VLOOKUP(A352,CLIENTES!A:E,2,0),"CADASTRAR CLIENTE")</f>
        <v>UNIPREV LAB DE ANALISES LOCACAO DE BENS E REPAROS LTDA EPP</v>
      </c>
      <c r="C352" s="60" t="s">
        <v>3</v>
      </c>
      <c r="D352" s="60">
        <v>73528</v>
      </c>
      <c r="E352" s="21">
        <v>1473.71</v>
      </c>
      <c r="F352" s="19"/>
      <c r="G352" s="21"/>
      <c r="H352" s="19"/>
      <c r="I352" s="20">
        <v>45415</v>
      </c>
    </row>
    <row r="353" spans="1:9">
      <c r="A353" s="18">
        <v>50222</v>
      </c>
      <c r="B353" s="19" t="str">
        <f>IFERROR(VLOOKUP(A353,CLIENTES!A:E,2,0),"CADASTRAR CLIENTE")</f>
        <v>HOSPITAL REGIONAL DR VIVALDO MARTINS SIMOES</v>
      </c>
      <c r="C353" s="60" t="s">
        <v>3</v>
      </c>
      <c r="D353" s="60">
        <v>98610</v>
      </c>
      <c r="E353" s="21">
        <v>171.06</v>
      </c>
      <c r="F353" s="19"/>
      <c r="G353" s="21"/>
      <c r="H353" s="19"/>
      <c r="I353" s="20">
        <v>45415</v>
      </c>
    </row>
    <row r="354" spans="1:9">
      <c r="A354" s="18">
        <v>3153</v>
      </c>
      <c r="B354" s="19" t="str">
        <f>IFERROR(VLOOKUP(A354,CLIENTES!A:E,2,0),"CADASTRAR CLIENTE")</f>
        <v>UNIMED DE TUPA COOPERATIVA DE TRABALHO MEDICO</v>
      </c>
      <c r="C354" s="60" t="s">
        <v>3</v>
      </c>
      <c r="D354" s="60">
        <v>73530</v>
      </c>
      <c r="E354" s="21">
        <v>1455.7</v>
      </c>
      <c r="F354" s="19"/>
      <c r="G354" s="21"/>
      <c r="H354" s="19"/>
      <c r="I354" s="20">
        <v>45415</v>
      </c>
    </row>
    <row r="355" spans="1:9">
      <c r="A355" s="18">
        <v>475</v>
      </c>
      <c r="B355" s="19" t="str">
        <f>IFERROR(VLOOKUP(A355,CLIENTES!A:E,2,0),"CADASTRAR CLIENTE")</f>
        <v>LABORATORIO DE ANALISES CLINICAS SRC LTDA</v>
      </c>
      <c r="C355" s="60" t="s">
        <v>3</v>
      </c>
      <c r="D355" s="60">
        <v>73522</v>
      </c>
      <c r="E355" s="21">
        <v>904.09</v>
      </c>
      <c r="F355" s="19"/>
      <c r="G355" s="21"/>
      <c r="H355" s="19"/>
      <c r="I355" s="20">
        <v>45415</v>
      </c>
    </row>
    <row r="356" spans="1:9">
      <c r="A356" s="18">
        <v>2702</v>
      </c>
      <c r="B356" s="19" t="str">
        <f>IFERROR(VLOOKUP(A356,CLIENTES!A:E,2,0),"CADASTRAR CLIENTE")</f>
        <v>SANTA CASA DE MISER. DE TAQUARITUBA</v>
      </c>
      <c r="C356" s="60" t="s">
        <v>3</v>
      </c>
      <c r="D356" s="60">
        <v>73544</v>
      </c>
      <c r="E356" s="21">
        <v>341.07</v>
      </c>
      <c r="F356" s="19"/>
      <c r="G356" s="21"/>
      <c r="H356" s="19"/>
      <c r="I356" s="20">
        <v>45418</v>
      </c>
    </row>
    <row r="357" spans="1:9">
      <c r="A357" s="18">
        <v>702</v>
      </c>
      <c r="B357" s="19" t="str">
        <f>IFERROR(VLOOKUP(A357,CLIENTES!A:E,2,0),"CADASTRAR CLIENTE")</f>
        <v>CADASTRAR CLIENTE</v>
      </c>
      <c r="C357" s="60" t="s">
        <v>328</v>
      </c>
      <c r="D357" s="60">
        <v>73554</v>
      </c>
      <c r="E357" s="21">
        <v>879.56</v>
      </c>
      <c r="F357" s="19"/>
      <c r="G357" s="21"/>
      <c r="H357" s="19"/>
      <c r="I357" s="20">
        <v>45418</v>
      </c>
    </row>
    <row r="358" spans="1:9">
      <c r="A358" s="18">
        <v>1164</v>
      </c>
      <c r="B358" s="19" t="str">
        <f>IFERROR(VLOOKUP(A358,CLIENTES!A:E,2,0),"CADASTRAR CLIENTE")</f>
        <v>LAB. ANAL. CLIN. SAO LOURENCO S/C LTDA</v>
      </c>
      <c r="C358" s="60" t="s">
        <v>328</v>
      </c>
      <c r="D358" s="60">
        <v>73555</v>
      </c>
      <c r="E358" s="21">
        <v>533.79999999999995</v>
      </c>
      <c r="F358" s="19"/>
      <c r="G358" s="21"/>
      <c r="H358" s="19"/>
      <c r="I358" s="20">
        <v>45418</v>
      </c>
    </row>
    <row r="359" spans="1:9">
      <c r="A359" s="18">
        <v>50576</v>
      </c>
      <c r="B359" s="19" t="str">
        <f>IFERROR(VLOOKUP(A359,CLIENTES!A:E,2,0),"CADASTRAR CLIENTE")</f>
        <v>ANDRIAO CANEPPA E SILVA LTDA ME</v>
      </c>
      <c r="C359" s="60" t="s">
        <v>3</v>
      </c>
      <c r="D359" s="60">
        <v>73568</v>
      </c>
      <c r="E359" s="21">
        <v>1878.18</v>
      </c>
      <c r="F359" s="19"/>
      <c r="G359" s="21"/>
      <c r="H359" s="19"/>
      <c r="I359" s="20">
        <v>45418</v>
      </c>
    </row>
    <row r="360" spans="1:9">
      <c r="A360" s="18">
        <v>911</v>
      </c>
      <c r="B360" s="19" t="str">
        <f>IFERROR(VLOOKUP(A360,CLIENTES!A:E,2,0),"CADASTRAR CLIENTE")</f>
        <v>CADASTRAR CLIENTE</v>
      </c>
      <c r="C360" s="60" t="s">
        <v>3</v>
      </c>
      <c r="D360" s="60">
        <v>73572</v>
      </c>
      <c r="E360" s="21">
        <v>1491.25</v>
      </c>
      <c r="F360" s="19"/>
      <c r="G360" s="21"/>
      <c r="H360" s="19"/>
      <c r="I360" s="20">
        <v>45418</v>
      </c>
    </row>
    <row r="361" spans="1:9">
      <c r="A361" s="18">
        <v>911</v>
      </c>
      <c r="B361" s="19" t="str">
        <f>IFERROR(VLOOKUP(A361,CLIENTES!A:E,2,0),"CADASTRAR CLIENTE")</f>
        <v>CADASTRAR CLIENTE</v>
      </c>
      <c r="C361" s="60" t="s">
        <v>3</v>
      </c>
      <c r="D361" s="60">
        <v>98626</v>
      </c>
      <c r="E361" s="21">
        <v>260.7</v>
      </c>
      <c r="F361" s="19"/>
      <c r="G361" s="21"/>
      <c r="H361" s="19"/>
      <c r="I361" s="20">
        <v>45418</v>
      </c>
    </row>
    <row r="362" spans="1:9">
      <c r="A362" s="18">
        <v>756</v>
      </c>
      <c r="B362" s="19" t="str">
        <f>IFERROR(VLOOKUP(A362,CLIENTES!A:E,2,0),"CADASTRAR CLIENTE")</f>
        <v>LAB.TRIANON DE ANAL.CLIN.SC LTDA.</v>
      </c>
      <c r="C362" s="60" t="s">
        <v>3</v>
      </c>
      <c r="D362" s="60">
        <v>73583</v>
      </c>
      <c r="E362" s="21">
        <v>1091.6199999999999</v>
      </c>
      <c r="F362" s="19"/>
      <c r="G362" s="21"/>
      <c r="H362" s="19"/>
      <c r="I362" s="20">
        <v>45418</v>
      </c>
    </row>
    <row r="363" spans="1:9">
      <c r="A363" s="18">
        <v>2198</v>
      </c>
      <c r="B363" s="19" t="str">
        <f>IFERROR(VLOOKUP(A363,CLIENTES!A:E,2,0),"CADASTRAR CLIENTE")</f>
        <v>LABORATORIO BIONALISES S.S. LTDA</v>
      </c>
      <c r="C363" s="60" t="s">
        <v>3</v>
      </c>
      <c r="D363" s="60">
        <v>73026</v>
      </c>
      <c r="E363" s="21">
        <v>4180</v>
      </c>
      <c r="F363" s="19"/>
      <c r="G363" s="21"/>
      <c r="H363" s="19"/>
      <c r="I363" s="20">
        <v>45418</v>
      </c>
    </row>
    <row r="364" spans="1:9">
      <c r="A364" s="18">
        <v>432</v>
      </c>
      <c r="B364" s="19" t="str">
        <f>IFERROR(VLOOKUP(A364,CLIENTES!A:E,2,0),"CADASTRAR CLIENTE")</f>
        <v>LABORATORIO PASTEUR HEMATOLOGIA E MICROBIOLOGIA S/S LTDA</v>
      </c>
      <c r="C364" s="60" t="s">
        <v>3</v>
      </c>
      <c r="D364" s="60">
        <v>73506</v>
      </c>
      <c r="E364" s="21">
        <v>1186.9000000000001</v>
      </c>
      <c r="F364" s="19"/>
      <c r="G364" s="21"/>
      <c r="H364" s="19"/>
      <c r="I364" s="20">
        <v>45418</v>
      </c>
    </row>
    <row r="365" spans="1:9">
      <c r="A365" s="18">
        <v>432</v>
      </c>
      <c r="B365" s="19" t="str">
        <f>IFERROR(VLOOKUP(A365,CLIENTES!A:E,2,0),"CADASTRAR CLIENTE")</f>
        <v>LABORATORIO PASTEUR HEMATOLOGIA E MICROBIOLOGIA S/S LTDA</v>
      </c>
      <c r="C365" s="60" t="s">
        <v>3</v>
      </c>
      <c r="D365" s="60">
        <v>98617</v>
      </c>
      <c r="E365" s="21">
        <v>265.93</v>
      </c>
      <c r="F365" s="19"/>
      <c r="G365" s="21"/>
      <c r="H365" s="19"/>
      <c r="I365" s="20">
        <v>45418</v>
      </c>
    </row>
    <row r="366" spans="1:9">
      <c r="A366" s="18">
        <v>1971</v>
      </c>
      <c r="B366" s="19" t="str">
        <f>IFERROR(VLOOKUP(A366,CLIENTES!A:E,2,0),"CADASTRAR CLIENTE")</f>
        <v>LABORATORIO POPULAR LAB 7 LTDA</v>
      </c>
      <c r="C366" s="60" t="s">
        <v>3</v>
      </c>
      <c r="D366" s="60">
        <v>73591</v>
      </c>
      <c r="E366" s="21">
        <v>683.5</v>
      </c>
      <c r="F366" s="19"/>
      <c r="G366" s="21"/>
      <c r="H366" s="19"/>
      <c r="I366" s="20">
        <v>45418</v>
      </c>
    </row>
    <row r="367" spans="1:9">
      <c r="A367" s="18">
        <v>1971</v>
      </c>
      <c r="B367" s="19" t="str">
        <f>IFERROR(VLOOKUP(A367,CLIENTES!A:E,2,0),"CADASTRAR CLIENTE")</f>
        <v>LABORATORIO POPULAR LAB 7 LTDA</v>
      </c>
      <c r="C367" s="60" t="s">
        <v>3</v>
      </c>
      <c r="D367" s="60">
        <v>98630</v>
      </c>
      <c r="E367" s="21">
        <v>249.6</v>
      </c>
      <c r="F367" s="19"/>
      <c r="G367" s="21"/>
      <c r="H367" s="19"/>
      <c r="I367" s="20">
        <v>45418</v>
      </c>
    </row>
    <row r="368" spans="1:9">
      <c r="A368" s="18">
        <v>50554</v>
      </c>
      <c r="B368" s="19" t="str">
        <f>IFERROR(VLOOKUP(A368,CLIENTES!A:E,2,0),"CADASTRAR CLIENTE")</f>
        <v>SAO ROQUE MEDICINA DIAGNOSTICA</v>
      </c>
      <c r="C368" s="60" t="s">
        <v>3</v>
      </c>
      <c r="D368" s="60">
        <v>73531</v>
      </c>
      <c r="E368" s="21">
        <v>3295.15</v>
      </c>
      <c r="F368" s="19"/>
      <c r="G368" s="21"/>
      <c r="H368" s="19"/>
      <c r="I368" s="20">
        <v>45418</v>
      </c>
    </row>
    <row r="369" spans="1:9">
      <c r="A369" s="18">
        <v>50497</v>
      </c>
      <c r="B369" s="19" t="str">
        <f>IFERROR(VLOOKUP(A369,CLIENTES!A:E,2,0),"CADASTRAR CLIENTE")</f>
        <v>DIAGNOSTIKA-UNIDADE DIAGNOSTICA EM PATOLOGIA CIRURGICA E CITOLOGIA LTDA</v>
      </c>
      <c r="C369" s="60" t="s">
        <v>3</v>
      </c>
      <c r="D369" s="60">
        <v>98611</v>
      </c>
      <c r="E369" s="21">
        <v>580.6</v>
      </c>
      <c r="F369" s="19"/>
      <c r="G369" s="21"/>
      <c r="H369" s="19"/>
      <c r="I369" s="20">
        <v>45419</v>
      </c>
    </row>
    <row r="370" spans="1:9">
      <c r="A370" s="18">
        <v>3194</v>
      </c>
      <c r="B370" s="19" t="str">
        <f>IFERROR(VLOOKUP(A370,CLIENTES!A:E,2,0),"CADASTRAR CLIENTE")</f>
        <v>CENTRO DE DIAGNOSTICOS CONTROLE LTDA</v>
      </c>
      <c r="C370" s="60" t="s">
        <v>328</v>
      </c>
      <c r="D370" s="60">
        <v>73605</v>
      </c>
      <c r="E370" s="21">
        <v>802.5</v>
      </c>
      <c r="F370" s="19"/>
      <c r="G370" s="21"/>
      <c r="H370" s="19"/>
      <c r="I370" s="20">
        <v>45419</v>
      </c>
    </row>
    <row r="371" spans="1:9">
      <c r="A371" s="18">
        <v>746</v>
      </c>
      <c r="B371" s="19" t="str">
        <f>IFERROR(VLOOKUP(A371,CLIENTES!A:E,2,0),"CADASTRAR CLIENTE")</f>
        <v>LAB.ANAL.CLIN.BIOCLIN SC LTDA.</v>
      </c>
      <c r="C371" s="60" t="s">
        <v>328</v>
      </c>
      <c r="D371" s="60">
        <v>73616</v>
      </c>
      <c r="E371" s="21">
        <v>5148.66</v>
      </c>
      <c r="F371" s="19"/>
      <c r="G371" s="21"/>
      <c r="H371" s="19"/>
      <c r="I371" s="20">
        <v>45419</v>
      </c>
    </row>
    <row r="372" spans="1:9">
      <c r="A372" s="18">
        <v>746</v>
      </c>
      <c r="B372" s="19" t="str">
        <f>IFERROR(VLOOKUP(A372,CLIENTES!A:E,2,0),"CADASTRAR CLIENTE")</f>
        <v>LAB.ANAL.CLIN.BIOCLIN SC LTDA.</v>
      </c>
      <c r="C372" s="60" t="s">
        <v>328</v>
      </c>
      <c r="D372" s="60">
        <v>98634</v>
      </c>
      <c r="E372" s="21">
        <v>311</v>
      </c>
      <c r="F372" s="19"/>
      <c r="G372" s="21"/>
      <c r="H372" s="19"/>
      <c r="I372" s="20">
        <v>45419</v>
      </c>
    </row>
    <row r="373" spans="1:9">
      <c r="A373" s="18">
        <v>50936</v>
      </c>
      <c r="B373" s="19" t="str">
        <f>IFERROR(VLOOKUP(A373,CLIENTES!A:E,2,0),"CADASTRAR CLIENTE")</f>
        <v>LABORATORIO DE ANALISES CLINICAS SAO JOSE LTDA</v>
      </c>
      <c r="C373" s="60" t="s">
        <v>3</v>
      </c>
      <c r="D373" s="60">
        <v>73625</v>
      </c>
      <c r="E373" s="21">
        <v>492.6</v>
      </c>
      <c r="F373" s="19"/>
      <c r="G373" s="21"/>
      <c r="H373" s="19"/>
      <c r="I373" s="20">
        <v>45419</v>
      </c>
    </row>
    <row r="374" spans="1:9">
      <c r="A374" s="18">
        <v>761</v>
      </c>
      <c r="B374" s="19" t="str">
        <f>IFERROR(VLOOKUP(A374,CLIENTES!A:E,2,0),"CADASTRAR CLIENTE")</f>
        <v>EXAME CENTRO DIAG.M.ARACATUBA SC LTDA.</v>
      </c>
      <c r="C374" s="60" t="s">
        <v>3</v>
      </c>
      <c r="D374" s="60">
        <v>98601</v>
      </c>
      <c r="E374" s="21">
        <v>314.2</v>
      </c>
      <c r="F374" s="19"/>
      <c r="G374" s="21"/>
      <c r="H374" s="19"/>
      <c r="I374" s="20">
        <v>45419</v>
      </c>
    </row>
    <row r="375" spans="1:9">
      <c r="A375" s="18">
        <v>761</v>
      </c>
      <c r="B375" s="19" t="str">
        <f>IFERROR(VLOOKUP(A375,CLIENTES!A:E,2,0),"CADASTRAR CLIENTE")</f>
        <v>EXAME CENTRO DIAG.M.ARACATUBA SC LTDA.</v>
      </c>
      <c r="C375" s="60" t="s">
        <v>3</v>
      </c>
      <c r="D375" s="60">
        <v>73557</v>
      </c>
      <c r="E375" s="21">
        <v>74.7</v>
      </c>
      <c r="F375" s="19"/>
      <c r="G375" s="21"/>
      <c r="H375" s="19"/>
      <c r="I375" s="20">
        <v>45419</v>
      </c>
    </row>
    <row r="376" spans="1:9">
      <c r="A376" s="18">
        <v>1788</v>
      </c>
      <c r="B376" s="19" t="str">
        <f>IFERROR(VLOOKUP(A376,CLIENTES!A:E,2,0),"CADASTRAR CLIENTE")</f>
        <v>ZANATA &amp; REIS LABORCLINICA LTDA</v>
      </c>
      <c r="C376" s="60" t="s">
        <v>3</v>
      </c>
      <c r="D376" s="60">
        <v>73615</v>
      </c>
      <c r="E376" s="21">
        <v>1585.08</v>
      </c>
      <c r="F376" s="19"/>
      <c r="G376" s="21"/>
      <c r="H376" s="19"/>
      <c r="I376" s="20">
        <v>45419</v>
      </c>
    </row>
    <row r="377" spans="1:9">
      <c r="A377" s="18">
        <v>500149</v>
      </c>
      <c r="B377" s="19" t="str">
        <f>IFERROR(VLOOKUP(A377,CLIENTES!A:E,2,0),"CADASTRAR CLIENTE")</f>
        <v>SAO ROQUE MEDICINA DIAGNOSTICA LTDA</v>
      </c>
      <c r="C377" s="60" t="s">
        <v>3</v>
      </c>
      <c r="D377" s="60">
        <v>73588</v>
      </c>
      <c r="E377" s="21">
        <v>2142.12</v>
      </c>
      <c r="F377" s="19"/>
      <c r="G377" s="21"/>
      <c r="H377" s="19"/>
      <c r="I377" s="20">
        <v>45419</v>
      </c>
    </row>
    <row r="378" spans="1:9">
      <c r="A378" s="18">
        <v>364</v>
      </c>
      <c r="B378" s="19" t="str">
        <f>IFERROR(VLOOKUP(A378,CLIENTES!A:E,2,0),"CADASTRAR CLIENTE")</f>
        <v>VITALIS LAB.ANAL.CLIN.S/C LTDA</v>
      </c>
      <c r="C378" s="60" t="s">
        <v>3</v>
      </c>
      <c r="D378" s="60">
        <v>73659</v>
      </c>
      <c r="E378" s="21">
        <v>2881.56</v>
      </c>
      <c r="F378" s="19"/>
      <c r="G378" s="21"/>
      <c r="H378" s="19"/>
      <c r="I378" s="20">
        <v>45419</v>
      </c>
    </row>
    <row r="379" spans="1:9">
      <c r="A379" s="18">
        <v>690</v>
      </c>
      <c r="B379" s="19" t="str">
        <f>IFERROR(VLOOKUP(A379,CLIENTES!A:E,2,0),"CADASTRAR CLIENTE")</f>
        <v>SAO ROQUE MEDICINA DIAGNOSTICA LTDA EPP</v>
      </c>
      <c r="C379" s="60" t="s">
        <v>328</v>
      </c>
      <c r="D379" s="60">
        <v>98640</v>
      </c>
      <c r="E379" s="21">
        <v>885.1</v>
      </c>
      <c r="F379" s="19"/>
      <c r="G379" s="21"/>
      <c r="H379" s="19"/>
      <c r="I379" s="20">
        <v>45419</v>
      </c>
    </row>
    <row r="380" spans="1:9">
      <c r="A380" s="18">
        <v>690</v>
      </c>
      <c r="B380" s="19" t="str">
        <f>IFERROR(VLOOKUP(A380,CLIENTES!A:E,2,0),"CADASTRAR CLIENTE")</f>
        <v>SAO ROQUE MEDICINA DIAGNOSTICA LTDA EPP</v>
      </c>
      <c r="C380" s="60" t="s">
        <v>328</v>
      </c>
      <c r="D380" s="60">
        <v>73660</v>
      </c>
      <c r="E380" s="21">
        <v>764.2</v>
      </c>
      <c r="F380" s="19"/>
      <c r="G380" s="21"/>
      <c r="H380" s="19"/>
      <c r="I380" s="20">
        <v>45419</v>
      </c>
    </row>
    <row r="381" spans="1:9">
      <c r="A381" s="18">
        <v>1206</v>
      </c>
      <c r="B381" s="19" t="str">
        <f>IFERROR(VLOOKUP(A381,CLIENTES!A:E,2,0),"CADASTRAR CLIENTE")</f>
        <v>LABORATORIO RIO NEGRO CENTER DE MARILIA  LTDA</v>
      </c>
      <c r="C381" s="60" t="s">
        <v>328</v>
      </c>
      <c r="D381" s="60">
        <v>73671</v>
      </c>
      <c r="E381" s="21">
        <v>1684.16</v>
      </c>
      <c r="F381" s="19"/>
      <c r="G381" s="21"/>
      <c r="H381" s="19"/>
      <c r="I381" s="20">
        <v>45420</v>
      </c>
    </row>
    <row r="382" spans="1:9">
      <c r="A382" s="18">
        <v>3194</v>
      </c>
      <c r="B382" s="19" t="str">
        <f>IFERROR(VLOOKUP(A382,CLIENTES!A:E,2,0),"CADASTRAR CLIENTE")</f>
        <v>CENTRO DE DIAGNOSTICOS CONTROLE LTDA</v>
      </c>
      <c r="C382" s="60" t="s">
        <v>328</v>
      </c>
      <c r="D382" s="60">
        <v>98632</v>
      </c>
      <c r="E382" s="21">
        <v>251.4</v>
      </c>
      <c r="F382" s="19"/>
      <c r="G382" s="21"/>
      <c r="H382" s="19"/>
      <c r="I382" s="20">
        <v>45420</v>
      </c>
    </row>
    <row r="383" spans="1:9">
      <c r="A383" s="18">
        <v>822</v>
      </c>
      <c r="B383" s="19" t="str">
        <f>IFERROR(VLOOKUP(A383,CLIENTES!A:E,2,0),"CADASTRAR CLIENTE")</f>
        <v>SAO LUCAS LABORATORIO ANAL. CLIN. S/C LTDA</v>
      </c>
      <c r="C383" s="60" t="s">
        <v>328</v>
      </c>
      <c r="D383" s="60">
        <v>98647</v>
      </c>
      <c r="E383" s="21">
        <v>1141.68</v>
      </c>
      <c r="F383" s="19"/>
      <c r="G383" s="21"/>
      <c r="H383" s="19"/>
      <c r="I383" s="20">
        <v>45420</v>
      </c>
    </row>
    <row r="384" spans="1:9">
      <c r="A384" s="18">
        <v>822</v>
      </c>
      <c r="B384" s="19" t="str">
        <f>IFERROR(VLOOKUP(A384,CLIENTES!A:E,2,0),"CADASTRAR CLIENTE")</f>
        <v>SAO LUCAS LABORATORIO ANAL. CLIN. S/C LTDA</v>
      </c>
      <c r="C384" s="60" t="s">
        <v>328</v>
      </c>
      <c r="D384" s="60">
        <v>73693</v>
      </c>
      <c r="E384" s="21">
        <v>2183.8000000000002</v>
      </c>
      <c r="F384" s="19"/>
      <c r="G384" s="21"/>
      <c r="H384" s="19"/>
      <c r="I384" s="20">
        <v>45420</v>
      </c>
    </row>
    <row r="385" spans="1:9">
      <c r="A385" s="18">
        <v>412</v>
      </c>
      <c r="B385" s="19" t="str">
        <f>IFERROR(VLOOKUP(A385,CLIENTES!A:E,2,0),"CADASTRAR CLIENTE")</f>
        <v>LAB.ANAL.CLIN.SAO MANUEL SC LTDA.</v>
      </c>
      <c r="C385" s="60" t="s">
        <v>3</v>
      </c>
      <c r="D385" s="60">
        <v>73697</v>
      </c>
      <c r="E385" s="21">
        <v>565.78</v>
      </c>
      <c r="F385" s="19"/>
      <c r="G385" s="21"/>
      <c r="H385" s="19"/>
      <c r="I385" s="20">
        <v>45420</v>
      </c>
    </row>
    <row r="386" spans="1:9">
      <c r="A386" s="18">
        <v>475</v>
      </c>
      <c r="B386" s="19" t="str">
        <f>IFERROR(VLOOKUP(A386,CLIENTES!A:E,2,0),"CADASTRAR CLIENTE")</f>
        <v>LABORATORIO DE ANALISES CLINICAS SRC LTDA</v>
      </c>
      <c r="C386" s="60" t="s">
        <v>3</v>
      </c>
      <c r="D386" s="60">
        <v>73740</v>
      </c>
      <c r="E386" s="21">
        <v>3380.64</v>
      </c>
      <c r="F386" s="19"/>
      <c r="G386" s="21"/>
      <c r="H386" s="19"/>
      <c r="I386" s="20">
        <v>45421</v>
      </c>
    </row>
    <row r="387" spans="1:9">
      <c r="A387" s="18">
        <v>475</v>
      </c>
      <c r="B387" s="19" t="str">
        <f>IFERROR(VLOOKUP(A387,CLIENTES!A:E,2,0),"CADASTRAR CLIENTE")</f>
        <v>LABORATORIO DE ANALISES CLINICAS SRC LTDA</v>
      </c>
      <c r="C387" s="60" t="s">
        <v>3</v>
      </c>
      <c r="D387" s="60">
        <v>98654</v>
      </c>
      <c r="E387" s="21">
        <v>2618.5</v>
      </c>
      <c r="F387" s="19"/>
      <c r="G387" s="21"/>
      <c r="H387" s="19"/>
      <c r="I387" s="20">
        <v>45421</v>
      </c>
    </row>
    <row r="388" spans="1:9">
      <c r="A388" s="18">
        <v>1240</v>
      </c>
      <c r="B388" s="19" t="str">
        <f>IFERROR(VLOOKUP(A388,CLIENTES!A:E,2,0),"CADASTRAR CLIENTE")</f>
        <v>MONICA VIEIRA DE CAMPOS REBELO-ME</v>
      </c>
      <c r="C388" s="60" t="s">
        <v>3</v>
      </c>
      <c r="D388" s="60">
        <v>73717</v>
      </c>
      <c r="E388" s="21">
        <v>2412.5</v>
      </c>
      <c r="F388" s="19"/>
      <c r="G388" s="21"/>
      <c r="H388" s="19"/>
      <c r="I388" s="20">
        <v>45421</v>
      </c>
    </row>
    <row r="389" spans="1:9">
      <c r="A389" s="18">
        <v>50441</v>
      </c>
      <c r="B389" s="19" t="str">
        <f>IFERROR(VLOOKUP(A389,CLIENTES!A:E,2,0),"CADASTRAR CLIENTE")</f>
        <v>CADASTRAR CLIENTE</v>
      </c>
      <c r="C389" s="60" t="s">
        <v>3</v>
      </c>
      <c r="D389" s="60">
        <v>73754</v>
      </c>
      <c r="E389" s="21">
        <v>779.66</v>
      </c>
      <c r="F389" s="19"/>
      <c r="G389" s="21"/>
      <c r="H389" s="19"/>
      <c r="I389" s="20">
        <v>45421</v>
      </c>
    </row>
    <row r="390" spans="1:9">
      <c r="A390" s="18">
        <v>2980</v>
      </c>
      <c r="B390" s="19" t="str">
        <f>IFERROR(VLOOKUP(A390,CLIENTES!A:E,2,0),"CADASTRAR CLIENTE")</f>
        <v>ALMEIDA &amp; FLAITT LABORATORIOS DE ANALISES CLINICAS LTDA</v>
      </c>
      <c r="C390" s="60" t="s">
        <v>3</v>
      </c>
      <c r="D390" s="60">
        <v>73636</v>
      </c>
      <c r="E390" s="21">
        <v>992.67</v>
      </c>
      <c r="F390" s="19"/>
      <c r="G390" s="21"/>
      <c r="H390" s="19"/>
      <c r="I390" s="20">
        <v>45421</v>
      </c>
    </row>
    <row r="391" spans="1:9">
      <c r="A391" s="18">
        <v>2980</v>
      </c>
      <c r="B391" s="19" t="str">
        <f>IFERROR(VLOOKUP(A391,CLIENTES!A:E,2,0),"CADASTRAR CLIENTE")</f>
        <v>ALMEIDA &amp; FLAITT LABORATORIOS DE ANALISES CLINICAS LTDA</v>
      </c>
      <c r="C391" s="60" t="s">
        <v>3</v>
      </c>
      <c r="D391" s="60">
        <v>98636</v>
      </c>
      <c r="E391" s="21">
        <v>378.3</v>
      </c>
      <c r="F391" s="19"/>
      <c r="G391" s="21"/>
      <c r="H391" s="19"/>
      <c r="I391" s="20">
        <v>45421</v>
      </c>
    </row>
    <row r="392" spans="1:9">
      <c r="A392" s="18">
        <v>2415</v>
      </c>
      <c r="B392" s="19" t="str">
        <f>IFERROR(VLOOKUP(A392,CLIENTES!A:E,2,0),"CADASTRAR CLIENTE")</f>
        <v>ROSSETTO E BARROS LABORATORIO DE ANALISES CLINICAS LTDA</v>
      </c>
      <c r="C392" s="60" t="s">
        <v>328</v>
      </c>
      <c r="D392" s="60">
        <v>73471</v>
      </c>
      <c r="E392" s="21">
        <v>1951.2</v>
      </c>
      <c r="F392" s="19"/>
      <c r="G392" s="21"/>
      <c r="H392" s="19"/>
      <c r="I392" s="20">
        <v>45421</v>
      </c>
    </row>
    <row r="393" spans="1:9">
      <c r="A393" s="18">
        <v>3245</v>
      </c>
      <c r="B393" s="19" t="str">
        <f>IFERROR(VLOOKUP(A393,CLIENTES!A:E,2,0),"CADASTRAR CLIENTE")</f>
        <v>LABORATORIO DE ANALISES CLINICAS ROSSETO &amp; BARROS LTDA</v>
      </c>
      <c r="C393" s="60" t="s">
        <v>328</v>
      </c>
      <c r="D393" s="60">
        <v>73769</v>
      </c>
      <c r="E393" s="21">
        <v>827</v>
      </c>
      <c r="F393" s="19"/>
      <c r="G393" s="21"/>
      <c r="H393" s="19"/>
      <c r="I393" s="20">
        <v>45421</v>
      </c>
    </row>
    <row r="394" spans="1:9">
      <c r="A394" s="18">
        <v>50465</v>
      </c>
      <c r="B394" s="19" t="str">
        <f>IFERROR(VLOOKUP(A394,CLIENTES!A:E,2,0),"CADASTRAR CLIENTE")</f>
        <v>LABORATORIO DE ANALISES CLINICAS VIDA BIRIGUI LTDA</v>
      </c>
      <c r="C394" s="60" t="s">
        <v>3</v>
      </c>
      <c r="D394" s="60">
        <v>73767</v>
      </c>
      <c r="E394" s="21">
        <v>857.16</v>
      </c>
      <c r="F394" s="19"/>
      <c r="G394" s="21"/>
      <c r="H394" s="19"/>
      <c r="I394" s="20">
        <v>45421</v>
      </c>
    </row>
    <row r="395" spans="1:9">
      <c r="A395" s="18">
        <v>325</v>
      </c>
      <c r="B395" s="19" t="str">
        <f>IFERROR(VLOOKUP(A395,CLIENTES!A:E,2,0),"CADASTRAR CLIENTE")</f>
        <v>EXAME-LABORAT. DE ANAL. CLIN. CITODIAGNOSTICO S/S LTDA</v>
      </c>
      <c r="C395" s="60" t="s">
        <v>3</v>
      </c>
      <c r="D395" s="60">
        <v>98658</v>
      </c>
      <c r="E395" s="21">
        <v>558.30999999999995</v>
      </c>
      <c r="F395" s="19"/>
      <c r="G395" s="21"/>
      <c r="H395" s="19"/>
      <c r="I395" s="20">
        <v>45421</v>
      </c>
    </row>
    <row r="396" spans="1:9">
      <c r="A396" s="18">
        <v>325</v>
      </c>
      <c r="B396" s="19" t="str">
        <f>IFERROR(VLOOKUP(A396,CLIENTES!A:E,2,0),"CADASTRAR CLIENTE")</f>
        <v>EXAME-LABORAT. DE ANAL. CLIN. CITODIAGNOSTICO S/S LTDA</v>
      </c>
      <c r="C396" s="60" t="s">
        <v>3</v>
      </c>
      <c r="D396" s="60">
        <v>73774</v>
      </c>
      <c r="E396" s="21">
        <v>156</v>
      </c>
      <c r="F396" s="19"/>
      <c r="G396" s="21"/>
      <c r="H396" s="19"/>
      <c r="I396" s="20">
        <v>45421</v>
      </c>
    </row>
    <row r="397" spans="1:9">
      <c r="A397" s="18">
        <v>2911</v>
      </c>
      <c r="B397" s="19" t="str">
        <f>IFERROR(VLOOKUP(A397,CLIENTES!A:E,2,0),"CADASTRAR CLIENTE")</f>
        <v>BIOLIFE-LABORATORIO DE ANALISES CLINICAS LTDA</v>
      </c>
      <c r="C397" s="60" t="s">
        <v>3</v>
      </c>
      <c r="D397" s="60">
        <v>98624</v>
      </c>
      <c r="E397" s="21">
        <v>152.5</v>
      </c>
      <c r="F397" s="19"/>
      <c r="G397" s="21"/>
      <c r="H397" s="19"/>
      <c r="I397" s="20">
        <v>45421</v>
      </c>
    </row>
    <row r="398" spans="1:9">
      <c r="A398" s="18">
        <v>2911</v>
      </c>
      <c r="B398" s="19" t="str">
        <f>IFERROR(VLOOKUP(A398,CLIENTES!A:E,2,0),"CADASTRAR CLIENTE")</f>
        <v>BIOLIFE-LABORATORIO DE ANALISES CLINICAS LTDA</v>
      </c>
      <c r="C398" s="60" t="s">
        <v>3</v>
      </c>
      <c r="D398" s="60">
        <v>73575</v>
      </c>
      <c r="E398" s="21">
        <v>1181.25</v>
      </c>
      <c r="F398" s="19"/>
      <c r="G398" s="21"/>
      <c r="H398" s="19"/>
      <c r="I398" s="20">
        <v>45421</v>
      </c>
    </row>
    <row r="399" spans="1:9">
      <c r="A399" s="18">
        <v>50497</v>
      </c>
      <c r="B399" s="19" t="str">
        <f>IFERROR(VLOOKUP(A399,CLIENTES!A:E,2,0),"CADASTRAR CLIENTE")</f>
        <v>DIAGNOSTIKA-UNIDADE DIAGNOSTICA EM PATOLOGIA CIRURGICA E CITOLOGIA LTDA</v>
      </c>
      <c r="C399" s="60" t="s">
        <v>328</v>
      </c>
      <c r="D399" s="60">
        <v>73667</v>
      </c>
      <c r="E399" s="21">
        <v>482.05</v>
      </c>
      <c r="F399" s="19"/>
      <c r="G399" s="21"/>
      <c r="H399" s="19"/>
      <c r="I399" s="20">
        <v>45421</v>
      </c>
    </row>
    <row r="400" spans="1:9">
      <c r="A400" s="18">
        <v>906</v>
      </c>
      <c r="B400" s="19" t="str">
        <f>IFERROR(VLOOKUP(A400,CLIENTES!A:E,2,0),"CADASTRAR CLIENTE")</f>
        <v>LABORATORIO ANAL. CLIN. DESCALVADO LTDA</v>
      </c>
      <c r="C400" s="60" t="s">
        <v>3</v>
      </c>
      <c r="D400" s="60">
        <v>98660</v>
      </c>
      <c r="E400" s="21">
        <v>1392.42</v>
      </c>
      <c r="F400" s="19"/>
      <c r="G400" s="21"/>
      <c r="H400" s="19"/>
      <c r="I400" s="20">
        <v>45422</v>
      </c>
    </row>
    <row r="401" spans="1:9">
      <c r="A401" s="18">
        <v>906</v>
      </c>
      <c r="B401" s="19" t="str">
        <f>IFERROR(VLOOKUP(A401,CLIENTES!A:E,2,0),"CADASTRAR CLIENTE")</f>
        <v>LABORATORIO ANAL. CLIN. DESCALVADO LTDA</v>
      </c>
      <c r="C401" s="60" t="s">
        <v>3</v>
      </c>
      <c r="D401" s="60">
        <v>73782</v>
      </c>
      <c r="E401" s="21">
        <v>557</v>
      </c>
      <c r="F401" s="19"/>
      <c r="G401" s="21"/>
      <c r="H401" s="19"/>
      <c r="I401" s="20">
        <v>45422</v>
      </c>
    </row>
    <row r="402" spans="1:9">
      <c r="A402" s="18">
        <v>731</v>
      </c>
      <c r="B402" s="19" t="str">
        <f>IFERROR(VLOOKUP(A402,CLIENTES!A:E,2,0),"CADASTRAR CLIENTE")</f>
        <v>UNILAB LABORATORIO ANALISES CLINICAS SANTA FE DO SUL LTDA</v>
      </c>
      <c r="C402" s="60" t="s">
        <v>3</v>
      </c>
      <c r="D402" s="60">
        <v>73562</v>
      </c>
      <c r="E402" s="21">
        <v>2450</v>
      </c>
      <c r="F402" s="19"/>
      <c r="G402" s="21"/>
      <c r="H402" s="19"/>
      <c r="I402" s="20">
        <v>45422</v>
      </c>
    </row>
    <row r="403" spans="1:9">
      <c r="A403" s="18">
        <v>725</v>
      </c>
      <c r="B403" s="19" t="str">
        <f>IFERROR(VLOOKUP(A403,CLIENTES!A:E,2,0),"CADASTRAR CLIENTE")</f>
        <v>LAB. ANAL. CLIN. DR. ALUISIO CASELLA</v>
      </c>
      <c r="C403" s="60" t="s">
        <v>3</v>
      </c>
      <c r="D403" s="60">
        <v>73823</v>
      </c>
      <c r="E403" s="21">
        <v>1135.42</v>
      </c>
      <c r="F403" s="19"/>
      <c r="G403" s="21"/>
      <c r="H403" s="19"/>
      <c r="I403" s="20">
        <v>45425</v>
      </c>
    </row>
    <row r="404" spans="1:9">
      <c r="A404" s="18">
        <v>960</v>
      </c>
      <c r="B404" s="19" t="str">
        <f>IFERROR(VLOOKUP(A404,CLIENTES!A:E,2,0),"CADASTRAR CLIENTE")</f>
        <v>LUIS VALERIO FILHO-ME</v>
      </c>
      <c r="C404" s="60" t="s">
        <v>3</v>
      </c>
      <c r="D404" s="60">
        <v>98664</v>
      </c>
      <c r="E404" s="21">
        <v>211.48</v>
      </c>
      <c r="F404" s="19"/>
      <c r="G404" s="21"/>
      <c r="H404" s="19"/>
      <c r="I404" s="20">
        <v>45425</v>
      </c>
    </row>
    <row r="405" spans="1:9">
      <c r="A405" s="18">
        <v>960</v>
      </c>
      <c r="B405" s="19" t="str">
        <f>IFERROR(VLOOKUP(A405,CLIENTES!A:E,2,0),"CADASTRAR CLIENTE")</f>
        <v>LUIS VALERIO FILHO-ME</v>
      </c>
      <c r="C405" s="60" t="s">
        <v>3</v>
      </c>
      <c r="D405" s="60">
        <v>73095</v>
      </c>
      <c r="E405" s="21">
        <v>77.5</v>
      </c>
      <c r="F405" s="19"/>
      <c r="G405" s="21"/>
      <c r="H405" s="19"/>
      <c r="I405" s="20">
        <v>45425</v>
      </c>
    </row>
    <row r="406" spans="1:9">
      <c r="A406" s="18">
        <v>823</v>
      </c>
      <c r="B406" s="19" t="str">
        <f>IFERROR(VLOOKUP(A406,CLIENTES!A:E,2,0),"CADASTRAR CLIENTE")</f>
        <v>SANCHES x SANCHES S/C LTDA</v>
      </c>
      <c r="C406" s="60" t="s">
        <v>3</v>
      </c>
      <c r="D406" s="60">
        <v>73414</v>
      </c>
      <c r="E406" s="21">
        <v>5065.6400000000003</v>
      </c>
      <c r="F406" s="19"/>
      <c r="G406" s="21"/>
      <c r="H406" s="19"/>
      <c r="I406" s="20">
        <v>45425</v>
      </c>
    </row>
    <row r="407" spans="1:9">
      <c r="A407" s="18">
        <v>823</v>
      </c>
      <c r="B407" s="19" t="str">
        <f>IFERROR(VLOOKUP(A407,CLIENTES!A:E,2,0),"CADASTRAR CLIENTE")</f>
        <v>SANCHES x SANCHES S/C LTDA</v>
      </c>
      <c r="C407" s="60" t="s">
        <v>3</v>
      </c>
      <c r="D407" s="60">
        <v>98666</v>
      </c>
      <c r="E407" s="21">
        <v>110</v>
      </c>
      <c r="F407" s="19"/>
      <c r="G407" s="21"/>
      <c r="H407" s="19"/>
      <c r="I407" s="20">
        <v>45425</v>
      </c>
    </row>
    <row r="408" spans="1:9">
      <c r="A408" s="18">
        <v>1533</v>
      </c>
      <c r="B408" s="19" t="str">
        <f>IFERROR(VLOOKUP(A408,CLIENTES!A:E,2,0),"CADASTRAR CLIENTE")</f>
        <v>LABORATORIO BIOANALISE DIAGNOSTICO LTDA</v>
      </c>
      <c r="C408" s="60" t="s">
        <v>3</v>
      </c>
      <c r="D408" s="60">
        <v>73830</v>
      </c>
      <c r="E408" s="21">
        <v>432</v>
      </c>
      <c r="F408" s="19"/>
      <c r="G408" s="21"/>
      <c r="H408" s="19"/>
      <c r="I408" s="20">
        <v>45425</v>
      </c>
    </row>
    <row r="409" spans="1:9">
      <c r="A409" s="18">
        <v>708</v>
      </c>
      <c r="B409" s="19" t="str">
        <f>IFERROR(VLOOKUP(A409,CLIENTES!A:E,2,0),"CADASTRAR CLIENTE")</f>
        <v>IMEDI INST.MEDICO DE PAT.E DIAGNOSTICO SC LTDA.</v>
      </c>
      <c r="C409" s="60" t="s">
        <v>3</v>
      </c>
      <c r="D409" s="60">
        <v>73852</v>
      </c>
      <c r="E409" s="21">
        <v>1257.5</v>
      </c>
      <c r="F409" s="19"/>
      <c r="G409" s="21"/>
      <c r="H409" s="19"/>
      <c r="I409" s="20">
        <v>45425</v>
      </c>
    </row>
    <row r="410" spans="1:9">
      <c r="A410" s="18">
        <v>480</v>
      </c>
      <c r="B410" s="19" t="str">
        <f>IFERROR(VLOOKUP(A410,CLIENTES!A:E,2,0),"CADASTRAR CLIENTE")</f>
        <v>LAB SAO LUCAS</v>
      </c>
      <c r="C410" s="60" t="s">
        <v>3</v>
      </c>
      <c r="D410" s="60">
        <v>73878</v>
      </c>
      <c r="E410" s="21">
        <v>942</v>
      </c>
      <c r="F410" s="19"/>
      <c r="G410" s="21"/>
      <c r="H410" s="19"/>
      <c r="I410" s="20">
        <v>45425</v>
      </c>
    </row>
    <row r="411" spans="1:9">
      <c r="A411" s="18">
        <v>906</v>
      </c>
      <c r="B411" s="19" t="str">
        <f>IFERROR(VLOOKUP(A411,CLIENTES!A:E,2,0),"CADASTRAR CLIENTE")</f>
        <v>LABORATORIO ANAL. CLIN. DESCALVADO LTDA</v>
      </c>
      <c r="C411" s="60" t="s">
        <v>328</v>
      </c>
      <c r="D411" s="60">
        <v>73882</v>
      </c>
      <c r="E411" s="21">
        <v>2701.36</v>
      </c>
      <c r="F411" s="19"/>
      <c r="G411" s="21"/>
      <c r="H411" s="19"/>
      <c r="I411" s="20">
        <v>45425</v>
      </c>
    </row>
    <row r="412" spans="1:9">
      <c r="A412" s="18">
        <v>746</v>
      </c>
      <c r="B412" s="19" t="str">
        <f>IFERROR(VLOOKUP(A412,CLIENTES!A:E,2,0),"CADASTRAR CLIENTE")</f>
        <v>LAB.ANAL.CLIN.BIOCLIN SC LTDA.</v>
      </c>
      <c r="C412" s="60" t="s">
        <v>328</v>
      </c>
      <c r="D412" s="60">
        <v>73884</v>
      </c>
      <c r="E412" s="21">
        <v>954</v>
      </c>
      <c r="F412" s="19"/>
      <c r="G412" s="21"/>
      <c r="H412" s="19"/>
      <c r="I412" s="20">
        <v>45425</v>
      </c>
    </row>
    <row r="413" spans="1:9">
      <c r="A413" s="18">
        <v>704</v>
      </c>
      <c r="B413" s="19" t="str">
        <f>IFERROR(VLOOKUP(A413,CLIENTES!A:E,2,0),"CADASTRAR CLIENTE")</f>
        <v>LAB. ONUMA E BASILIO S/C LTDA</v>
      </c>
      <c r="C413" s="60" t="s">
        <v>328</v>
      </c>
      <c r="D413" s="60">
        <v>98677</v>
      </c>
      <c r="E413" s="21">
        <v>944.26</v>
      </c>
      <c r="F413" s="19"/>
      <c r="G413" s="21"/>
      <c r="H413" s="19"/>
      <c r="I413" s="20">
        <v>45425</v>
      </c>
    </row>
    <row r="414" spans="1:9">
      <c r="A414" s="18">
        <v>704</v>
      </c>
      <c r="B414" s="19" t="str">
        <f>IFERROR(VLOOKUP(A414,CLIENTES!A:E,2,0),"CADASTRAR CLIENTE")</f>
        <v>LAB. ONUMA E BASILIO S/C LTDA</v>
      </c>
      <c r="C414" s="60" t="s">
        <v>328</v>
      </c>
      <c r="D414" s="60">
        <v>73886</v>
      </c>
      <c r="E414" s="21">
        <v>1242.27</v>
      </c>
      <c r="F414" s="19"/>
      <c r="G414" s="21"/>
      <c r="H414" s="19"/>
      <c r="I414" s="20">
        <v>45425</v>
      </c>
    </row>
    <row r="415" spans="1:9">
      <c r="A415" s="18">
        <v>772</v>
      </c>
      <c r="B415" s="19" t="str">
        <f>IFERROR(VLOOKUP(A415,CLIENTES!A:E,2,0),"CADASTRAR CLIENTE")</f>
        <v>MEGARON LABORATORIO ANAL.CLIN.SC LTDA.</v>
      </c>
      <c r="C415" s="60" t="s">
        <v>3</v>
      </c>
      <c r="D415" s="60">
        <v>73864</v>
      </c>
      <c r="E415" s="21">
        <v>833.95</v>
      </c>
      <c r="F415" s="19"/>
      <c r="G415" s="21"/>
      <c r="H415" s="19"/>
      <c r="I415" s="20">
        <v>45425</v>
      </c>
    </row>
    <row r="416" spans="1:9">
      <c r="A416" s="18">
        <v>772</v>
      </c>
      <c r="B416" s="19" t="str">
        <f>IFERROR(VLOOKUP(A416,CLIENTES!A:E,2,0),"CADASTRAR CLIENTE")</f>
        <v>MEGARON LABORATORIO ANAL.CLIN.SC LTDA.</v>
      </c>
      <c r="C416" s="60" t="s">
        <v>3</v>
      </c>
      <c r="D416" s="60">
        <v>98662</v>
      </c>
      <c r="E416" s="21">
        <v>259.64999999999998</v>
      </c>
      <c r="F416" s="19"/>
      <c r="G416" s="21"/>
      <c r="H416" s="19"/>
      <c r="I416" s="20">
        <v>45425</v>
      </c>
    </row>
    <row r="417" spans="1:9">
      <c r="A417" s="18">
        <v>325</v>
      </c>
      <c r="B417" s="19" t="str">
        <f>IFERROR(VLOOKUP(A417,CLIENTES!A:E,2,0),"CADASTRAR CLIENTE")</f>
        <v>EXAME-LABORAT. DE ANAL. CLIN. CITODIAGNOSTICO S/S LTDA</v>
      </c>
      <c r="C417" s="60" t="s">
        <v>3</v>
      </c>
      <c r="D417" s="60">
        <v>73912</v>
      </c>
      <c r="E417" s="21">
        <v>389</v>
      </c>
      <c r="F417" s="19"/>
      <c r="G417" s="21"/>
      <c r="H417" s="19"/>
      <c r="I417" s="20">
        <v>45426</v>
      </c>
    </row>
    <row r="418" spans="1:9">
      <c r="A418" s="18">
        <v>746</v>
      </c>
      <c r="B418" s="19" t="str">
        <f>IFERROR(VLOOKUP(A418,CLIENTES!A:E,2,0),"CADASTRAR CLIENTE")</f>
        <v>LAB.ANAL.CLIN.BIOCLIN SC LTDA.</v>
      </c>
      <c r="C418" s="60" t="s">
        <v>328</v>
      </c>
      <c r="D418" s="60">
        <v>73941</v>
      </c>
      <c r="E418" s="21">
        <v>78</v>
      </c>
      <c r="F418" s="19"/>
      <c r="G418" s="21"/>
      <c r="H418" s="19"/>
      <c r="I418" s="20">
        <v>45426</v>
      </c>
    </row>
    <row r="419" spans="1:9">
      <c r="A419" s="18">
        <v>3017</v>
      </c>
      <c r="B419" s="19" t="str">
        <f>IFERROR(VLOOKUP(A419,CLIENTES!A:E,2,0),"CADASTRAR CLIENTE")</f>
        <v>IMUNOLAB LABORATORIO DE ANALISES CLINICAS LTDA ME</v>
      </c>
      <c r="C419" s="60" t="s">
        <v>3</v>
      </c>
      <c r="D419" s="60">
        <v>73934</v>
      </c>
      <c r="E419" s="21">
        <v>695.48</v>
      </c>
      <c r="F419" s="19"/>
      <c r="G419" s="21"/>
      <c r="H419" s="19"/>
      <c r="I419" s="20">
        <v>45426</v>
      </c>
    </row>
    <row r="420" spans="1:9">
      <c r="A420" s="18">
        <v>2397</v>
      </c>
      <c r="B420" s="19" t="str">
        <f>IFERROR(VLOOKUP(A420,CLIENTES!A:E,2,0),"CADASTRAR CLIENTE")</f>
        <v>LAB ANAL CLINICAS SANTA RITA S/C LTDA</v>
      </c>
      <c r="C420" s="60" t="s">
        <v>328</v>
      </c>
      <c r="D420" s="60">
        <v>73956</v>
      </c>
      <c r="E420" s="21">
        <v>834</v>
      </c>
      <c r="F420" s="19"/>
      <c r="G420" s="21"/>
      <c r="H420" s="19"/>
      <c r="I420" s="20">
        <v>45426</v>
      </c>
    </row>
    <row r="421" spans="1:9">
      <c r="A421" s="18">
        <v>50219</v>
      </c>
      <c r="B421" s="19" t="str">
        <f>IFERROR(VLOOKUP(A421,CLIENTES!A:E,2,0),"CADASTRAR CLIENTE")</f>
        <v>UNIPREV LAB DE ANALISES LOCACAO DE BENS E REPAROS LTDA EPP</v>
      </c>
      <c r="C421" s="60" t="s">
        <v>3</v>
      </c>
      <c r="D421" s="60">
        <v>73967</v>
      </c>
      <c r="E421" s="21">
        <v>299</v>
      </c>
      <c r="F421" s="19"/>
      <c r="G421" s="21"/>
      <c r="H421" s="19"/>
      <c r="I421" s="20">
        <v>45426</v>
      </c>
    </row>
    <row r="422" spans="1:9">
      <c r="A422" s="18">
        <v>620</v>
      </c>
      <c r="B422" s="19" t="str">
        <f>IFERROR(VLOOKUP(A422,CLIENTES!A:E,2,0),"CADASTRAR CLIENTE")</f>
        <v>LAB.SAO PAULO DE ANAL.CLIN.SC LTDA.</v>
      </c>
      <c r="C422" s="60" t="s">
        <v>3</v>
      </c>
      <c r="D422" s="60">
        <v>73933</v>
      </c>
      <c r="E422" s="21">
        <v>1865.63</v>
      </c>
      <c r="F422" s="19"/>
      <c r="G422" s="21"/>
      <c r="H422" s="19"/>
      <c r="I422" s="20">
        <v>45426</v>
      </c>
    </row>
    <row r="423" spans="1:9">
      <c r="A423" s="18">
        <v>2415</v>
      </c>
      <c r="B423" s="19" t="str">
        <f>IFERROR(VLOOKUP(A423,CLIENTES!A:E,2,0),"CADASTRAR CLIENTE")</f>
        <v>ROSSETTO E BARROS LABORATORIO DE ANALISES CLINICAS LTDA</v>
      </c>
      <c r="C423" s="60" t="s">
        <v>3</v>
      </c>
      <c r="D423" s="60">
        <v>73980</v>
      </c>
      <c r="E423" s="21">
        <v>1671.8</v>
      </c>
      <c r="F423" s="19"/>
      <c r="G423" s="21"/>
      <c r="H423" s="19"/>
      <c r="I423" s="20">
        <v>45426</v>
      </c>
    </row>
    <row r="424" spans="1:9">
      <c r="A424" s="18">
        <v>50418</v>
      </c>
      <c r="B424" s="19" t="str">
        <f>IFERROR(VLOOKUP(A424,CLIENTES!A:E,2,0),"CADASTRAR CLIENTE")</f>
        <v>LABORATORIO SAO LUCAS DE BROTAS SS LTDA</v>
      </c>
      <c r="C424" s="60" t="s">
        <v>3</v>
      </c>
      <c r="D424" s="60"/>
      <c r="E424" s="21">
        <v>410</v>
      </c>
      <c r="F424" s="19"/>
      <c r="G424" s="21"/>
      <c r="H424" s="19"/>
      <c r="I424" s="20">
        <v>45427</v>
      </c>
    </row>
    <row r="425" spans="1:9">
      <c r="A425" s="18">
        <v>475</v>
      </c>
      <c r="B425" s="19" t="str">
        <f>IFERROR(VLOOKUP(A425,CLIENTES!A:E,2,0),"CADASTRAR CLIENTE")</f>
        <v>LABORATORIO DE ANALISES CLINICAS SRC LTDA</v>
      </c>
      <c r="C425" s="60" t="s">
        <v>328</v>
      </c>
      <c r="D425" s="60">
        <v>74016</v>
      </c>
      <c r="E425" s="21">
        <v>2500</v>
      </c>
      <c r="F425" s="19"/>
      <c r="G425" s="21"/>
      <c r="H425" s="19"/>
      <c r="I425" s="20">
        <v>45427</v>
      </c>
    </row>
    <row r="426" spans="1:9">
      <c r="A426" s="18">
        <v>1026</v>
      </c>
      <c r="B426" s="19" t="str">
        <f>IFERROR(VLOOKUP(A426,CLIENTES!A:E,2,0),"CADASTRAR CLIENTE")</f>
        <v>LABSC SERVICOS LABORATORIAIS LTDA</v>
      </c>
      <c r="C426" s="60" t="s">
        <v>3</v>
      </c>
      <c r="D426" s="60">
        <v>73258</v>
      </c>
      <c r="E426" s="21">
        <v>750</v>
      </c>
      <c r="F426" s="19"/>
      <c r="G426" s="21"/>
      <c r="H426" s="19"/>
      <c r="I426" s="20">
        <v>45427</v>
      </c>
    </row>
    <row r="427" spans="1:9">
      <c r="A427" s="18">
        <v>1806</v>
      </c>
      <c r="B427" s="19" t="str">
        <f>IFERROR(VLOOKUP(A427,CLIENTES!A:E,2,0),"CADASTRAR CLIENTE")</f>
        <v>LABORATORIO DE ANALISES CLINICAS SENTOME LTDA-ME</v>
      </c>
      <c r="C427" s="60" t="s">
        <v>2</v>
      </c>
      <c r="D427" s="60">
        <v>73727</v>
      </c>
      <c r="E427" s="21">
        <v>495.25</v>
      </c>
      <c r="F427" s="19"/>
      <c r="G427" s="21"/>
      <c r="H427" s="19"/>
      <c r="I427" s="20">
        <v>45427</v>
      </c>
    </row>
    <row r="428" spans="1:9">
      <c r="A428" s="18">
        <v>474</v>
      </c>
      <c r="B428" s="19" t="str">
        <f>IFERROR(VLOOKUP(A428,CLIENTES!A:E,2,0),"CADASTRAR CLIENTE")</f>
        <v>LABORATI LAB. ANAL. CLIN. TIETE S/C LTDA.</v>
      </c>
      <c r="C428" s="60" t="s">
        <v>3</v>
      </c>
      <c r="D428" s="60">
        <v>74007</v>
      </c>
      <c r="E428" s="21">
        <v>139.80000000000001</v>
      </c>
      <c r="F428" s="19"/>
      <c r="G428" s="21"/>
      <c r="H428" s="19"/>
      <c r="I428" s="20">
        <v>45428</v>
      </c>
    </row>
    <row r="429" spans="1:9">
      <c r="A429" s="18">
        <v>474</v>
      </c>
      <c r="B429" s="19" t="str">
        <f>IFERROR(VLOOKUP(A429,CLIENTES!A:E,2,0),"CADASTRAR CLIENTE")</f>
        <v>LABORATI LAB. ANAL. CLIN. TIETE S/C LTDA.</v>
      </c>
      <c r="C429" s="60" t="s">
        <v>3</v>
      </c>
      <c r="D429" s="60">
        <v>98692</v>
      </c>
      <c r="E429" s="21">
        <v>551.4</v>
      </c>
      <c r="F429" s="19"/>
      <c r="G429" s="21"/>
      <c r="H429" s="19"/>
      <c r="I429" s="20">
        <v>45428</v>
      </c>
    </row>
    <row r="430" spans="1:9">
      <c r="A430" s="18">
        <v>475</v>
      </c>
      <c r="B430" s="19" t="str">
        <f>IFERROR(VLOOKUP(A430,CLIENTES!A:E,2,0),"CADASTRAR CLIENTE")</f>
        <v>LABORATORIO DE ANALISES CLINICAS SRC LTDA</v>
      </c>
      <c r="C430" s="60" t="s">
        <v>3</v>
      </c>
      <c r="D430" s="60">
        <v>73845</v>
      </c>
      <c r="E430" s="21">
        <v>18649.439999999999</v>
      </c>
      <c r="F430" s="19"/>
      <c r="G430" s="21"/>
      <c r="H430" s="19"/>
      <c r="I430" s="20">
        <v>45428</v>
      </c>
    </row>
    <row r="431" spans="1:9">
      <c r="A431" s="18">
        <v>1989</v>
      </c>
      <c r="B431" s="19" t="str">
        <f>IFERROR(VLOOKUP(A431,CLIENTES!A:E,2,0),"CADASTRAR CLIENTE")</f>
        <v>SAO FRANCISCO ANAL. CLIN.</v>
      </c>
      <c r="C431" s="60" t="s">
        <v>3</v>
      </c>
      <c r="D431" s="60">
        <v>73812</v>
      </c>
      <c r="E431" s="21">
        <v>561</v>
      </c>
      <c r="F431" s="19"/>
      <c r="G431" s="21"/>
      <c r="H431" s="19"/>
      <c r="I431" s="20">
        <v>45428</v>
      </c>
    </row>
    <row r="432" spans="1:9">
      <c r="A432" s="18">
        <v>2763</v>
      </c>
      <c r="B432" s="19" t="str">
        <f>IFERROR(VLOOKUP(A432,CLIENTES!A:E,2,0),"CADASTRAR CLIENTE")</f>
        <v xml:space="preserve">cliente bia </v>
      </c>
      <c r="C432" s="60" t="s">
        <v>3</v>
      </c>
      <c r="D432" s="60">
        <v>73810</v>
      </c>
      <c r="E432" s="21">
        <v>606.05999999999995</v>
      </c>
      <c r="F432" s="19"/>
      <c r="G432" s="21"/>
      <c r="H432" s="19"/>
      <c r="I432" s="20">
        <v>45428</v>
      </c>
    </row>
    <row r="433" spans="1:9">
      <c r="A433" s="18">
        <v>2397</v>
      </c>
      <c r="B433" s="19" t="str">
        <f>IFERROR(VLOOKUP(A433,CLIENTES!A:E,2,0),"CADASTRAR CLIENTE")</f>
        <v>LAB ANAL CLINICAS SANTA RITA S/C LTDA</v>
      </c>
      <c r="C433" s="60" t="s">
        <v>3</v>
      </c>
      <c r="D433" s="60">
        <v>73957</v>
      </c>
      <c r="E433" s="21">
        <v>834</v>
      </c>
      <c r="F433" s="19"/>
      <c r="G433" s="21"/>
      <c r="H433" s="19"/>
      <c r="I433" s="20">
        <v>45428</v>
      </c>
    </row>
    <row r="434" spans="1:9">
      <c r="A434" s="18">
        <v>874</v>
      </c>
      <c r="B434" s="19" t="str">
        <f>IFERROR(VLOOKUP(A434,CLIENTES!A:E,2,0),"CADASTRAR CLIENTE")</f>
        <v>LAB.ANAL.CLIN ABI JAUDI SC LTDA.</v>
      </c>
      <c r="C434" s="60" t="s">
        <v>3</v>
      </c>
      <c r="D434" s="60">
        <v>74057</v>
      </c>
      <c r="E434" s="21">
        <v>678.69</v>
      </c>
      <c r="F434" s="19"/>
      <c r="G434" s="21"/>
      <c r="H434" s="19"/>
      <c r="I434" s="20">
        <v>45428</v>
      </c>
    </row>
    <row r="435" spans="1:9">
      <c r="A435" s="18">
        <v>687</v>
      </c>
      <c r="B435" s="19" t="str">
        <f>IFERROR(VLOOKUP(A435,CLIENTES!A:E,2,0),"CADASTRAR CLIENTE")</f>
        <v>LAB ANAL CLIN VENDRAMINI S/S LTDA</v>
      </c>
      <c r="C435" s="60" t="s">
        <v>3</v>
      </c>
      <c r="D435" s="60">
        <v>73474</v>
      </c>
      <c r="E435" s="21">
        <v>1056.5</v>
      </c>
      <c r="F435" s="19"/>
      <c r="G435" s="21"/>
      <c r="H435" s="19"/>
      <c r="I435" s="20">
        <v>45428</v>
      </c>
    </row>
    <row r="436" spans="1:9">
      <c r="A436" s="18">
        <v>1726</v>
      </c>
      <c r="B436" s="19" t="str">
        <f>IFERROR(VLOOKUP(A436,CLIENTES!A:E,2,0),"CADASTRAR CLIENTE")</f>
        <v>IRMANDADE DA SANTA CASA DE MISERIC. DE MOGI MIRIM</v>
      </c>
      <c r="C436" s="60" t="s">
        <v>2</v>
      </c>
      <c r="D436" s="60">
        <v>73883</v>
      </c>
      <c r="E436" s="21">
        <v>294.10000000000002</v>
      </c>
      <c r="F436" s="19"/>
      <c r="G436" s="21"/>
      <c r="H436" s="19"/>
      <c r="I436" s="20">
        <v>45428</v>
      </c>
    </row>
    <row r="437" spans="1:9">
      <c r="A437" s="18">
        <v>1726</v>
      </c>
      <c r="B437" s="19" t="str">
        <f>IFERROR(VLOOKUP(A437,CLIENTES!A:E,2,0),"CADASTRAR CLIENTE")</f>
        <v>IRMANDADE DA SANTA CASA DE MISERIC. DE MOGI MIRIM</v>
      </c>
      <c r="C437" s="60" t="s">
        <v>2</v>
      </c>
      <c r="D437" s="60">
        <v>72926</v>
      </c>
      <c r="E437" s="21">
        <v>261.2</v>
      </c>
      <c r="F437" s="19"/>
      <c r="G437" s="21"/>
      <c r="H437" s="19"/>
      <c r="I437" s="20">
        <v>45428</v>
      </c>
    </row>
    <row r="438" spans="1:9">
      <c r="A438" s="18">
        <v>2980</v>
      </c>
      <c r="B438" s="19" t="str">
        <f>IFERROR(VLOOKUP(A438,CLIENTES!A:E,2,0),"CADASTRAR CLIENTE")</f>
        <v>ALMEIDA &amp; FLAITT LABORATORIOS DE ANALISES CLINICAS LTDA</v>
      </c>
      <c r="C438" s="60" t="s">
        <v>328</v>
      </c>
      <c r="D438" s="60">
        <v>74033</v>
      </c>
      <c r="E438" s="21">
        <v>663.45</v>
      </c>
      <c r="F438" s="19"/>
      <c r="G438" s="21"/>
      <c r="H438" s="19"/>
      <c r="I438" s="20">
        <v>45428</v>
      </c>
    </row>
    <row r="439" spans="1:9">
      <c r="A439" s="18">
        <v>690</v>
      </c>
      <c r="B439" s="19" t="str">
        <f>IFERROR(VLOOKUP(A439,CLIENTES!A:E,2,0),"CADASTRAR CLIENTE")</f>
        <v>SAO ROQUE MEDICINA DIAGNOSTICA LTDA EPP</v>
      </c>
      <c r="C439" s="60" t="s">
        <v>3</v>
      </c>
      <c r="D439" s="60">
        <v>98706</v>
      </c>
      <c r="E439" s="21">
        <v>87</v>
      </c>
      <c r="F439" s="19"/>
      <c r="G439" s="21"/>
      <c r="H439" s="19"/>
      <c r="I439" s="20">
        <v>45429</v>
      </c>
    </row>
    <row r="440" spans="1:9">
      <c r="A440" s="18">
        <v>311</v>
      </c>
      <c r="B440" s="19" t="str">
        <f>IFERROR(VLOOKUP(A440,CLIENTES!A:E,2,0),"CADASTRAR CLIENTE")</f>
        <v>CENTRO DE ANAL.CLIN. UNILAB  SC LTDA.</v>
      </c>
      <c r="C440" s="60" t="s">
        <v>3</v>
      </c>
      <c r="D440" s="60">
        <v>98690</v>
      </c>
      <c r="E440" s="21">
        <v>554.4</v>
      </c>
      <c r="F440" s="19"/>
      <c r="G440" s="21"/>
      <c r="H440" s="19"/>
      <c r="I440" s="20">
        <v>45429</v>
      </c>
    </row>
    <row r="441" spans="1:9">
      <c r="A441" s="18">
        <v>1806</v>
      </c>
      <c r="B441" s="19" t="str">
        <f>IFERROR(VLOOKUP(A441,CLIENTES!A:E,2,0),"CADASTRAR CLIENTE")</f>
        <v>LABORATORIO DE ANALISES CLINICAS SENTOME LTDA-ME</v>
      </c>
      <c r="C441" s="60" t="s">
        <v>3</v>
      </c>
      <c r="D441" s="60">
        <v>71661</v>
      </c>
      <c r="E441" s="21">
        <v>495.25</v>
      </c>
      <c r="F441" s="19"/>
      <c r="G441" s="21"/>
      <c r="H441" s="19"/>
      <c r="I441" s="20">
        <v>45429</v>
      </c>
    </row>
    <row r="442" spans="1:9">
      <c r="A442" s="18">
        <v>708</v>
      </c>
      <c r="B442" s="19" t="str">
        <f>IFERROR(VLOOKUP(A442,CLIENTES!A:E,2,0),"CADASTRAR CLIENTE")</f>
        <v>IMEDI INST.MEDICO DE PAT.E DIAGNOSTICO SC LTDA.</v>
      </c>
      <c r="C442" s="60" t="s">
        <v>3</v>
      </c>
      <c r="D442" s="60">
        <v>73852</v>
      </c>
      <c r="E442" s="21">
        <v>1257.5</v>
      </c>
      <c r="F442" s="19"/>
      <c r="G442" s="21"/>
      <c r="H442" s="19"/>
      <c r="I442" s="20">
        <v>45429</v>
      </c>
    </row>
    <row r="443" spans="1:9">
      <c r="A443" s="18">
        <v>1026</v>
      </c>
      <c r="B443" s="19" t="str">
        <f>IFERROR(VLOOKUP(A443,CLIENTES!A:E,2,0),"CADASTRAR CLIENTE")</f>
        <v>LABSC SERVICOS LABORATORIAIS LTDA</v>
      </c>
      <c r="C443" s="60" t="s">
        <v>3</v>
      </c>
      <c r="D443" s="60">
        <v>74106</v>
      </c>
      <c r="E443" s="21">
        <v>1309</v>
      </c>
      <c r="F443" s="19"/>
      <c r="G443" s="21"/>
      <c r="H443" s="19"/>
      <c r="I443" s="20">
        <v>45429</v>
      </c>
    </row>
    <row r="444" spans="1:9">
      <c r="A444" s="18">
        <v>3240</v>
      </c>
      <c r="B444" s="19" t="str">
        <f>IFERROR(VLOOKUP(A444,CLIENTES!A:E,2,0),"CADASTRAR CLIENTE")</f>
        <v>LABORLOPES LABORATORIO DE  ANALISES CLINICAS LTDA</v>
      </c>
      <c r="C444" s="60" t="s">
        <v>3</v>
      </c>
      <c r="D444" s="60">
        <v>74102</v>
      </c>
      <c r="E444" s="21">
        <v>785.09</v>
      </c>
      <c r="F444" s="19"/>
      <c r="G444" s="21"/>
      <c r="H444" s="19"/>
      <c r="I444" s="20">
        <v>45429</v>
      </c>
    </row>
    <row r="445" spans="1:9">
      <c r="A445" s="18">
        <v>3240</v>
      </c>
      <c r="B445" s="19" t="str">
        <f>IFERROR(VLOOKUP(A445,CLIENTES!A:E,2,0),"CADASTRAR CLIENTE")</f>
        <v>LABORLOPES LABORATORIO DE  ANALISES CLINICAS LTDA</v>
      </c>
      <c r="C445" s="60" t="s">
        <v>3</v>
      </c>
      <c r="D445" s="60">
        <v>98714</v>
      </c>
      <c r="E445" s="21">
        <v>168.02</v>
      </c>
      <c r="F445" s="19"/>
      <c r="G445" s="21"/>
      <c r="H445" s="19"/>
      <c r="I445" s="20">
        <v>45429</v>
      </c>
    </row>
    <row r="446" spans="1:9">
      <c r="A446" s="18">
        <v>1742</v>
      </c>
      <c r="B446" s="19" t="str">
        <f>IFERROR(VLOOKUP(A446,CLIENTES!A:E,2,0),"CADASTRAR CLIENTE")</f>
        <v>A.C. BARBOSA S/C LTDA.</v>
      </c>
      <c r="C446" s="60" t="s">
        <v>3</v>
      </c>
      <c r="D446" s="60">
        <v>73920</v>
      </c>
      <c r="E446" s="21">
        <v>511.79</v>
      </c>
      <c r="F446" s="19"/>
      <c r="G446" s="21"/>
      <c r="H446" s="19"/>
      <c r="I446" s="20">
        <v>45432</v>
      </c>
    </row>
    <row r="447" spans="1:9">
      <c r="A447" s="18">
        <v>516</v>
      </c>
      <c r="B447" s="19" t="str">
        <f>IFERROR(VLOOKUP(A447,CLIENTES!A:E,2,0),"CADASTRAR CLIENTE")</f>
        <v>TECNOLAB PATOLOGIA CLINICA S/C LTDA</v>
      </c>
      <c r="C447" s="60" t="s">
        <v>2</v>
      </c>
      <c r="D447" s="60">
        <v>73867</v>
      </c>
      <c r="E447" s="21">
        <v>18187.099999999999</v>
      </c>
      <c r="F447" s="19"/>
      <c r="G447" s="21"/>
      <c r="H447" s="19"/>
      <c r="I447" s="20">
        <v>45432</v>
      </c>
    </row>
    <row r="448" spans="1:9">
      <c r="A448" s="18">
        <v>197</v>
      </c>
      <c r="B448" s="19" t="str">
        <f>IFERROR(VLOOKUP(A448,CLIENTES!A:E,2,0),"CADASTRAR CLIENTE")</f>
        <v>LAB.ANAL.CLIN.DE ITAPETININGA</v>
      </c>
      <c r="C448" s="60" t="s">
        <v>3</v>
      </c>
      <c r="D448" s="60">
        <v>74129</v>
      </c>
      <c r="E448" s="21">
        <v>252</v>
      </c>
      <c r="F448" s="19"/>
      <c r="G448" s="21"/>
      <c r="H448" s="19"/>
      <c r="I448" s="20">
        <v>45432</v>
      </c>
    </row>
    <row r="449" spans="1:9">
      <c r="A449" s="18">
        <v>197</v>
      </c>
      <c r="B449" s="19" t="str">
        <f>IFERROR(VLOOKUP(A449,CLIENTES!A:E,2,0),"CADASTRAR CLIENTE")</f>
        <v>LAB.ANAL.CLIN.DE ITAPETININGA</v>
      </c>
      <c r="C449" s="60" t="s">
        <v>3</v>
      </c>
      <c r="D449" s="60">
        <v>98716</v>
      </c>
      <c r="E449" s="21">
        <v>156.38</v>
      </c>
      <c r="F449" s="19"/>
      <c r="G449" s="21"/>
      <c r="H449" s="19"/>
      <c r="I449" s="20">
        <v>45432</v>
      </c>
    </row>
    <row r="450" spans="1:9">
      <c r="A450" s="18">
        <v>1041</v>
      </c>
      <c r="B450" s="19" t="str">
        <f>IFERROR(VLOOKUP(A450,CLIENTES!A:E,2,0),"CADASTRAR CLIENTE")</f>
        <v>EDSON VANDERLEI CARRERA</v>
      </c>
      <c r="C450" s="60" t="s">
        <v>3</v>
      </c>
      <c r="D450" s="60">
        <v>98717</v>
      </c>
      <c r="E450" s="21">
        <v>220.05</v>
      </c>
      <c r="F450" s="19"/>
      <c r="G450" s="21"/>
      <c r="H450" s="19"/>
      <c r="I450" s="20">
        <v>45432</v>
      </c>
    </row>
    <row r="451" spans="1:9">
      <c r="A451" s="18">
        <v>725</v>
      </c>
      <c r="B451" s="19" t="str">
        <f>IFERROR(VLOOKUP(A451,CLIENTES!A:E,2,0),"CADASTRAR CLIENTE")</f>
        <v>LAB. ANAL. CLIN. DR. ALUISIO CASELLA</v>
      </c>
      <c r="C451" s="60" t="s">
        <v>3</v>
      </c>
      <c r="D451" s="60">
        <v>74134</v>
      </c>
      <c r="E451" s="21">
        <v>570.1</v>
      </c>
      <c r="F451" s="19"/>
      <c r="G451" s="21"/>
      <c r="H451" s="19"/>
      <c r="I451" s="20">
        <v>45432</v>
      </c>
    </row>
    <row r="452" spans="1:9">
      <c r="A452" s="18">
        <v>311</v>
      </c>
      <c r="B452" s="19" t="str">
        <f>IFERROR(VLOOKUP(A452,CLIENTES!A:E,2,0),"CADASTRAR CLIENTE")</f>
        <v>CENTRO DE ANAL.CLIN. UNILAB  SC LTDA.</v>
      </c>
      <c r="C452" s="60" t="s">
        <v>3</v>
      </c>
      <c r="D452" s="60">
        <v>74124</v>
      </c>
      <c r="E452" s="21">
        <v>221.9</v>
      </c>
      <c r="F452" s="19"/>
      <c r="G452" s="21"/>
      <c r="H452" s="19"/>
      <c r="I452" s="20">
        <v>45432</v>
      </c>
    </row>
    <row r="453" spans="1:9">
      <c r="A453" s="18">
        <v>50219</v>
      </c>
      <c r="B453" s="19" t="str">
        <f>IFERROR(VLOOKUP(A453,CLIENTES!A:E,2,0),"CADASTRAR CLIENTE")</f>
        <v>UNIPREV LAB DE ANALISES LOCACAO DE BENS E REPAROS LTDA EPP</v>
      </c>
      <c r="C453" s="60" t="s">
        <v>3</v>
      </c>
      <c r="D453" s="60">
        <v>74148</v>
      </c>
      <c r="E453" s="21">
        <v>250</v>
      </c>
      <c r="F453" s="19"/>
      <c r="G453" s="21"/>
      <c r="H453" s="19"/>
      <c r="I453" s="20">
        <v>45432</v>
      </c>
    </row>
    <row r="454" spans="1:9">
      <c r="A454" s="18">
        <v>50576</v>
      </c>
      <c r="B454" s="19" t="str">
        <f>IFERROR(VLOOKUP(A454,CLIENTES!A:E,2,0),"CADASTRAR CLIENTE")</f>
        <v>ANDRIAO CANEPPA E SILVA LTDA ME</v>
      </c>
      <c r="C454" s="60" t="s">
        <v>3</v>
      </c>
      <c r="D454" s="60">
        <v>74158</v>
      </c>
      <c r="E454" s="21">
        <v>2082.5</v>
      </c>
      <c r="F454" s="19"/>
      <c r="G454" s="21"/>
      <c r="H454" s="19"/>
      <c r="I454" s="20">
        <v>45432</v>
      </c>
    </row>
    <row r="455" spans="1:9">
      <c r="A455" s="18">
        <v>761</v>
      </c>
      <c r="B455" s="19" t="str">
        <f>IFERROR(VLOOKUP(A455,CLIENTES!A:E,2,0),"CADASTRAR CLIENTE")</f>
        <v>EXAME CENTRO DIAG.M.ARACATUBA SC LTDA.</v>
      </c>
      <c r="C455" s="60" t="s">
        <v>3</v>
      </c>
      <c r="D455" s="60">
        <v>73922</v>
      </c>
      <c r="E455" s="21">
        <v>622.20000000000005</v>
      </c>
      <c r="F455" s="19"/>
      <c r="G455" s="21"/>
      <c r="H455" s="19"/>
      <c r="I455" s="20">
        <v>45432</v>
      </c>
    </row>
    <row r="456" spans="1:9">
      <c r="A456" s="18">
        <v>741</v>
      </c>
      <c r="B456" s="19" t="str">
        <f>IFERROR(VLOOKUP(A456,CLIENTES!A:E,2,0),"CADASTRAR CLIENTE")</f>
        <v>LAB. ANAL. CLIN. DR. HELIO NAKABASHI SC LTDA</v>
      </c>
      <c r="C456" s="60" t="s">
        <v>3</v>
      </c>
      <c r="D456" s="60">
        <v>74165</v>
      </c>
      <c r="E456" s="21">
        <v>1462.56</v>
      </c>
      <c r="F456" s="19"/>
      <c r="G456" s="21"/>
      <c r="H456" s="19"/>
      <c r="I456" s="20">
        <v>45432</v>
      </c>
    </row>
    <row r="457" spans="1:9">
      <c r="A457" s="18">
        <v>1726</v>
      </c>
      <c r="B457" s="19" t="str">
        <f>IFERROR(VLOOKUP(A457,CLIENTES!A:E,2,0),"CADASTRAR CLIENTE")</f>
        <v>IRMANDADE DA SANTA CASA DE MISERIC. DE MOGI MIRIM</v>
      </c>
      <c r="C457" s="60" t="s">
        <v>3</v>
      </c>
      <c r="D457" s="60">
        <v>72241</v>
      </c>
      <c r="E457" s="21">
        <v>694.5</v>
      </c>
      <c r="F457" s="19"/>
      <c r="G457" s="21"/>
      <c r="H457" s="19"/>
      <c r="I457" s="20">
        <v>45432</v>
      </c>
    </row>
    <row r="458" spans="1:9">
      <c r="A458" s="18">
        <v>1726</v>
      </c>
      <c r="B458" s="19" t="str">
        <f>IFERROR(VLOOKUP(A458,CLIENTES!A:E,2,0),"CADASTRAR CLIENTE")</f>
        <v>IRMANDADE DA SANTA CASA DE MISERIC. DE MOGI MIRIM</v>
      </c>
      <c r="C458" s="60" t="s">
        <v>3</v>
      </c>
      <c r="D458" s="60">
        <v>73318</v>
      </c>
      <c r="E458" s="21">
        <v>79.8</v>
      </c>
      <c r="F458" s="19"/>
      <c r="G458" s="21"/>
      <c r="H458" s="19"/>
      <c r="I458" s="20">
        <v>45432</v>
      </c>
    </row>
    <row r="459" spans="1:9">
      <c r="A459" s="18">
        <v>1164</v>
      </c>
      <c r="B459" s="19" t="str">
        <f>IFERROR(VLOOKUP(A459,CLIENTES!A:E,2,0),"CADASTRAR CLIENTE")</f>
        <v>LAB. ANAL. CLIN. SAO LOURENCO S/C LTDA</v>
      </c>
      <c r="C459" s="60" t="s">
        <v>328</v>
      </c>
      <c r="D459" s="60">
        <v>74209</v>
      </c>
      <c r="E459" s="21">
        <v>1547.58</v>
      </c>
      <c r="F459" s="19"/>
      <c r="G459" s="21"/>
      <c r="H459" s="19"/>
      <c r="I459" s="20">
        <v>45433</v>
      </c>
    </row>
    <row r="460" spans="1:9">
      <c r="A460" s="18">
        <v>1164</v>
      </c>
      <c r="B460" s="19" t="str">
        <f>IFERROR(VLOOKUP(A460,CLIENTES!A:E,2,0),"CADASTRAR CLIENTE")</f>
        <v>LAB. ANAL. CLIN. SAO LOURENCO S/C LTDA</v>
      </c>
      <c r="C460" s="60" t="s">
        <v>328</v>
      </c>
      <c r="D460" s="60">
        <v>98733</v>
      </c>
      <c r="E460" s="21">
        <v>88.89</v>
      </c>
      <c r="F460" s="19"/>
      <c r="G460" s="21"/>
      <c r="H460" s="19"/>
      <c r="I460" s="20">
        <v>45433</v>
      </c>
    </row>
    <row r="461" spans="1:9">
      <c r="A461" s="18">
        <v>756</v>
      </c>
      <c r="B461" s="19" t="str">
        <f>IFERROR(VLOOKUP(A461,CLIENTES!A:E,2,0),"CADASTRAR CLIENTE")</f>
        <v>LAB.TRIANON DE ANAL.CLIN.SC LTDA.</v>
      </c>
      <c r="C461" s="60" t="s">
        <v>3</v>
      </c>
      <c r="D461" s="60">
        <v>98736</v>
      </c>
      <c r="E461" s="21">
        <v>123.48</v>
      </c>
      <c r="F461" s="19"/>
      <c r="G461" s="21"/>
      <c r="H461" s="19"/>
      <c r="I461" s="20">
        <v>45433</v>
      </c>
    </row>
    <row r="462" spans="1:9">
      <c r="A462" s="18">
        <v>756</v>
      </c>
      <c r="B462" s="19" t="str">
        <f>IFERROR(VLOOKUP(A462,CLIENTES!A:E,2,0),"CADASTRAR CLIENTE")</f>
        <v>LAB.TRIANON DE ANAL.CLIN.SC LTDA.</v>
      </c>
      <c r="C462" s="60" t="s">
        <v>3</v>
      </c>
      <c r="D462" s="60">
        <v>74211</v>
      </c>
      <c r="E462" s="21">
        <v>5978.1</v>
      </c>
      <c r="F462" s="19"/>
      <c r="G462" s="21"/>
      <c r="H462" s="19"/>
      <c r="I462" s="20">
        <v>45433</v>
      </c>
    </row>
    <row r="463" spans="1:9">
      <c r="A463" s="18">
        <v>572</v>
      </c>
      <c r="B463" s="19" t="str">
        <f>IFERROR(VLOOKUP(A463,CLIENTES!A:E,2,0),"CADASTRAR CLIENTE")</f>
        <v>LABORATORIO MULTIANALISES LTDA-ME</v>
      </c>
      <c r="C463" s="60" t="s">
        <v>3</v>
      </c>
      <c r="D463" s="60">
        <v>74202</v>
      </c>
      <c r="E463" s="21">
        <v>884.44</v>
      </c>
      <c r="F463" s="19"/>
      <c r="G463" s="21"/>
      <c r="H463" s="19"/>
      <c r="I463" s="20">
        <v>45433</v>
      </c>
    </row>
    <row r="464" spans="1:9">
      <c r="A464" s="18">
        <v>1493</v>
      </c>
      <c r="B464" s="19" t="str">
        <f>IFERROR(VLOOKUP(A464,CLIENTES!A:E,2,0),"CADASTRAR CLIENTE")</f>
        <v>CEDIMA  CENTRO DE DIAG MONTE AZUL ANAL CLIN E CIT</v>
      </c>
      <c r="C464" s="60" t="s">
        <v>328</v>
      </c>
      <c r="D464" s="60">
        <v>74224</v>
      </c>
      <c r="E464" s="21">
        <v>1594.36</v>
      </c>
      <c r="F464" s="19"/>
      <c r="G464" s="21"/>
      <c r="H464" s="19"/>
      <c r="I464" s="20">
        <v>45433</v>
      </c>
    </row>
    <row r="465" spans="1:9">
      <c r="A465" s="18">
        <v>3077</v>
      </c>
      <c r="B465" s="19" t="str">
        <f>IFERROR(VLOOKUP(A465,CLIENTES!A:E,2,0),"CADASTRAR CLIENTE")</f>
        <v>CBI ANALISES CLINICAS S/S LTDA</v>
      </c>
      <c r="C465" s="60" t="s">
        <v>328</v>
      </c>
      <c r="D465" s="60">
        <v>74273</v>
      </c>
      <c r="E465" s="21">
        <v>626.16</v>
      </c>
      <c r="F465" s="19"/>
      <c r="G465" s="21"/>
      <c r="H465" s="19"/>
      <c r="I465" s="20">
        <v>45435</v>
      </c>
    </row>
    <row r="466" spans="1:9">
      <c r="A466" s="18">
        <v>3077</v>
      </c>
      <c r="B466" s="19" t="str">
        <f>IFERROR(VLOOKUP(A466,CLIENTES!A:E,2,0),"CADASTRAR CLIENTE")</f>
        <v>CBI ANALISES CLINICAS S/S LTDA</v>
      </c>
      <c r="C466" s="60" t="s">
        <v>328</v>
      </c>
      <c r="D466" s="60">
        <v>98753</v>
      </c>
      <c r="E466" s="21">
        <v>171.34</v>
      </c>
      <c r="F466" s="19"/>
      <c r="G466" s="21"/>
      <c r="H466" s="19"/>
      <c r="I466" s="20">
        <v>45435</v>
      </c>
    </row>
    <row r="467" spans="1:9">
      <c r="A467" s="18">
        <v>705</v>
      </c>
      <c r="B467" s="19" t="str">
        <f>IFERROR(VLOOKUP(A467,CLIENTES!A:E,2,0),"CADASTRAR CLIENTE")</f>
        <v>JOAO JOSE SCHIAVUZZO ME</v>
      </c>
      <c r="C467" s="60" t="s">
        <v>3</v>
      </c>
      <c r="D467" s="60">
        <v>98755</v>
      </c>
      <c r="E467" s="21">
        <v>682.2</v>
      </c>
      <c r="F467" s="19"/>
      <c r="G467" s="21"/>
      <c r="H467" s="19"/>
      <c r="I467" s="20">
        <v>45435</v>
      </c>
    </row>
    <row r="468" spans="1:9">
      <c r="A468" s="18">
        <v>762</v>
      </c>
      <c r="B468" s="19" t="str">
        <f>IFERROR(VLOOKUP(A468,CLIENTES!A:E,2,0),"CADASTRAR CLIENTE")</f>
        <v>STA. CASA MISERICORDIA DE ARACATUBA</v>
      </c>
      <c r="C468" s="60" t="s">
        <v>2</v>
      </c>
      <c r="D468" s="60">
        <v>74290</v>
      </c>
      <c r="E468" s="21">
        <v>1230</v>
      </c>
      <c r="F468" s="19"/>
      <c r="G468" s="21"/>
      <c r="H468" s="19"/>
      <c r="I468" s="20">
        <v>45435</v>
      </c>
    </row>
    <row r="469" spans="1:9">
      <c r="A469" s="18">
        <v>2022</v>
      </c>
      <c r="B469" s="19" t="str">
        <f>IFERROR(VLOOKUP(A469,CLIENTES!A:E,2,0),"CADASTRAR CLIENTE")</f>
        <v>LAB. MEDICO DR. MARICONDI S/C LTDA.</v>
      </c>
      <c r="C469" s="60" t="s">
        <v>3</v>
      </c>
      <c r="D469" s="60">
        <v>74110</v>
      </c>
      <c r="E469" s="21">
        <v>417.78</v>
      </c>
      <c r="F469" s="19"/>
      <c r="G469" s="21"/>
      <c r="H469" s="19"/>
      <c r="I469" s="20">
        <v>45435</v>
      </c>
    </row>
    <row r="470" spans="1:9">
      <c r="A470" s="18">
        <v>475</v>
      </c>
      <c r="B470" s="19" t="str">
        <f>IFERROR(VLOOKUP(A470,CLIENTES!A:E,2,0),"CADASTRAR CLIENTE")</f>
        <v>LABORATORIO DE ANALISES CLINICAS SRC LTDA</v>
      </c>
      <c r="C470" s="60" t="s">
        <v>3</v>
      </c>
      <c r="D470" s="60">
        <v>74138</v>
      </c>
      <c r="E470" s="21">
        <v>3845</v>
      </c>
      <c r="F470" s="19"/>
      <c r="G470" s="21"/>
      <c r="H470" s="19"/>
      <c r="I470" s="20">
        <v>45435</v>
      </c>
    </row>
    <row r="471" spans="1:9">
      <c r="A471" s="18">
        <v>2022</v>
      </c>
      <c r="B471" s="19" t="str">
        <f>IFERROR(VLOOKUP(A471,CLIENTES!A:E,2,0),"CADASTRAR CLIENTE")</f>
        <v>LAB. MEDICO DR. MARICONDI S/C LTDA.</v>
      </c>
      <c r="C471" s="60" t="s">
        <v>3</v>
      </c>
      <c r="D471" s="60">
        <v>98761</v>
      </c>
      <c r="E471" s="21">
        <v>215</v>
      </c>
      <c r="F471" s="19"/>
      <c r="G471" s="21"/>
      <c r="H471" s="19"/>
      <c r="I471" s="20">
        <v>45435</v>
      </c>
    </row>
    <row r="472" spans="1:9">
      <c r="A472" s="18">
        <v>2022</v>
      </c>
      <c r="B472" s="19" t="str">
        <f>IFERROR(VLOOKUP(A472,CLIENTES!A:E,2,0),"CADASTRAR CLIENTE")</f>
        <v>LAB. MEDICO DR. MARICONDI S/C LTDA.</v>
      </c>
      <c r="C472" s="60" t="s">
        <v>3</v>
      </c>
      <c r="D472" s="60">
        <v>74110</v>
      </c>
      <c r="E472" s="21">
        <v>3402.55</v>
      </c>
      <c r="F472" s="19"/>
      <c r="G472" s="21"/>
      <c r="H472" s="19"/>
      <c r="I472" s="20">
        <v>45435</v>
      </c>
    </row>
    <row r="473" spans="1:9">
      <c r="A473" s="18">
        <v>432</v>
      </c>
      <c r="B473" s="19" t="str">
        <f>IFERROR(VLOOKUP(A473,CLIENTES!A:E,2,0),"CADASTRAR CLIENTE")</f>
        <v>LABORATORIO PASTEUR HEMATOLOGIA E MICROBIOLOGIA S/S LTDA</v>
      </c>
      <c r="C473" s="60" t="s">
        <v>3</v>
      </c>
      <c r="D473" s="60">
        <v>74270</v>
      </c>
      <c r="E473" s="21">
        <v>1707.78</v>
      </c>
      <c r="F473" s="19"/>
      <c r="G473" s="21"/>
      <c r="H473" s="19"/>
      <c r="I473" s="20">
        <v>45435</v>
      </c>
    </row>
    <row r="474" spans="1:9">
      <c r="A474" s="18">
        <v>1813</v>
      </c>
      <c r="B474" s="19" t="str">
        <f>IFERROR(VLOOKUP(A474,CLIENTES!A:E,2,0),"CADASTRAR CLIENTE")</f>
        <v>BIOMED LAB.ANAL.CLIN. SC  LTDA</v>
      </c>
      <c r="C474" s="60" t="s">
        <v>3</v>
      </c>
      <c r="D474" s="60">
        <v>74275</v>
      </c>
      <c r="E474" s="21">
        <v>1025.26</v>
      </c>
      <c r="F474" s="19"/>
      <c r="G474" s="21"/>
      <c r="H474" s="19"/>
      <c r="I474" s="20">
        <v>45435</v>
      </c>
    </row>
    <row r="475" spans="1:9">
      <c r="A475" s="18">
        <v>980</v>
      </c>
      <c r="B475" s="19" t="str">
        <f>IFERROR(VLOOKUP(A475,CLIENTES!A:E,2,0),"CADASTRAR CLIENTE")</f>
        <v>LAB. GUARARAPES  ANAL. CLIN. SC LTDA</v>
      </c>
      <c r="C475" s="60" t="s">
        <v>3</v>
      </c>
      <c r="D475" s="60">
        <v>74325</v>
      </c>
      <c r="E475" s="21">
        <v>210</v>
      </c>
      <c r="F475" s="19"/>
      <c r="G475" s="21"/>
      <c r="H475" s="19"/>
      <c r="I475" s="20">
        <v>45435</v>
      </c>
    </row>
    <row r="476" spans="1:9">
      <c r="A476" s="18">
        <v>575</v>
      </c>
      <c r="B476" s="19" t="str">
        <f>IFERROR(VLOOKUP(A476,CLIENTES!A:E,2,0),"CADASTRAR CLIENTE")</f>
        <v>DR MUNHOZ HOSPITAL VETERINARIO E PET SHOP</v>
      </c>
      <c r="C476" s="60" t="s">
        <v>328</v>
      </c>
      <c r="D476" s="60">
        <v>74235</v>
      </c>
      <c r="E476" s="21">
        <v>857.35</v>
      </c>
      <c r="F476" s="19"/>
      <c r="G476" s="21"/>
      <c r="H476" s="19"/>
      <c r="I476" s="20">
        <v>45436</v>
      </c>
    </row>
    <row r="477" spans="1:9">
      <c r="A477" s="18">
        <v>2062</v>
      </c>
      <c r="B477" s="19" t="str">
        <f>IFERROR(VLOOKUP(A477,CLIENTES!A:E,2,0),"CADASTRAR CLIENTE")</f>
        <v>CADASTRAR CLIENTE</v>
      </c>
      <c r="C477" s="60" t="s">
        <v>328</v>
      </c>
      <c r="D477" s="60">
        <v>74341</v>
      </c>
      <c r="E477" s="21">
        <v>1626.96</v>
      </c>
      <c r="F477" s="19"/>
      <c r="G477" s="21"/>
      <c r="H477" s="19"/>
      <c r="I477" s="20">
        <v>45436</v>
      </c>
    </row>
    <row r="478" spans="1:9">
      <c r="A478" s="18">
        <v>2415</v>
      </c>
      <c r="B478" s="19" t="str">
        <f>IFERROR(VLOOKUP(A478,CLIENTES!A:E,2,0),"CADASTRAR CLIENTE")</f>
        <v>ROSSETTO E BARROS LABORATORIO DE ANALISES CLINICAS LTDA</v>
      </c>
      <c r="C478" s="60" t="s">
        <v>3</v>
      </c>
      <c r="D478" s="60">
        <v>74362</v>
      </c>
      <c r="E478" s="21">
        <v>2236</v>
      </c>
      <c r="F478" s="19"/>
      <c r="G478" s="21"/>
      <c r="H478" s="19"/>
      <c r="I478" s="20">
        <v>45436</v>
      </c>
    </row>
    <row r="479" spans="1:9">
      <c r="A479" s="18">
        <v>1206</v>
      </c>
      <c r="B479" s="19" t="str">
        <f>IFERROR(VLOOKUP(A479,CLIENTES!A:E,2,0),"CADASTRAR CLIENTE")</f>
        <v>LABORATORIO RIO NEGRO CENTER DE MARILIA  LTDA</v>
      </c>
      <c r="C479" s="60" t="s">
        <v>328</v>
      </c>
      <c r="D479" s="60">
        <v>74397</v>
      </c>
      <c r="E479" s="21">
        <v>800.25</v>
      </c>
      <c r="F479" s="19"/>
      <c r="G479" s="21"/>
      <c r="H479" s="19"/>
      <c r="I479" s="20">
        <v>45439</v>
      </c>
    </row>
    <row r="480" spans="1:9">
      <c r="A480" s="18">
        <v>705</v>
      </c>
      <c r="B480" s="19" t="str">
        <f>IFERROR(VLOOKUP(A480,CLIENTES!A:E,2,0),"CADASTRAR CLIENTE")</f>
        <v>JOAO JOSE SCHIAVUZZO ME</v>
      </c>
      <c r="C480" s="60" t="s">
        <v>328</v>
      </c>
      <c r="D480" s="60">
        <v>74234</v>
      </c>
      <c r="E480" s="21">
        <v>216</v>
      </c>
      <c r="F480" s="19"/>
      <c r="G480" s="21"/>
      <c r="H480" s="19"/>
      <c r="I480" s="20">
        <v>45439</v>
      </c>
    </row>
    <row r="481" spans="1:9">
      <c r="A481" s="18">
        <v>1533</v>
      </c>
      <c r="B481" s="19" t="str">
        <f>IFERROR(VLOOKUP(A481,CLIENTES!A:E,2,0),"CADASTRAR CLIENTE")</f>
        <v>LABORATORIO BIOANALISE DIAGNOSTICO LTDA</v>
      </c>
      <c r="C481" s="60" t="s">
        <v>3</v>
      </c>
      <c r="D481" s="60">
        <v>74383</v>
      </c>
      <c r="E481" s="21">
        <v>689</v>
      </c>
      <c r="F481" s="19"/>
      <c r="G481" s="21"/>
      <c r="H481" s="19"/>
      <c r="I481" s="20">
        <v>45439</v>
      </c>
    </row>
    <row r="482" spans="1:9">
      <c r="A482" s="18">
        <v>7080</v>
      </c>
      <c r="B482" s="19" t="str">
        <f>IFERROR(VLOOKUP(A482,CLIENTES!A:E,2,0),"CADASTRAR CLIENTE")</f>
        <v>CADASTRAR CLIENTE</v>
      </c>
      <c r="C482" s="60" t="s">
        <v>3</v>
      </c>
      <c r="D482" s="60">
        <v>74415</v>
      </c>
      <c r="E482" s="21">
        <v>242.5</v>
      </c>
      <c r="F482" s="19"/>
      <c r="G482" s="21"/>
      <c r="H482" s="19"/>
      <c r="I482" s="20">
        <v>45439</v>
      </c>
    </row>
    <row r="483" spans="1:9">
      <c r="A483" s="18">
        <v>311</v>
      </c>
      <c r="B483" s="19" t="str">
        <f>IFERROR(VLOOKUP(A483,CLIENTES!A:E,2,0),"CADASTRAR CLIENTE")</f>
        <v>CENTRO DE ANAL.CLIN. UNILAB  SC LTDA.</v>
      </c>
      <c r="C483" s="60" t="s">
        <v>3</v>
      </c>
      <c r="D483" s="60">
        <v>98777</v>
      </c>
      <c r="E483" s="21">
        <v>182.89</v>
      </c>
      <c r="F483" s="19"/>
      <c r="G483" s="21"/>
      <c r="H483" s="19"/>
      <c r="I483" s="20">
        <v>45439</v>
      </c>
    </row>
    <row r="484" spans="1:9">
      <c r="A484" s="18">
        <v>311</v>
      </c>
      <c r="B484" s="19" t="str">
        <f>IFERROR(VLOOKUP(A484,CLIENTES!A:E,2,0),"CADASTRAR CLIENTE")</f>
        <v>CENTRO DE ANAL.CLIN. UNILAB  SC LTDA.</v>
      </c>
      <c r="C484" s="60" t="s">
        <v>3</v>
      </c>
      <c r="D484" s="60">
        <v>74418</v>
      </c>
      <c r="E484" s="21">
        <v>227.1</v>
      </c>
      <c r="F484" s="19"/>
      <c r="G484" s="21"/>
      <c r="H484" s="19"/>
      <c r="I484" s="20">
        <v>45439</v>
      </c>
    </row>
    <row r="485" spans="1:9">
      <c r="A485" s="18">
        <v>3018</v>
      </c>
      <c r="B485" s="19" t="str">
        <f>IFERROR(VLOOKUP(A485,CLIENTES!A:E,2,0),"CADASTRAR CLIENTE")</f>
        <v>NP- LABORATORIO DE ANALISES CLINICAS LTDA</v>
      </c>
      <c r="C485" s="60" t="s">
        <v>3</v>
      </c>
      <c r="D485" s="60">
        <v>74428</v>
      </c>
      <c r="E485" s="21">
        <v>549.14</v>
      </c>
      <c r="F485" s="19"/>
      <c r="G485" s="21"/>
      <c r="H485" s="19"/>
      <c r="I485" s="20">
        <v>45439</v>
      </c>
    </row>
    <row r="486" spans="1:9">
      <c r="A486" s="18">
        <v>197</v>
      </c>
      <c r="B486" s="19" t="str">
        <f>IFERROR(VLOOKUP(A486,CLIENTES!A:E,2,0),"CADASTRAR CLIENTE")</f>
        <v>LAB.ANAL.CLIN.DE ITAPETININGA</v>
      </c>
      <c r="C486" s="60" t="s">
        <v>3</v>
      </c>
      <c r="D486" s="60">
        <v>74425</v>
      </c>
      <c r="E486" s="21">
        <v>220</v>
      </c>
      <c r="F486" s="19"/>
      <c r="G486" s="21"/>
      <c r="H486" s="19"/>
      <c r="I486" s="20">
        <v>45439</v>
      </c>
    </row>
    <row r="487" spans="1:9">
      <c r="A487" s="18">
        <v>746</v>
      </c>
      <c r="B487" s="19" t="str">
        <f>IFERROR(VLOOKUP(A487,CLIENTES!A:E,2,0),"CADASTRAR CLIENTE")</f>
        <v>LAB.ANAL.CLIN.BIOCLIN SC LTDA.</v>
      </c>
      <c r="C487" s="60" t="s">
        <v>3</v>
      </c>
      <c r="D487" s="60">
        <v>74395</v>
      </c>
      <c r="E487" s="21">
        <v>252.8</v>
      </c>
      <c r="F487" s="19"/>
      <c r="G487" s="21"/>
      <c r="H487" s="19"/>
      <c r="I487" s="20">
        <v>45439</v>
      </c>
    </row>
    <row r="488" spans="1:9">
      <c r="A488" s="18">
        <v>50816</v>
      </c>
      <c r="B488" s="19" t="str">
        <f>IFERROR(VLOOKUP(A488,CLIENTES!A:E,2,0),"CADASTRAR CLIENTE")</f>
        <v>RALO &amp; DORNELLES CLINICA VETERINARIA LTDA ME</v>
      </c>
      <c r="C488" s="60" t="s">
        <v>3</v>
      </c>
      <c r="D488" s="60">
        <v>74431</v>
      </c>
      <c r="E488" s="21">
        <v>272</v>
      </c>
      <c r="F488" s="19"/>
      <c r="G488" s="21"/>
      <c r="H488" s="19"/>
      <c r="I488" s="20">
        <v>45439</v>
      </c>
    </row>
    <row r="489" spans="1:9">
      <c r="A489" s="18">
        <v>1122</v>
      </c>
      <c r="B489" s="19" t="str">
        <f>IFERROR(VLOOKUP(A489,CLIENTES!A:E,2,0),"CADASTRAR CLIENTE")</f>
        <v>FUNDEPAG</v>
      </c>
      <c r="C489" s="60" t="s">
        <v>2</v>
      </c>
      <c r="D489" s="60">
        <v>74436</v>
      </c>
      <c r="E489" s="21">
        <v>2575.84</v>
      </c>
      <c r="F489" s="19"/>
      <c r="G489" s="21"/>
      <c r="H489" s="19"/>
      <c r="I489" s="20">
        <v>45440</v>
      </c>
    </row>
    <row r="490" spans="1:9">
      <c r="A490" s="18">
        <v>2702</v>
      </c>
      <c r="B490" s="19" t="str">
        <f>IFERROR(VLOOKUP(A490,CLIENTES!A:E,2,0),"CADASTRAR CLIENTE")</f>
        <v>SANTA CASA DE MISER. DE TAQUARITUBA</v>
      </c>
      <c r="C490" s="60" t="s">
        <v>3</v>
      </c>
      <c r="D490" s="60">
        <v>74441</v>
      </c>
      <c r="E490" s="21">
        <v>1218</v>
      </c>
      <c r="F490" s="19"/>
      <c r="G490" s="21"/>
      <c r="H490" s="19"/>
      <c r="I490" s="20">
        <v>45440</v>
      </c>
    </row>
    <row r="491" spans="1:9">
      <c r="A491" s="18">
        <v>480</v>
      </c>
      <c r="B491" s="19" t="str">
        <f>IFERROR(VLOOKUP(A491,CLIENTES!A:E,2,0),"CADASTRAR CLIENTE")</f>
        <v>LAB SAO LUCAS</v>
      </c>
      <c r="C491" s="60" t="s">
        <v>3</v>
      </c>
      <c r="D491" s="60">
        <v>98779</v>
      </c>
      <c r="E491" s="21">
        <v>199</v>
      </c>
      <c r="F491" s="19"/>
      <c r="G491" s="21"/>
      <c r="H491" s="19"/>
      <c r="I491" s="20">
        <v>45440</v>
      </c>
    </row>
    <row r="492" spans="1:9">
      <c r="A492" s="18">
        <v>480</v>
      </c>
      <c r="B492" s="19" t="str">
        <f>IFERROR(VLOOKUP(A492,CLIENTES!A:E,2,0),"CADASTRAR CLIENTE")</f>
        <v>LAB SAO LUCAS</v>
      </c>
      <c r="C492" s="60" t="s">
        <v>3</v>
      </c>
      <c r="D492" s="60">
        <v>74442</v>
      </c>
      <c r="E492" s="21">
        <v>200.26</v>
      </c>
      <c r="F492" s="19"/>
      <c r="G492" s="21"/>
      <c r="H492" s="19"/>
      <c r="I492" s="20">
        <v>45440</v>
      </c>
    </row>
    <row r="493" spans="1:9">
      <c r="A493" s="18">
        <v>761</v>
      </c>
      <c r="B493" s="19" t="str">
        <f>IFERROR(VLOOKUP(A493,CLIENTES!A:E,2,0),"CADASTRAR CLIENTE")</f>
        <v>EXAME CENTRO DIAG.M.ARACATUBA SC LTDA.</v>
      </c>
      <c r="C493" s="60" t="s">
        <v>3</v>
      </c>
      <c r="D493" s="60">
        <v>74444</v>
      </c>
      <c r="E493" s="21">
        <v>57.5</v>
      </c>
      <c r="F493" s="19"/>
      <c r="G493" s="21"/>
      <c r="H493" s="19"/>
      <c r="I493" s="20">
        <v>45440</v>
      </c>
    </row>
    <row r="494" spans="1:9">
      <c r="A494" s="18">
        <v>761</v>
      </c>
      <c r="B494" s="19" t="str">
        <f>IFERROR(VLOOKUP(A494,CLIENTES!A:E,2,0),"CADASTRAR CLIENTE")</f>
        <v>EXAME CENTRO DIAG.M.ARACATUBA SC LTDA.</v>
      </c>
      <c r="C494" s="60" t="s">
        <v>3</v>
      </c>
      <c r="D494" s="60">
        <v>98780</v>
      </c>
      <c r="E494" s="21">
        <v>172</v>
      </c>
      <c r="F494" s="19"/>
      <c r="G494" s="21"/>
      <c r="H494" s="19"/>
      <c r="I494" s="20">
        <v>45440</v>
      </c>
    </row>
    <row r="495" spans="1:9">
      <c r="A495" s="18">
        <v>756</v>
      </c>
      <c r="B495" s="19" t="str">
        <f>IFERROR(VLOOKUP(A495,CLIENTES!A:E,2,0),"CADASTRAR CLIENTE")</f>
        <v>LAB.TRIANON DE ANAL.CLIN.SC LTDA.</v>
      </c>
      <c r="C495" s="60" t="s">
        <v>3</v>
      </c>
      <c r="D495" s="60">
        <v>74211</v>
      </c>
      <c r="E495" s="21">
        <v>598</v>
      </c>
      <c r="F495" s="19"/>
      <c r="G495" s="21"/>
      <c r="H495" s="19"/>
      <c r="I495" s="20">
        <v>45440</v>
      </c>
    </row>
    <row r="496" spans="1:9">
      <c r="A496" s="18">
        <v>756</v>
      </c>
      <c r="B496" s="19" t="str">
        <f>IFERROR(VLOOKUP(A496,CLIENTES!A:E,2,0),"CADASTRAR CLIENTE")</f>
        <v>LAB.TRIANON DE ANAL.CLIN.SC LTDA.</v>
      </c>
      <c r="C496" s="60" t="s">
        <v>3</v>
      </c>
      <c r="D496" s="60">
        <v>74466</v>
      </c>
      <c r="E496" s="21">
        <v>2054.6799999999998</v>
      </c>
      <c r="F496" s="19"/>
      <c r="G496" s="21"/>
      <c r="H496" s="19"/>
      <c r="I496" s="20">
        <v>45440</v>
      </c>
    </row>
    <row r="497" spans="1:9">
      <c r="A497" s="18">
        <v>756</v>
      </c>
      <c r="B497" s="19" t="str">
        <f>IFERROR(VLOOKUP(A497,CLIENTES!A:E,2,0),"CADASTRAR CLIENTE")</f>
        <v>LAB.TRIANON DE ANAL.CLIN.SC LTDA.</v>
      </c>
      <c r="C497" s="60" t="s">
        <v>3</v>
      </c>
      <c r="D497" s="60">
        <v>98737</v>
      </c>
      <c r="E497" s="21">
        <v>123.48</v>
      </c>
      <c r="F497" s="19"/>
      <c r="G497" s="21"/>
      <c r="H497" s="19"/>
      <c r="I497" s="20">
        <v>45440</v>
      </c>
    </row>
    <row r="498" spans="1:9">
      <c r="A498" s="18">
        <v>335</v>
      </c>
      <c r="B498" s="19" t="str">
        <f>IFERROR(VLOOKUP(A498,CLIENTES!A:E,2,0),"CADASTRAR CLIENTE")</f>
        <v>LABORATORIO VIDA  S/S LTDA</v>
      </c>
      <c r="C498" s="60" t="s">
        <v>3</v>
      </c>
      <c r="D498" s="60">
        <v>74476</v>
      </c>
      <c r="E498" s="21">
        <v>420.28</v>
      </c>
      <c r="F498" s="19"/>
      <c r="G498" s="21"/>
      <c r="H498" s="19"/>
      <c r="I498" s="20">
        <v>45440</v>
      </c>
    </row>
    <row r="499" spans="1:9">
      <c r="A499" s="18">
        <v>335</v>
      </c>
      <c r="B499" s="19" t="str">
        <f>IFERROR(VLOOKUP(A499,CLIENTES!A:E,2,0),"CADASTRAR CLIENTE")</f>
        <v>LABORATORIO VIDA  S/S LTDA</v>
      </c>
      <c r="C499" s="60" t="s">
        <v>3</v>
      </c>
      <c r="D499" s="60">
        <v>98783</v>
      </c>
      <c r="E499" s="21">
        <v>119.15</v>
      </c>
      <c r="F499" s="19"/>
      <c r="G499" s="21"/>
      <c r="H499" s="19"/>
      <c r="I499" s="20">
        <v>45440</v>
      </c>
    </row>
    <row r="500" spans="1:9">
      <c r="A500" s="18">
        <v>874</v>
      </c>
      <c r="B500" s="19" t="str">
        <f>IFERROR(VLOOKUP(A500,CLIENTES!A:E,2,0),"CADASTRAR CLIENTE")</f>
        <v>LAB.ANAL.CLIN ABI JAUDI SC LTDA.</v>
      </c>
      <c r="C500" s="60" t="s">
        <v>3</v>
      </c>
      <c r="D500" s="60">
        <v>74055</v>
      </c>
      <c r="E500" s="21">
        <v>299</v>
      </c>
      <c r="F500" s="19"/>
      <c r="G500" s="21"/>
      <c r="H500" s="19"/>
      <c r="I500" s="20">
        <v>45441</v>
      </c>
    </row>
    <row r="501" spans="1:9">
      <c r="A501" s="18">
        <v>432</v>
      </c>
      <c r="B501" s="19" t="str">
        <f>IFERROR(VLOOKUP(A501,CLIENTES!A:E,2,0),"CADASTRAR CLIENTE")</f>
        <v>LABORATORIO PASTEUR HEMATOLOGIA E MICROBIOLOGIA S/S LTDA</v>
      </c>
      <c r="C501" s="60" t="s">
        <v>3</v>
      </c>
      <c r="D501" s="60">
        <v>74480</v>
      </c>
      <c r="E501" s="21">
        <v>53</v>
      </c>
      <c r="F501" s="19"/>
      <c r="G501" s="21"/>
      <c r="H501" s="19"/>
      <c r="I501" s="20">
        <v>45441</v>
      </c>
    </row>
    <row r="502" spans="1:9">
      <c r="A502" s="18">
        <v>2192</v>
      </c>
      <c r="B502" s="19" t="str">
        <f>IFERROR(VLOOKUP(A502,CLIENTES!A:E,2,0),"CADASTRAR CLIENTE")</f>
        <v>CADASTRAR CLIENTE</v>
      </c>
      <c r="C502" s="60" t="s">
        <v>3</v>
      </c>
      <c r="D502" s="60">
        <v>74384</v>
      </c>
      <c r="E502" s="21">
        <v>678.34</v>
      </c>
      <c r="F502" s="19"/>
      <c r="G502" s="21"/>
      <c r="H502" s="19"/>
      <c r="I502" s="20">
        <v>45441</v>
      </c>
    </row>
    <row r="503" spans="1:9">
      <c r="A503" s="18">
        <v>50219</v>
      </c>
      <c r="B503" s="19" t="str">
        <f>IFERROR(VLOOKUP(A503,CLIENTES!A:E,2,0),"CADASTRAR CLIENTE")</f>
        <v>UNIPREV LAB DE ANALISES LOCACAO DE BENS E REPAROS LTDA EPP</v>
      </c>
      <c r="C503" s="60" t="s">
        <v>3</v>
      </c>
      <c r="D503" s="60">
        <v>74196</v>
      </c>
      <c r="E503" s="21">
        <v>1475.56</v>
      </c>
      <c r="F503" s="19"/>
      <c r="G503" s="21"/>
      <c r="H503" s="19"/>
      <c r="I503" s="20">
        <v>45441</v>
      </c>
    </row>
    <row r="504" spans="1:9">
      <c r="A504" s="18">
        <v>3475</v>
      </c>
      <c r="B504" s="19" t="str">
        <f>IFERROR(VLOOKUP(A504,CLIENTES!A:E,2,0),"CADASTRAR CLIENTE")</f>
        <v>LQF LABORATORIO QUIMICO FARMACEUTICO RIO PRETO EIRELI - ME</v>
      </c>
      <c r="C504" s="60" t="s">
        <v>3</v>
      </c>
      <c r="D504" s="60">
        <v>73715</v>
      </c>
      <c r="E504" s="21">
        <v>264.8</v>
      </c>
      <c r="F504" s="19"/>
      <c r="G504" s="21"/>
      <c r="H504" s="19"/>
      <c r="I504" s="20">
        <v>45441</v>
      </c>
    </row>
    <row r="505" spans="1:9">
      <c r="A505" s="18">
        <v>1164</v>
      </c>
      <c r="B505" s="19" t="str">
        <f>IFERROR(VLOOKUP(A505,CLIENTES!A:E,2,0),"CADASTRAR CLIENTE")</f>
        <v>LAB. ANAL. CLIN. SAO LOURENCO S/C LTDA</v>
      </c>
      <c r="C505" s="60" t="s">
        <v>3</v>
      </c>
      <c r="D505" s="60">
        <v>74402</v>
      </c>
      <c r="E505" s="21">
        <v>570</v>
      </c>
      <c r="F505" s="19"/>
      <c r="G505" s="21"/>
      <c r="H505" s="19"/>
      <c r="I505" s="20">
        <v>45441</v>
      </c>
    </row>
    <row r="506" spans="1:9">
      <c r="A506" s="18">
        <v>762</v>
      </c>
      <c r="B506" s="19" t="str">
        <f>IFERROR(VLOOKUP(A506,CLIENTES!A:E,2,0),"CADASTRAR CLIENTE")</f>
        <v>STA. CASA MISERICORDIA DE ARACATUBA</v>
      </c>
      <c r="C506" s="60" t="s">
        <v>3</v>
      </c>
      <c r="D506" s="60">
        <v>74515</v>
      </c>
      <c r="E506" s="21">
        <v>8097.08</v>
      </c>
      <c r="F506" s="19"/>
      <c r="G506" s="21"/>
      <c r="H506" s="19"/>
      <c r="I506" s="20">
        <v>45446</v>
      </c>
    </row>
    <row r="507" spans="1:9">
      <c r="A507" s="18">
        <v>1616</v>
      </c>
      <c r="B507" s="19" t="str">
        <f>IFERROR(VLOOKUP(A507,CLIENTES!A:E,2,0),"CADASTRAR CLIENTE")</f>
        <v>NOVO HORIZONTE LAB.ANAL.CLIN.S/C LTDA.</v>
      </c>
      <c r="C507" s="60" t="s">
        <v>3</v>
      </c>
      <c r="D507" s="60">
        <v>98768</v>
      </c>
      <c r="E507" s="21">
        <v>75.95</v>
      </c>
      <c r="F507" s="19"/>
      <c r="G507" s="21"/>
      <c r="H507" s="19"/>
      <c r="I507" s="20">
        <v>45446</v>
      </c>
    </row>
    <row r="508" spans="1:9">
      <c r="A508" s="18">
        <v>1616</v>
      </c>
      <c r="B508" s="19" t="str">
        <f>IFERROR(VLOOKUP(A508,CLIENTES!A:E,2,0),"CADASTRAR CLIENTE")</f>
        <v>NOVO HORIZONTE LAB.ANAL.CLIN.S/C LTDA.</v>
      </c>
      <c r="C508" s="60" t="s">
        <v>3</v>
      </c>
      <c r="D508" s="60">
        <v>74240</v>
      </c>
      <c r="E508" s="21">
        <v>2063.8000000000002</v>
      </c>
      <c r="F508" s="19"/>
      <c r="G508" s="21"/>
      <c r="H508" s="19"/>
      <c r="I508" s="20">
        <v>45446</v>
      </c>
    </row>
    <row r="509" spans="1:9">
      <c r="A509" s="18">
        <v>3153</v>
      </c>
      <c r="B509" s="19" t="str">
        <f>IFERROR(VLOOKUP(A509,CLIENTES!A:E,2,0),"CADASTRAR CLIENTE")</f>
        <v>UNIMED DE TUPA COOPERATIVA DE TRABALHO MEDICO</v>
      </c>
      <c r="C509" s="60" t="s">
        <v>3</v>
      </c>
      <c r="D509" s="60">
        <v>74284</v>
      </c>
      <c r="E509" s="21">
        <v>1657.13</v>
      </c>
      <c r="F509" s="19"/>
      <c r="G509" s="21"/>
      <c r="H509" s="19"/>
      <c r="I509" s="20">
        <v>45446</v>
      </c>
    </row>
    <row r="510" spans="1:9">
      <c r="A510" s="18">
        <v>2163</v>
      </c>
      <c r="B510" s="19" t="str">
        <f>IFERROR(VLOOKUP(A510,CLIENTES!A:E,2,0),"CADASTRAR CLIENTE")</f>
        <v>BIO-LAB SAO JUDAS TADEU S/C LTDA - ME</v>
      </c>
      <c r="C510" s="60" t="s">
        <v>3</v>
      </c>
      <c r="D510" s="60">
        <v>74582</v>
      </c>
      <c r="E510" s="21">
        <v>1416</v>
      </c>
      <c r="F510" s="19"/>
      <c r="G510" s="21"/>
      <c r="H510" s="19"/>
      <c r="I510" s="20">
        <v>45446</v>
      </c>
    </row>
    <row r="511" spans="1:9">
      <c r="A511" s="18">
        <v>2163</v>
      </c>
      <c r="B511" s="19" t="str">
        <f>IFERROR(VLOOKUP(A511,CLIENTES!A:E,2,0),"CADASTRAR CLIENTE")</f>
        <v>BIO-LAB SAO JUDAS TADEU S/C LTDA - ME</v>
      </c>
      <c r="C511" s="60" t="s">
        <v>3</v>
      </c>
      <c r="D511" s="60">
        <v>98799</v>
      </c>
      <c r="E511" s="21">
        <v>101.69</v>
      </c>
      <c r="F511" s="19"/>
      <c r="G511" s="21"/>
      <c r="H511" s="19"/>
      <c r="I511" s="20">
        <v>45446</v>
      </c>
    </row>
    <row r="512" spans="1:9">
      <c r="A512" s="18">
        <v>311</v>
      </c>
      <c r="B512" s="19" t="str">
        <f>IFERROR(VLOOKUP(A512,CLIENTES!A:E,2,0),"CADASTRAR CLIENTE")</f>
        <v>CENTRO DE ANAL.CLIN. UNILAB  SC LTDA.</v>
      </c>
      <c r="C512" s="60" t="s">
        <v>3</v>
      </c>
      <c r="D512" s="60">
        <v>74488</v>
      </c>
      <c r="E512" s="21">
        <v>5360.79</v>
      </c>
      <c r="F512" s="19"/>
      <c r="G512" s="21"/>
      <c r="H512" s="19"/>
      <c r="I512" s="20">
        <v>45446</v>
      </c>
    </row>
    <row r="513" spans="1:9">
      <c r="A513" s="18">
        <v>475</v>
      </c>
      <c r="B513" s="19" t="str">
        <f>IFERROR(VLOOKUP(A513,CLIENTES!A:E,2,0),"CADASTRAR CLIENTE")</f>
        <v>LABORATORIO DE ANALISES CLINICAS SRC LTDA</v>
      </c>
      <c r="C513" s="60" t="s">
        <v>3</v>
      </c>
      <c r="D513" s="60">
        <v>74348</v>
      </c>
      <c r="E513" s="21">
        <v>1650</v>
      </c>
      <c r="F513" s="19"/>
      <c r="G513" s="21"/>
      <c r="H513" s="19"/>
      <c r="I513" s="20">
        <v>45446</v>
      </c>
    </row>
    <row r="514" spans="1:9">
      <c r="A514" s="18">
        <v>905</v>
      </c>
      <c r="B514" s="19" t="str">
        <f>IFERROR(VLOOKUP(A514,CLIENTES!A:E,2,0),"CADASTRAR CLIENTE")</f>
        <v>LAB AN CLIN DR NESTOR FERRAREZZI FILHO  SC LTDA</v>
      </c>
      <c r="C514" s="60" t="s">
        <v>328</v>
      </c>
      <c r="D514" s="60">
        <v>74603</v>
      </c>
      <c r="E514" s="21">
        <v>414.7</v>
      </c>
      <c r="F514" s="19"/>
      <c r="G514" s="21"/>
      <c r="H514" s="19"/>
      <c r="I514" s="20">
        <v>45446</v>
      </c>
    </row>
    <row r="515" spans="1:9">
      <c r="A515" s="18">
        <v>905</v>
      </c>
      <c r="B515" s="19" t="str">
        <f>IFERROR(VLOOKUP(A515,CLIENTES!A:E,2,0),"CADASTRAR CLIENTE")</f>
        <v>LAB AN CLIN DR NESTOR FERRAREZZI FILHO  SC LTDA</v>
      </c>
      <c r="C515" s="60" t="s">
        <v>328</v>
      </c>
      <c r="D515" s="60">
        <v>98808</v>
      </c>
      <c r="E515" s="21">
        <v>121.84</v>
      </c>
      <c r="F515" s="19"/>
      <c r="G515" s="21"/>
      <c r="H515" s="19"/>
      <c r="I515" s="20">
        <v>45446</v>
      </c>
    </row>
    <row r="516" spans="1:9">
      <c r="A516" s="18">
        <v>50219</v>
      </c>
      <c r="B516" s="19" t="str">
        <f>IFERROR(VLOOKUP(A516,CLIENTES!A:E,2,0),"CADASTRAR CLIENTE")</f>
        <v>UNIPREV LAB DE ANALISES LOCACAO DE BENS E REPAROS LTDA EPP</v>
      </c>
      <c r="C516" s="60" t="s">
        <v>3</v>
      </c>
      <c r="D516" s="60">
        <v>74607</v>
      </c>
      <c r="E516" s="21">
        <v>1177.74</v>
      </c>
      <c r="F516" s="19"/>
      <c r="G516" s="21"/>
      <c r="H516" s="19"/>
      <c r="I516" s="20">
        <v>45446</v>
      </c>
    </row>
    <row r="517" spans="1:9">
      <c r="A517" s="18">
        <v>50222</v>
      </c>
      <c r="B517" s="19" t="str">
        <f>IFERROR(VLOOKUP(A517,CLIENTES!A:E,2,0),"CADASTRAR CLIENTE")</f>
        <v>HOSPITAL REGIONAL DR VIVALDO MARTINS SIMOES</v>
      </c>
      <c r="C517" s="60" t="s">
        <v>3</v>
      </c>
      <c r="D517" s="60">
        <v>98796</v>
      </c>
      <c r="E517" s="21">
        <v>142.69999999999999</v>
      </c>
      <c r="F517" s="19"/>
      <c r="G517" s="21"/>
      <c r="H517" s="19"/>
      <c r="I517" s="20">
        <v>45446</v>
      </c>
    </row>
    <row r="518" spans="1:9">
      <c r="A518" s="18">
        <v>1016</v>
      </c>
      <c r="B518" s="19" t="str">
        <f>IFERROR(VLOOKUP(A518,CLIENTES!A:E,2,0),"CADASTRAR CLIENTE")</f>
        <v>LAB.ANAL.CLIN. SAO LUCAS SC LTDA.</v>
      </c>
      <c r="C518" s="60" t="s">
        <v>3</v>
      </c>
      <c r="D518" s="60">
        <v>98812</v>
      </c>
      <c r="E518" s="21">
        <v>1111.8499999999999</v>
      </c>
      <c r="F518" s="19"/>
      <c r="G518" s="21"/>
      <c r="H518" s="19"/>
      <c r="I518" s="20">
        <v>45446</v>
      </c>
    </row>
    <row r="519" spans="1:9">
      <c r="A519" s="18">
        <v>1016</v>
      </c>
      <c r="B519" s="19" t="str">
        <f>IFERROR(VLOOKUP(A519,CLIENTES!A:E,2,0),"CADASTRAR CLIENTE")</f>
        <v>LAB.ANAL.CLIN. SAO LUCAS SC LTDA.</v>
      </c>
      <c r="C519" s="60" t="s">
        <v>3</v>
      </c>
      <c r="D519" s="60">
        <v>74610</v>
      </c>
      <c r="E519" s="21">
        <v>609</v>
      </c>
      <c r="F519" s="19"/>
      <c r="G519" s="21"/>
      <c r="H519" s="19"/>
      <c r="I519" s="20">
        <v>45446</v>
      </c>
    </row>
    <row r="520" spans="1:9">
      <c r="A520" s="18">
        <v>50554</v>
      </c>
      <c r="B520" s="19" t="str">
        <f>IFERROR(VLOOKUP(A520,CLIENTES!A:E,2,0),"CADASTRAR CLIENTE")</f>
        <v>SAO ROQUE MEDICINA DIAGNOSTICA</v>
      </c>
      <c r="C520" s="60" t="s">
        <v>328</v>
      </c>
      <c r="D520" s="60">
        <v>74625</v>
      </c>
      <c r="E520" s="21">
        <v>2922.45</v>
      </c>
      <c r="F520" s="19"/>
      <c r="G520" s="21"/>
      <c r="H520" s="19"/>
      <c r="I520" s="20">
        <v>45447</v>
      </c>
    </row>
    <row r="521" spans="1:9">
      <c r="A521" s="18">
        <v>50554</v>
      </c>
      <c r="B521" s="19" t="str">
        <f>IFERROR(VLOOKUP(A521,CLIENTES!A:E,2,0),"CADASTRAR CLIENTE")</f>
        <v>SAO ROQUE MEDICINA DIAGNOSTICA</v>
      </c>
      <c r="C521" s="60" t="s">
        <v>328</v>
      </c>
      <c r="D521" s="60">
        <v>98818</v>
      </c>
      <c r="E521" s="21">
        <v>711.25</v>
      </c>
      <c r="F521" s="19"/>
      <c r="G521" s="21"/>
      <c r="H521" s="19"/>
      <c r="I521" s="20">
        <v>45447</v>
      </c>
    </row>
    <row r="522" spans="1:9">
      <c r="A522" s="18">
        <v>784</v>
      </c>
      <c r="B522" s="19" t="str">
        <f>IFERROR(VLOOKUP(A522,CLIENTES!A:E,2,0),"CADASTRAR CLIENTE")</f>
        <v>LAB.ANAL.CLIN. ALBERT SABIN SC LTDA.</v>
      </c>
      <c r="C522" s="60" t="s">
        <v>3</v>
      </c>
      <c r="D522" s="60">
        <v>74654</v>
      </c>
      <c r="E522" s="21">
        <v>2909.47</v>
      </c>
      <c r="F522" s="19"/>
      <c r="G522" s="21"/>
      <c r="H522" s="19"/>
      <c r="I522" s="20">
        <v>45447</v>
      </c>
    </row>
    <row r="523" spans="1:9">
      <c r="A523" s="18">
        <v>1533</v>
      </c>
      <c r="B523" s="19" t="str">
        <f>IFERROR(VLOOKUP(A523,CLIENTES!A:E,2,0),"CADASTRAR CLIENTE")</f>
        <v>LABORATORIO BIOANALISE DIAGNOSTICO LTDA</v>
      </c>
      <c r="C523" s="60" t="s">
        <v>3</v>
      </c>
      <c r="D523" s="60">
        <v>98827</v>
      </c>
      <c r="E523" s="21">
        <v>371.84</v>
      </c>
      <c r="F523" s="19"/>
      <c r="G523" s="21"/>
      <c r="H523" s="19"/>
      <c r="I523" s="20">
        <v>45448</v>
      </c>
    </row>
    <row r="524" spans="1:9">
      <c r="A524" s="18">
        <v>690</v>
      </c>
      <c r="B524" s="19" t="str">
        <f>IFERROR(VLOOKUP(A524,CLIENTES!A:E,2,0),"CADASTRAR CLIENTE")</f>
        <v>SAO ROQUE MEDICINA DIAGNOSTICA LTDA EPP</v>
      </c>
      <c r="C524" s="60" t="s">
        <v>328</v>
      </c>
      <c r="D524" s="60">
        <v>74674</v>
      </c>
      <c r="E524" s="21">
        <v>711</v>
      </c>
      <c r="F524" s="19"/>
      <c r="G524" s="21"/>
      <c r="H524" s="19"/>
      <c r="I524" s="20">
        <v>45448</v>
      </c>
    </row>
    <row r="525" spans="1:9">
      <c r="A525" s="18">
        <v>690</v>
      </c>
      <c r="B525" s="19" t="str">
        <f>IFERROR(VLOOKUP(A525,CLIENTES!A:E,2,0),"CADASTRAR CLIENTE")</f>
        <v>SAO ROQUE MEDICINA DIAGNOSTICA LTDA EPP</v>
      </c>
      <c r="C525" s="60" t="s">
        <v>328</v>
      </c>
      <c r="D525" s="60">
        <v>98828</v>
      </c>
      <c r="E525" s="21">
        <v>405.8</v>
      </c>
      <c r="F525" s="19"/>
      <c r="G525" s="21"/>
      <c r="H525" s="19"/>
      <c r="I525" s="20">
        <v>45448</v>
      </c>
    </row>
    <row r="526" spans="1:9">
      <c r="A526" s="18">
        <v>3194</v>
      </c>
      <c r="B526" s="19" t="str">
        <f>IFERROR(VLOOKUP(A526,CLIENTES!A:E,2,0),"CADASTRAR CLIENTE")</f>
        <v>CENTRO DE DIAGNOSTICOS CONTROLE LTDA</v>
      </c>
      <c r="C526" s="60" t="s">
        <v>328</v>
      </c>
      <c r="D526" s="60">
        <v>98829</v>
      </c>
      <c r="E526" s="21">
        <v>386.8</v>
      </c>
      <c r="F526" s="19"/>
      <c r="G526" s="21"/>
      <c r="H526" s="19"/>
      <c r="I526" s="20">
        <v>45448</v>
      </c>
    </row>
    <row r="527" spans="1:9">
      <c r="A527" s="18">
        <v>3194</v>
      </c>
      <c r="B527" s="19" t="str">
        <f>IFERROR(VLOOKUP(A527,CLIENTES!A:E,2,0),"CADASTRAR CLIENTE")</f>
        <v>CENTRO DE DIAGNOSTICOS CONTROLE LTDA</v>
      </c>
      <c r="C527" s="60" t="s">
        <v>328</v>
      </c>
      <c r="D527" s="60">
        <v>74678</v>
      </c>
      <c r="E527" s="21">
        <v>564.9</v>
      </c>
      <c r="F527" s="19"/>
      <c r="G527" s="21"/>
      <c r="H527" s="19"/>
      <c r="I527" s="20">
        <v>45448</v>
      </c>
    </row>
    <row r="528" spans="1:9">
      <c r="A528" s="18">
        <v>1493</v>
      </c>
      <c r="B528" s="19" t="str">
        <f>IFERROR(VLOOKUP(A528,CLIENTES!A:E,2,0),"CADASTRAR CLIENTE")</f>
        <v>CEDIMA  CENTRO DE DIAG MONTE AZUL ANAL CLIN E CIT</v>
      </c>
      <c r="C528" s="60" t="s">
        <v>3</v>
      </c>
      <c r="D528" s="60">
        <v>74660</v>
      </c>
      <c r="E528" s="21">
        <v>1052.23</v>
      </c>
      <c r="F528" s="19"/>
      <c r="G528" s="21"/>
      <c r="H528" s="19"/>
      <c r="I528" s="20">
        <v>45448</v>
      </c>
    </row>
    <row r="529" spans="1:9">
      <c r="A529" s="18">
        <v>50418</v>
      </c>
      <c r="B529" s="19" t="str">
        <f>IFERROR(VLOOKUP(A529,CLIENTES!A:E,2,0),"CADASTRAR CLIENTE")</f>
        <v>LABORATORIO SAO LUCAS DE BROTAS SS LTDA</v>
      </c>
      <c r="C529" s="60" t="s">
        <v>3</v>
      </c>
      <c r="D529" s="60">
        <v>74698</v>
      </c>
      <c r="E529" s="21">
        <v>2035.45</v>
      </c>
      <c r="F529" s="19"/>
      <c r="G529" s="21"/>
      <c r="H529" s="19"/>
      <c r="I529" s="20">
        <v>45448</v>
      </c>
    </row>
    <row r="530" spans="1:9">
      <c r="A530" s="18">
        <v>3194</v>
      </c>
      <c r="B530" s="19" t="str">
        <f>IFERROR(VLOOKUP(A530,CLIENTES!A:E,2,0),"CADASTRAR CLIENTE")</f>
        <v>CENTRO DE DIAGNOSTICOS CONTROLE LTDA</v>
      </c>
      <c r="C530" s="60" t="s">
        <v>3</v>
      </c>
      <c r="D530" s="60">
        <v>74702</v>
      </c>
      <c r="E530" s="21">
        <v>199</v>
      </c>
      <c r="F530" s="19"/>
      <c r="G530" s="21"/>
      <c r="H530" s="19"/>
      <c r="I530" s="20">
        <v>45448</v>
      </c>
    </row>
    <row r="531" spans="1:9">
      <c r="A531" s="18">
        <v>1971</v>
      </c>
      <c r="B531" s="19" t="str">
        <f>IFERROR(VLOOKUP(A531,CLIENTES!A:E,2,0),"CADASTRAR CLIENTE")</f>
        <v>LABORATORIO POPULAR LAB 7 LTDA</v>
      </c>
      <c r="C531" s="60" t="s">
        <v>3</v>
      </c>
      <c r="D531" s="60">
        <v>74713</v>
      </c>
      <c r="E531" s="21">
        <v>726.96</v>
      </c>
      <c r="F531" s="19"/>
      <c r="G531" s="21"/>
      <c r="H531" s="19"/>
      <c r="I531" s="20">
        <v>45448</v>
      </c>
    </row>
    <row r="532" spans="1:9">
      <c r="A532" s="18">
        <v>1971</v>
      </c>
      <c r="B532" s="19" t="str">
        <f>IFERROR(VLOOKUP(A532,CLIENTES!A:E,2,0),"CADASTRAR CLIENTE")</f>
        <v>LABORATORIO POPULAR LAB 7 LTDA</v>
      </c>
      <c r="C532" s="60" t="s">
        <v>3</v>
      </c>
      <c r="D532" s="60">
        <v>98835</v>
      </c>
      <c r="E532" s="21">
        <v>62.4</v>
      </c>
      <c r="F532" s="19"/>
      <c r="G532" s="21"/>
      <c r="H532" s="19"/>
      <c r="I532" s="20">
        <v>45448</v>
      </c>
    </row>
    <row r="533" spans="1:9">
      <c r="A533" s="18">
        <v>762</v>
      </c>
      <c r="B533" s="19" t="str">
        <f>IFERROR(VLOOKUP(A533,CLIENTES!A:E,2,0),"CADASTRAR CLIENTE")</f>
        <v>STA. CASA MISERICORDIA DE ARACATUBA</v>
      </c>
      <c r="C533" s="60" t="s">
        <v>2</v>
      </c>
      <c r="D533" s="60">
        <v>74762</v>
      </c>
      <c r="E533" s="21">
        <v>4364.7700000000004</v>
      </c>
      <c r="F533" s="19"/>
      <c r="G533" s="21"/>
      <c r="H533" s="19"/>
      <c r="I533" s="20">
        <v>45449</v>
      </c>
    </row>
    <row r="534" spans="1:9">
      <c r="A534" s="18">
        <v>2022</v>
      </c>
      <c r="B534" s="19" t="str">
        <f>IFERROR(VLOOKUP(A534,CLIENTES!A:E,2,0),"CADASTRAR CLIENTE")</f>
        <v>LAB. MEDICO DR. MARICONDI S/C LTDA.</v>
      </c>
      <c r="C534" s="60" t="s">
        <v>3</v>
      </c>
      <c r="D534" s="60">
        <v>74766</v>
      </c>
      <c r="E534" s="21">
        <v>5086.74</v>
      </c>
      <c r="F534" s="19"/>
      <c r="G534" s="21"/>
      <c r="H534" s="19"/>
      <c r="I534" s="20">
        <v>45449</v>
      </c>
    </row>
    <row r="535" spans="1:9">
      <c r="A535" s="18">
        <v>581</v>
      </c>
      <c r="B535" s="19" t="str">
        <f>IFERROR(VLOOKUP(A535,CLIENTES!A:E,2,0),"CADASTRAR CLIENTE")</f>
        <v>CLINILAB LABORAT. ANAL. CLIN SC LTDA</v>
      </c>
      <c r="C535" s="60" t="s">
        <v>3</v>
      </c>
      <c r="D535" s="60">
        <v>98839</v>
      </c>
      <c r="E535" s="21">
        <v>1155.57</v>
      </c>
      <c r="F535" s="19"/>
      <c r="G535" s="21"/>
      <c r="H535" s="19"/>
      <c r="I535" s="20">
        <v>45449</v>
      </c>
    </row>
    <row r="536" spans="1:9">
      <c r="A536" s="18">
        <v>50558</v>
      </c>
      <c r="B536" s="19" t="str">
        <f>IFERROR(VLOOKUP(A536,CLIENTES!A:E,2,0),"CADASTRAR CLIENTE")</f>
        <v>FUNDACAO PAULISTA DE TECNOLOGIA E EDUCACAO</v>
      </c>
      <c r="C536" s="60" t="s">
        <v>2</v>
      </c>
      <c r="D536" s="60">
        <v>72789</v>
      </c>
      <c r="E536" s="21">
        <v>2385</v>
      </c>
      <c r="F536" s="19"/>
      <c r="G536" s="21"/>
      <c r="H536" s="19"/>
      <c r="I536" s="20">
        <v>45450</v>
      </c>
    </row>
    <row r="537" spans="1:9">
      <c r="A537" s="18">
        <v>1533</v>
      </c>
      <c r="B537" s="19" t="str">
        <f>IFERROR(VLOOKUP(A537,CLIENTES!A:E,2,0),"CADASTRAR CLIENTE")</f>
        <v>LABORATORIO BIOANALISE DIAGNOSTICO LTDA</v>
      </c>
      <c r="C537" s="60" t="s">
        <v>3</v>
      </c>
      <c r="D537" s="60">
        <v>74794</v>
      </c>
      <c r="E537" s="21">
        <v>2066.56</v>
      </c>
      <c r="F537" s="19"/>
      <c r="G537" s="21"/>
      <c r="H537" s="19"/>
      <c r="I537" s="20">
        <v>45450</v>
      </c>
    </row>
    <row r="538" spans="1:9">
      <c r="A538" s="18">
        <v>708</v>
      </c>
      <c r="B538" s="19" t="str">
        <f>IFERROR(VLOOKUP(A538,CLIENTES!A:E,2,0),"CADASTRAR CLIENTE")</f>
        <v>IMEDI INST.MEDICO DE PAT.E DIAGNOSTICO SC LTDA.</v>
      </c>
      <c r="C538" s="60" t="s">
        <v>3</v>
      </c>
      <c r="D538" s="60">
        <v>73852</v>
      </c>
      <c r="E538" s="21">
        <v>1015</v>
      </c>
      <c r="F538" s="19"/>
      <c r="G538" s="21"/>
      <c r="H538" s="19"/>
      <c r="I538" s="20">
        <v>45450</v>
      </c>
    </row>
    <row r="539" spans="1:9">
      <c r="A539" s="18">
        <v>432</v>
      </c>
      <c r="B539" s="19" t="str">
        <f>IFERROR(VLOOKUP(A539,CLIENTES!A:E,2,0),"CADASTRAR CLIENTE")</f>
        <v>LABORATORIO PASTEUR HEMATOLOGIA E MICROBIOLOGIA S/S LTDA</v>
      </c>
      <c r="C539" s="60" t="s">
        <v>3</v>
      </c>
      <c r="D539" s="60">
        <v>74724</v>
      </c>
      <c r="E539" s="21">
        <v>1960.55</v>
      </c>
      <c r="F539" s="19"/>
      <c r="G539" s="21"/>
      <c r="H539" s="19"/>
      <c r="I539" s="20">
        <v>45450</v>
      </c>
    </row>
    <row r="540" spans="1:9">
      <c r="A540" s="18">
        <v>3194</v>
      </c>
      <c r="B540" s="19" t="str">
        <f>IFERROR(VLOOKUP(A540,CLIENTES!A:E,2,0),"CADASTRAR CLIENTE")</f>
        <v>CENTRO DE DIAGNOSTICOS CONTROLE LTDA</v>
      </c>
      <c r="C540" s="60" t="s">
        <v>3</v>
      </c>
      <c r="D540" s="60">
        <v>98850</v>
      </c>
      <c r="E540" s="21">
        <v>17.2</v>
      </c>
      <c r="F540" s="19"/>
      <c r="G540" s="21"/>
      <c r="H540" s="19"/>
      <c r="I540" s="20">
        <v>45450</v>
      </c>
    </row>
    <row r="541" spans="1:9">
      <c r="A541" s="18">
        <v>746</v>
      </c>
      <c r="B541" s="19" t="str">
        <f>IFERROR(VLOOKUP(A541,CLIENTES!A:E,2,0),"CADASTRAR CLIENTE")</f>
        <v>LAB.ANAL.CLIN.BIOCLIN SC LTDA.</v>
      </c>
      <c r="C541" s="60" t="s">
        <v>328</v>
      </c>
      <c r="D541" s="60">
        <v>98852</v>
      </c>
      <c r="E541" s="21">
        <v>569.29999999999995</v>
      </c>
      <c r="F541" s="19"/>
      <c r="G541" s="21"/>
      <c r="H541" s="19"/>
      <c r="I541" s="20">
        <v>45453</v>
      </c>
    </row>
    <row r="542" spans="1:9">
      <c r="A542" s="18">
        <v>746</v>
      </c>
      <c r="B542" s="19" t="str">
        <f>IFERROR(VLOOKUP(A542,CLIENTES!A:E,2,0),"CADASTRAR CLIENTE")</f>
        <v>LAB.ANAL.CLIN.BIOCLIN SC LTDA.</v>
      </c>
      <c r="C542" s="60" t="s">
        <v>328</v>
      </c>
      <c r="D542" s="60">
        <v>74836</v>
      </c>
      <c r="E542" s="21">
        <v>2671.09</v>
      </c>
      <c r="F542" s="19"/>
      <c r="G542" s="21"/>
      <c r="H542" s="19"/>
      <c r="I542" s="20">
        <v>45453</v>
      </c>
    </row>
    <row r="543" spans="1:9">
      <c r="A543" s="18">
        <v>1026</v>
      </c>
      <c r="B543" s="19" t="str">
        <f>IFERROR(VLOOKUP(A543,CLIENTES!A:E,2,0),"CADASTRAR CLIENTE")</f>
        <v>LABSC SERVICOS LABORATORIAIS LTDA</v>
      </c>
      <c r="C543" s="60" t="s">
        <v>3</v>
      </c>
      <c r="D543" s="60">
        <v>74390</v>
      </c>
      <c r="E543" s="21">
        <v>2418.2199999999998</v>
      </c>
      <c r="F543" s="19"/>
      <c r="G543" s="21"/>
      <c r="H543" s="19"/>
      <c r="I543" s="20">
        <v>45453</v>
      </c>
    </row>
    <row r="544" spans="1:9">
      <c r="A544" s="18">
        <v>2397</v>
      </c>
      <c r="B544" s="19" t="str">
        <f>IFERROR(VLOOKUP(A544,CLIENTES!A:E,2,0),"CADASTRAR CLIENTE")</f>
        <v>LAB ANAL CLINICAS SANTA RITA S/C LTDA</v>
      </c>
      <c r="C544" s="60" t="s">
        <v>328</v>
      </c>
      <c r="D544" s="60">
        <v>74848</v>
      </c>
      <c r="E544" s="21">
        <v>1136.5</v>
      </c>
      <c r="F544" s="19"/>
      <c r="G544" s="21"/>
      <c r="H544" s="19"/>
      <c r="I544" s="20">
        <v>45453</v>
      </c>
    </row>
    <row r="545" spans="1:9">
      <c r="A545" s="18">
        <v>2911</v>
      </c>
      <c r="B545" s="19" t="str">
        <f>IFERROR(VLOOKUP(A545,CLIENTES!A:E,2,0),"CADASTRAR CLIENTE")</f>
        <v>BIOLIFE-LABORATORIO DE ANALISES CLINICAS LTDA</v>
      </c>
      <c r="C545" s="60" t="s">
        <v>3</v>
      </c>
      <c r="D545" s="60">
        <v>74847</v>
      </c>
      <c r="E545" s="21">
        <v>2045.41</v>
      </c>
      <c r="F545" s="19"/>
      <c r="G545" s="21"/>
      <c r="H545" s="19"/>
      <c r="I545" s="20">
        <v>45453</v>
      </c>
    </row>
    <row r="546" spans="1:9">
      <c r="A546" s="18">
        <v>2911</v>
      </c>
      <c r="B546" s="19" t="str">
        <f>IFERROR(VLOOKUP(A546,CLIENTES!A:E,2,0),"CADASTRAR CLIENTE")</f>
        <v>BIOLIFE-LABORATORIO DE ANALISES CLINICAS LTDA</v>
      </c>
      <c r="C546" s="60" t="s">
        <v>3</v>
      </c>
      <c r="D546" s="60">
        <v>98861</v>
      </c>
      <c r="E546" s="21">
        <v>249.3</v>
      </c>
      <c r="F546" s="19"/>
      <c r="G546" s="21"/>
      <c r="H546" s="19"/>
      <c r="I546" s="20">
        <v>45453</v>
      </c>
    </row>
    <row r="547" spans="1:9">
      <c r="A547" s="18">
        <v>2397</v>
      </c>
      <c r="B547" s="19" t="str">
        <f>IFERROR(VLOOKUP(A547,CLIENTES!A:E,2,0),"CADASTRAR CLIENTE")</f>
        <v>LAB ANAL CLINICAS SANTA RITA S/C LTDA</v>
      </c>
      <c r="C547" s="60" t="s">
        <v>328</v>
      </c>
      <c r="D547" s="60">
        <v>74850</v>
      </c>
      <c r="E547" s="21">
        <v>1136.5</v>
      </c>
      <c r="F547" s="19"/>
      <c r="G547" s="21"/>
      <c r="H547" s="19"/>
      <c r="I547" s="20">
        <v>45453</v>
      </c>
    </row>
    <row r="548" spans="1:9">
      <c r="A548" s="18">
        <v>1206</v>
      </c>
      <c r="B548" s="19" t="str">
        <f>IFERROR(VLOOKUP(A548,CLIENTES!A:E,2,0),"CADASTRAR CLIENTE")</f>
        <v>LABORATORIO RIO NEGRO CENTER DE MARILIA  LTDA</v>
      </c>
      <c r="C548" s="60" t="s">
        <v>3</v>
      </c>
      <c r="D548" s="60">
        <v>74841</v>
      </c>
      <c r="E548" s="21">
        <v>1097.79</v>
      </c>
      <c r="F548" s="19"/>
      <c r="G548" s="21"/>
      <c r="H548" s="19"/>
      <c r="I548" s="20">
        <v>45453</v>
      </c>
    </row>
    <row r="549" spans="1:9">
      <c r="A549" s="18">
        <v>475</v>
      </c>
      <c r="B549" s="19" t="str">
        <f>IFERROR(VLOOKUP(A549,CLIENTES!A:E,2,0),"CADASTRAR CLIENTE")</f>
        <v>LABORATORIO DE ANALISES CLINICAS SRC LTDA</v>
      </c>
      <c r="C549" s="60" t="s">
        <v>3</v>
      </c>
      <c r="D549" s="60">
        <v>74842</v>
      </c>
      <c r="E549" s="21">
        <v>2695.74</v>
      </c>
      <c r="F549" s="19"/>
      <c r="G549" s="21"/>
      <c r="H549" s="19"/>
      <c r="I549" s="20">
        <v>45453</v>
      </c>
    </row>
    <row r="550" spans="1:9">
      <c r="A550" s="18">
        <v>475</v>
      </c>
      <c r="B550" s="19" t="str">
        <f>IFERROR(VLOOKUP(A550,CLIENTES!A:E,2,0),"CADASTRAR CLIENTE")</f>
        <v>LABORATORIO DE ANALISES CLINICAS SRC LTDA</v>
      </c>
      <c r="C550" s="60" t="s">
        <v>3</v>
      </c>
      <c r="D550" s="60">
        <v>98855</v>
      </c>
      <c r="E550" s="21">
        <v>1033.45</v>
      </c>
      <c r="F550" s="19"/>
      <c r="G550" s="21"/>
      <c r="H550" s="19"/>
      <c r="I550" s="20">
        <v>45453</v>
      </c>
    </row>
    <row r="551" spans="1:9">
      <c r="A551" s="18">
        <v>1262</v>
      </c>
      <c r="B551" s="19" t="str">
        <f>IFERROR(VLOOKUP(A551,CLIENTES!A:E,2,0),"CADASTRAR CLIENTE")</f>
        <v>CADASTRAR CLIENTE</v>
      </c>
      <c r="C551" s="60" t="s">
        <v>3</v>
      </c>
      <c r="D551" s="60">
        <v>74869</v>
      </c>
      <c r="E551" s="21">
        <v>936.5</v>
      </c>
      <c r="F551" s="19"/>
      <c r="G551" s="21"/>
      <c r="H551" s="19"/>
      <c r="I551" s="20">
        <v>45453</v>
      </c>
    </row>
    <row r="552" spans="1:9">
      <c r="A552" s="18">
        <v>592</v>
      </c>
      <c r="B552" s="19" t="str">
        <f>IFERROR(VLOOKUP(A552,CLIENTES!A:E,2,0),"CADASTRAR CLIENTE")</f>
        <v>CADASTRAR CLIENTE</v>
      </c>
      <c r="C552" s="60" t="s">
        <v>3</v>
      </c>
      <c r="D552" s="60">
        <v>74874</v>
      </c>
      <c r="E552" s="21">
        <v>498.6</v>
      </c>
      <c r="F552" s="19"/>
      <c r="G552" s="21"/>
      <c r="H552" s="19"/>
      <c r="I552" s="20">
        <v>45453</v>
      </c>
    </row>
    <row r="553" spans="1:9">
      <c r="A553" s="18">
        <v>761</v>
      </c>
      <c r="B553" s="19" t="str">
        <f>IFERROR(VLOOKUP(A553,CLIENTES!A:E,2,0),"CADASTRAR CLIENTE")</f>
        <v>EXAME CENTRO DIAG.M.ARACATUBA SC LTDA.</v>
      </c>
      <c r="C553" s="60" t="s">
        <v>3</v>
      </c>
      <c r="D553" s="60">
        <v>74884</v>
      </c>
      <c r="E553" s="21">
        <v>707.63</v>
      </c>
      <c r="F553" s="19"/>
      <c r="G553" s="21"/>
      <c r="H553" s="19"/>
      <c r="I553" s="20">
        <v>45453</v>
      </c>
    </row>
    <row r="554" spans="1:9">
      <c r="A554" s="18">
        <v>761</v>
      </c>
      <c r="B554" s="19" t="str">
        <f>IFERROR(VLOOKUP(A554,CLIENTES!A:E,2,0),"CADASTRAR CLIENTE")</f>
        <v>EXAME CENTRO DIAG.M.ARACATUBA SC LTDA.</v>
      </c>
      <c r="C554" s="60" t="s">
        <v>3</v>
      </c>
      <c r="D554" s="60">
        <v>98869</v>
      </c>
      <c r="E554" s="21">
        <v>445.05</v>
      </c>
      <c r="F554" s="19"/>
      <c r="G554" s="21"/>
      <c r="H554" s="19"/>
      <c r="I554" s="20">
        <v>45453</v>
      </c>
    </row>
    <row r="555" spans="1:9">
      <c r="A555" s="18">
        <v>50600</v>
      </c>
      <c r="B555" s="19" t="str">
        <f>IFERROR(VLOOKUP(A555,CLIENTES!A:E,2,0),"CADASTRAR CLIENTE")</f>
        <v>CADASTRAR CLIENTE</v>
      </c>
      <c r="C555" s="60" t="s">
        <v>3</v>
      </c>
      <c r="D555" s="60">
        <v>74929</v>
      </c>
      <c r="E555" s="21">
        <v>1131</v>
      </c>
      <c r="F555" s="19"/>
      <c r="G555" s="21"/>
      <c r="H555" s="19"/>
      <c r="I555" s="20">
        <v>45454</v>
      </c>
    </row>
    <row r="556" spans="1:9">
      <c r="A556" s="18">
        <v>3475</v>
      </c>
      <c r="B556" s="19" t="str">
        <f>IFERROR(VLOOKUP(A556,CLIENTES!A:E,2,0),"CADASTRAR CLIENTE")</f>
        <v>LQF LABORATORIO QUIMICO FARMACEUTICO RIO PRETO EIRELI - ME</v>
      </c>
      <c r="C556" s="60" t="s">
        <v>3</v>
      </c>
      <c r="D556" s="60">
        <v>73715</v>
      </c>
      <c r="E556" s="21">
        <v>514.04999999999995</v>
      </c>
      <c r="F556" s="19"/>
      <c r="G556" s="21"/>
      <c r="H556" s="19"/>
      <c r="I556" s="20">
        <v>45455</v>
      </c>
    </row>
    <row r="557" spans="1:9">
      <c r="A557" s="18">
        <v>3077</v>
      </c>
      <c r="B557" s="19" t="str">
        <f>IFERROR(VLOOKUP(A557,CLIENTES!A:E,2,0),"CADASTRAR CLIENTE")</f>
        <v>CBI ANALISES CLINICAS S/S LTDA</v>
      </c>
      <c r="C557" s="60" t="s">
        <v>328</v>
      </c>
      <c r="D557" s="60">
        <v>74966</v>
      </c>
      <c r="E557" s="21">
        <v>476.1</v>
      </c>
      <c r="F557" s="19"/>
      <c r="G557" s="21"/>
      <c r="H557" s="19"/>
      <c r="I557" s="20">
        <v>45455</v>
      </c>
    </row>
    <row r="558" spans="1:9">
      <c r="A558" s="18">
        <v>1164</v>
      </c>
      <c r="B558" s="19" t="str">
        <f>IFERROR(VLOOKUP(A558,CLIENTES!A:E,2,0),"CADASTRAR CLIENTE")</f>
        <v>LAB. ANAL. CLIN. SAO LOURENCO S/C LTDA</v>
      </c>
      <c r="C558" s="60" t="s">
        <v>328</v>
      </c>
      <c r="D558" s="60">
        <v>74968</v>
      </c>
      <c r="E558" s="21">
        <v>731.4</v>
      </c>
      <c r="F558" s="19"/>
      <c r="G558" s="21"/>
      <c r="H558" s="19"/>
      <c r="I558" s="20">
        <v>45455</v>
      </c>
    </row>
    <row r="559" spans="1:9">
      <c r="A559" s="18">
        <v>1164</v>
      </c>
      <c r="B559" s="19" t="str">
        <f>IFERROR(VLOOKUP(A559,CLIENTES!A:E,2,0),"CADASTRAR CLIENTE")</f>
        <v>LAB. ANAL. CLIN. SAO LOURENCO S/C LTDA</v>
      </c>
      <c r="C559" s="60" t="s">
        <v>328</v>
      </c>
      <c r="D559" s="60">
        <v>98889</v>
      </c>
      <c r="E559" s="21">
        <v>142.25</v>
      </c>
      <c r="F559" s="19"/>
      <c r="G559" s="21"/>
      <c r="H559" s="19"/>
      <c r="I559" s="20">
        <v>45455</v>
      </c>
    </row>
    <row r="560" spans="1:9">
      <c r="A560" s="18">
        <v>2022</v>
      </c>
      <c r="B560" s="19" t="str">
        <f>IFERROR(VLOOKUP(A560,CLIENTES!A:E,2,0),"CADASTRAR CLIENTE")</f>
        <v>LAB. MEDICO DR. MARICONDI S/C LTDA.</v>
      </c>
      <c r="C560" s="60" t="s">
        <v>3</v>
      </c>
      <c r="D560" s="60">
        <v>74995</v>
      </c>
      <c r="E560" s="21">
        <v>1199.44</v>
      </c>
      <c r="F560" s="19"/>
      <c r="G560" s="21"/>
      <c r="H560" s="19"/>
      <c r="I560" s="20">
        <v>45455</v>
      </c>
    </row>
    <row r="561" spans="1:9">
      <c r="A561" s="18">
        <v>1726</v>
      </c>
      <c r="B561" s="19" t="str">
        <f>IFERROR(VLOOKUP(A561,CLIENTES!A:E,2,0),"CADASTRAR CLIENTE")</f>
        <v>IRMANDADE DA SANTA CASA DE MISERIC. DE MOGI MIRIM</v>
      </c>
      <c r="C561" s="60" t="s">
        <v>2</v>
      </c>
      <c r="D561" s="60">
        <v>75011</v>
      </c>
      <c r="E561" s="21">
        <v>317.2</v>
      </c>
      <c r="F561" s="19"/>
      <c r="G561" s="21"/>
      <c r="H561" s="19"/>
      <c r="I561" s="20">
        <v>45456</v>
      </c>
    </row>
    <row r="562" spans="1:9">
      <c r="A562" s="18">
        <v>475</v>
      </c>
      <c r="B562" s="19" t="str">
        <f>IFERROR(VLOOKUP(A562,CLIENTES!A:E,2,0),"CADASTRAR CLIENTE")</f>
        <v>LABORATORIO DE ANALISES CLINICAS SRC LTDA</v>
      </c>
      <c r="C562" s="60" t="s">
        <v>3</v>
      </c>
      <c r="D562" s="60">
        <v>75003</v>
      </c>
      <c r="E562" s="21">
        <v>5424.39</v>
      </c>
      <c r="F562" s="19"/>
      <c r="G562" s="21"/>
      <c r="H562" s="19"/>
      <c r="I562" s="20">
        <v>45456</v>
      </c>
    </row>
    <row r="563" spans="1:9">
      <c r="A563" s="18">
        <v>50219</v>
      </c>
      <c r="B563" s="19" t="str">
        <f>IFERROR(VLOOKUP(A563,CLIENTES!A:E,2,0),"CADASTRAR CLIENTE")</f>
        <v>UNIPREV LAB DE ANALISES LOCACAO DE BENS E REPAROS LTDA EPP</v>
      </c>
      <c r="C563" s="60" t="s">
        <v>3</v>
      </c>
      <c r="D563" s="60">
        <v>74607</v>
      </c>
      <c r="E563" s="21">
        <v>134</v>
      </c>
      <c r="F563" s="19"/>
      <c r="G563" s="21"/>
      <c r="H563" s="19"/>
      <c r="I563" s="20">
        <v>45456</v>
      </c>
    </row>
    <row r="564" spans="1:9">
      <c r="A564" s="18">
        <v>1493</v>
      </c>
      <c r="B564" s="19" t="str">
        <f>IFERROR(VLOOKUP(A564,CLIENTES!A:E,2,0),"CADASTRAR CLIENTE")</f>
        <v>CEDIMA  CENTRO DE DIAG MONTE AZUL ANAL CLIN E CIT</v>
      </c>
      <c r="C564" s="60" t="s">
        <v>328</v>
      </c>
      <c r="D564" s="60">
        <v>74726</v>
      </c>
      <c r="E564" s="21">
        <v>1010.49</v>
      </c>
      <c r="F564" s="19"/>
      <c r="G564" s="21"/>
      <c r="H564" s="19"/>
      <c r="I564" s="20">
        <v>45456</v>
      </c>
    </row>
    <row r="565" spans="1:9">
      <c r="A565" s="18">
        <v>475</v>
      </c>
      <c r="B565" s="19" t="str">
        <f>IFERROR(VLOOKUP(A565,CLIENTES!A:E,2,0),"CADASTRAR CLIENTE")</f>
        <v>LABORATORIO DE ANALISES CLINICAS SRC LTDA</v>
      </c>
      <c r="C565" s="60" t="s">
        <v>3</v>
      </c>
      <c r="D565" s="60">
        <v>75011</v>
      </c>
      <c r="E565" s="21">
        <v>317.2</v>
      </c>
      <c r="F565" s="19"/>
      <c r="G565" s="21"/>
      <c r="H565" s="19"/>
      <c r="I565" s="20">
        <v>45456</v>
      </c>
    </row>
    <row r="566" spans="1:9">
      <c r="A566" s="18">
        <v>311</v>
      </c>
      <c r="B566" s="19" t="str">
        <f>IFERROR(VLOOKUP(A566,CLIENTES!A:E,2,0),"CADASTRAR CLIENTE")</f>
        <v>CENTRO DE ANAL.CLIN. UNILAB  SC LTDA.</v>
      </c>
      <c r="C566" s="60" t="s">
        <v>3</v>
      </c>
      <c r="D566" s="60">
        <v>98882</v>
      </c>
      <c r="E566" s="21">
        <v>376.7</v>
      </c>
      <c r="F566" s="19"/>
      <c r="G566" s="21"/>
      <c r="H566" s="19"/>
      <c r="I566" s="20">
        <v>45457</v>
      </c>
    </row>
    <row r="567" spans="1:9">
      <c r="A567" s="18">
        <v>311</v>
      </c>
      <c r="B567" s="19" t="str">
        <f>IFERROR(VLOOKUP(A567,CLIENTES!A:E,2,0),"CADASTRAR CLIENTE")</f>
        <v>CENTRO DE ANAL.CLIN. UNILAB  SC LTDA.</v>
      </c>
      <c r="C567" s="60" t="s">
        <v>3</v>
      </c>
      <c r="D567" s="60">
        <v>74921</v>
      </c>
      <c r="E567" s="21">
        <v>2829.95</v>
      </c>
      <c r="F567" s="19"/>
      <c r="G567" s="21"/>
      <c r="H567" s="19"/>
      <c r="I567" s="20">
        <v>45457</v>
      </c>
    </row>
    <row r="568" spans="1:9">
      <c r="A568" s="18">
        <v>746</v>
      </c>
      <c r="B568" s="19" t="str">
        <f>IFERROR(VLOOKUP(A568,CLIENTES!A:E,2,0),"CADASTRAR CLIENTE")</f>
        <v>LAB.ANAL.CLIN.BIOCLIN SC LTDA.</v>
      </c>
      <c r="C568" s="60" t="s">
        <v>3</v>
      </c>
      <c r="D568" s="60">
        <v>98912</v>
      </c>
      <c r="E568" s="21">
        <v>59.25</v>
      </c>
      <c r="F568" s="19"/>
      <c r="G568" s="21"/>
      <c r="H568" s="19"/>
      <c r="I568" s="20">
        <v>45457</v>
      </c>
    </row>
    <row r="569" spans="1:9">
      <c r="A569" s="18">
        <v>960</v>
      </c>
      <c r="B569" s="19" t="str">
        <f>IFERROR(VLOOKUP(A569,CLIENTES!A:E,2,0),"CADASTRAR CLIENTE")</f>
        <v>LUIS VALERIO FILHO-ME</v>
      </c>
      <c r="C569" s="60" t="s">
        <v>3</v>
      </c>
      <c r="D569" s="60">
        <v>75008</v>
      </c>
      <c r="E569" s="21">
        <v>478.2</v>
      </c>
      <c r="F569" s="19"/>
      <c r="G569" s="21"/>
      <c r="H569" s="19"/>
      <c r="I569" s="20">
        <v>45457</v>
      </c>
    </row>
    <row r="570" spans="1:9">
      <c r="A570" s="18">
        <v>960</v>
      </c>
      <c r="B570" s="19" t="str">
        <f>IFERROR(VLOOKUP(A570,CLIENTES!A:E,2,0),"CADASTRAR CLIENTE")</f>
        <v>LUIS VALERIO FILHO-ME</v>
      </c>
      <c r="C570" s="60" t="s">
        <v>3</v>
      </c>
      <c r="D570" s="60">
        <v>98905</v>
      </c>
      <c r="E570" s="21">
        <v>536.62</v>
      </c>
      <c r="F570" s="19"/>
      <c r="G570" s="21"/>
      <c r="H570" s="19"/>
      <c r="I570" s="20">
        <v>45457</v>
      </c>
    </row>
    <row r="571" spans="1:9">
      <c r="A571" s="18">
        <v>687</v>
      </c>
      <c r="B571" s="19" t="str">
        <f>IFERROR(VLOOKUP(A571,CLIENTES!A:E,2,0),"CADASTRAR CLIENTE")</f>
        <v>LAB ANAL CLIN VENDRAMINI S/S LTDA</v>
      </c>
      <c r="C571" s="60" t="s">
        <v>3</v>
      </c>
      <c r="D571" s="60">
        <v>75067</v>
      </c>
      <c r="E571" s="21">
        <v>503.4</v>
      </c>
      <c r="F571" s="19"/>
      <c r="G571" s="21"/>
      <c r="H571" s="19"/>
      <c r="I571" s="20">
        <v>45457</v>
      </c>
    </row>
    <row r="572" spans="1:9">
      <c r="A572" s="18">
        <v>325</v>
      </c>
      <c r="B572" s="19" t="str">
        <f>IFERROR(VLOOKUP(A572,CLIENTES!A:E,2,0),"CADASTRAR CLIENTE")</f>
        <v>EXAME-LABORAT. DE ANAL. CLIN. CITODIAGNOSTICO S/S LTDA</v>
      </c>
      <c r="C572" s="60" t="s">
        <v>3</v>
      </c>
      <c r="D572" s="60">
        <v>75072</v>
      </c>
      <c r="E572" s="21">
        <v>1752.4</v>
      </c>
      <c r="F572" s="19"/>
      <c r="G572" s="21"/>
      <c r="H572" s="19"/>
      <c r="I572" s="20">
        <v>45457</v>
      </c>
    </row>
    <row r="573" spans="1:9">
      <c r="A573" s="18">
        <v>325</v>
      </c>
      <c r="B573" s="19" t="str">
        <f>IFERROR(VLOOKUP(A573,CLIENTES!A:E,2,0),"CADASTRAR CLIENTE")</f>
        <v>EXAME-LABORAT. DE ANAL. CLIN. CITODIAGNOSTICO S/S LTDA</v>
      </c>
      <c r="C573" s="60" t="s">
        <v>3</v>
      </c>
      <c r="D573" s="60">
        <v>98911</v>
      </c>
      <c r="E573" s="21">
        <v>365.9</v>
      </c>
      <c r="F573" s="19"/>
      <c r="G573" s="21"/>
      <c r="H573" s="19"/>
      <c r="I573" s="20">
        <v>45457</v>
      </c>
    </row>
    <row r="574" spans="1:9">
      <c r="A574" s="18">
        <v>1616</v>
      </c>
      <c r="B574" s="19" t="str">
        <f>IFERROR(VLOOKUP(A574,CLIENTES!A:E,2,0),"CADASTRAR CLIENTE")</f>
        <v>NOVO HORIZONTE LAB.ANAL.CLIN.S/C LTDA.</v>
      </c>
      <c r="C574" s="60" t="s">
        <v>3</v>
      </c>
      <c r="D574" s="60">
        <v>74771</v>
      </c>
      <c r="E574" s="21">
        <v>1095</v>
      </c>
      <c r="F574" s="19"/>
      <c r="G574" s="21"/>
      <c r="H574" s="19"/>
      <c r="I574" s="20">
        <v>45460</v>
      </c>
    </row>
    <row r="575" spans="1:9">
      <c r="A575" s="18">
        <v>1533</v>
      </c>
      <c r="B575" s="19" t="str">
        <f>IFERROR(VLOOKUP(A575,CLIENTES!A:E,2,0),"CADASTRAR CLIENTE")</f>
        <v>LABORATORIO BIOANALISE DIAGNOSTICO LTDA</v>
      </c>
      <c r="C575" s="60" t="s">
        <v>3</v>
      </c>
      <c r="D575" s="60">
        <v>75104</v>
      </c>
      <c r="E575" s="21">
        <v>377.7</v>
      </c>
      <c r="F575" s="19"/>
      <c r="G575" s="21"/>
      <c r="H575" s="19"/>
      <c r="I575" s="20">
        <v>45460</v>
      </c>
    </row>
    <row r="576" spans="1:9">
      <c r="A576" s="18">
        <v>874</v>
      </c>
      <c r="B576" s="19" t="str">
        <f>IFERROR(VLOOKUP(A576,CLIENTES!A:E,2,0),"CADASTRAR CLIENTE")</f>
        <v>LAB.ANAL.CLIN ABI JAUDI SC LTDA.</v>
      </c>
      <c r="C576" s="60" t="s">
        <v>3</v>
      </c>
      <c r="D576" s="60">
        <v>75109</v>
      </c>
      <c r="E576" s="21">
        <v>647.08000000000004</v>
      </c>
      <c r="F576" s="19"/>
      <c r="G576" s="21"/>
      <c r="H576" s="19"/>
      <c r="I576" s="20">
        <v>45460</v>
      </c>
    </row>
    <row r="577" spans="1:9">
      <c r="A577" s="18">
        <v>463</v>
      </c>
      <c r="B577" s="19" t="str">
        <f>IFERROR(VLOOKUP(A577,CLIENTES!A:E,2,0),"CADASTRAR CLIENTE")</f>
        <v>MASUDA &amp; MASUDA LABORATORIO CLINICO LTDA</v>
      </c>
      <c r="C577" s="60" t="s">
        <v>3</v>
      </c>
      <c r="D577" s="60">
        <v>75112</v>
      </c>
      <c r="E577" s="21">
        <v>1583.65</v>
      </c>
      <c r="F577" s="19"/>
      <c r="G577" s="21"/>
      <c r="H577" s="19"/>
      <c r="I577" s="20">
        <v>45460</v>
      </c>
    </row>
    <row r="578" spans="1:9">
      <c r="A578" s="18">
        <v>1616</v>
      </c>
      <c r="B578" s="19" t="str">
        <f>IFERROR(VLOOKUP(A578,CLIENTES!A:E,2,0),"CADASTRAR CLIENTE")</f>
        <v>NOVO HORIZONTE LAB.ANAL.CLIN.S/C LTDA.</v>
      </c>
      <c r="C578" s="60" t="s">
        <v>3</v>
      </c>
      <c r="D578" s="60">
        <v>98916</v>
      </c>
      <c r="E578" s="21">
        <v>91.46</v>
      </c>
      <c r="F578" s="19"/>
      <c r="G578" s="21"/>
      <c r="H578" s="19"/>
      <c r="I578" s="20">
        <v>45460</v>
      </c>
    </row>
    <row r="579" spans="1:9">
      <c r="A579" s="18">
        <v>50465</v>
      </c>
      <c r="B579" s="19" t="str">
        <f>IFERROR(VLOOKUP(A579,CLIENTES!A:E,2,0),"CADASTRAR CLIENTE")</f>
        <v>LABORATORIO DE ANALISES CLINICAS VIDA BIRIGUI LTDA</v>
      </c>
      <c r="C579" s="60" t="s">
        <v>3</v>
      </c>
      <c r="D579" s="60">
        <v>75018</v>
      </c>
      <c r="E579" s="21">
        <v>576.4</v>
      </c>
      <c r="F579" s="19"/>
      <c r="G579" s="21"/>
      <c r="H579" s="19"/>
      <c r="I579" s="20">
        <v>45460</v>
      </c>
    </row>
    <row r="580" spans="1:9">
      <c r="A580" s="18">
        <v>756</v>
      </c>
      <c r="B580" s="19" t="str">
        <f>IFERROR(VLOOKUP(A580,CLIENTES!A:E,2,0),"CADASTRAR CLIENTE")</f>
        <v>LAB.TRIANON DE ANAL.CLIN.SC LTDA.</v>
      </c>
      <c r="C580" s="60" t="s">
        <v>3</v>
      </c>
      <c r="D580" s="60">
        <v>98921</v>
      </c>
      <c r="E580" s="21">
        <v>123.48</v>
      </c>
      <c r="F580" s="19"/>
      <c r="G580" s="21"/>
      <c r="H580" s="19"/>
      <c r="I580" s="20">
        <v>45460</v>
      </c>
    </row>
    <row r="581" spans="1:9">
      <c r="A581" s="18">
        <v>756</v>
      </c>
      <c r="B581" s="19" t="str">
        <f>IFERROR(VLOOKUP(A581,CLIENTES!A:E,2,0),"CADASTRAR CLIENTE")</f>
        <v>LAB.TRIANON DE ANAL.CLIN.SC LTDA.</v>
      </c>
      <c r="C581" s="60" t="s">
        <v>3</v>
      </c>
      <c r="D581" s="60">
        <v>75127</v>
      </c>
      <c r="E581" s="21">
        <v>6750.12</v>
      </c>
      <c r="F581" s="19"/>
      <c r="G581" s="21"/>
      <c r="H581" s="19"/>
      <c r="I581" s="20">
        <v>45460</v>
      </c>
    </row>
    <row r="582" spans="1:9">
      <c r="A582" s="18">
        <v>2980</v>
      </c>
      <c r="B582" s="19" t="str">
        <f>IFERROR(VLOOKUP(A582,CLIENTES!A:E,2,0),"CADASTRAR CLIENTE")</f>
        <v>ALMEIDA &amp; FLAITT LABORATORIOS DE ANALISES CLINICAS LTDA</v>
      </c>
      <c r="C582" s="60" t="s">
        <v>3</v>
      </c>
      <c r="D582" s="60">
        <v>74907</v>
      </c>
      <c r="E582" s="21">
        <v>1480.6</v>
      </c>
      <c r="F582" s="19"/>
      <c r="G582" s="21"/>
      <c r="H582" s="19"/>
      <c r="I582" s="20">
        <v>45460</v>
      </c>
    </row>
    <row r="583" spans="1:9">
      <c r="A583" s="18">
        <v>50576</v>
      </c>
      <c r="B583" s="19" t="str">
        <f>IFERROR(VLOOKUP(A583,CLIENTES!A:E,2,0),"CADASTRAR CLIENTE")</f>
        <v>ANDRIAO CANEPPA E SILVA LTDA ME</v>
      </c>
      <c r="C583" s="60" t="s">
        <v>3</v>
      </c>
      <c r="D583" s="60">
        <v>75131</v>
      </c>
      <c r="E583" s="21">
        <v>2429.2800000000002</v>
      </c>
      <c r="F583" s="19"/>
      <c r="G583" s="21"/>
      <c r="H583" s="19"/>
      <c r="I583" s="20">
        <v>45460</v>
      </c>
    </row>
    <row r="584" spans="1:9">
      <c r="A584" s="18">
        <v>50526</v>
      </c>
      <c r="B584" s="19" t="str">
        <f>IFERROR(VLOOKUP(A584,CLIENTES!A:E,2,0),"CADASTRAR CLIENTE")</f>
        <v>MURILO RIGOTTO TERRASSI</v>
      </c>
      <c r="C584" s="60" t="s">
        <v>3</v>
      </c>
      <c r="D584" s="60">
        <v>98924</v>
      </c>
      <c r="E584" s="21">
        <v>522.4</v>
      </c>
      <c r="F584" s="19"/>
      <c r="G584" s="21"/>
      <c r="H584" s="19"/>
      <c r="I584" s="20">
        <v>45460</v>
      </c>
    </row>
    <row r="585" spans="1:9">
      <c r="A585" s="18">
        <v>475</v>
      </c>
      <c r="B585" s="19" t="str">
        <f>IFERROR(VLOOKUP(A585,CLIENTES!A:E,2,0),"CADASTRAR CLIENTE")</f>
        <v>LABORATORIO DE ANALISES CLINICAS SRC LTDA</v>
      </c>
      <c r="C585" s="60" t="s">
        <v>3</v>
      </c>
      <c r="D585" s="60">
        <v>98925</v>
      </c>
      <c r="E585" s="21">
        <v>412.93</v>
      </c>
      <c r="F585" s="19"/>
      <c r="G585" s="21"/>
      <c r="H585" s="19"/>
      <c r="I585" s="20">
        <v>45460</v>
      </c>
    </row>
    <row r="586" spans="1:9">
      <c r="A586" s="18">
        <v>761</v>
      </c>
      <c r="B586" s="19" t="str">
        <f>IFERROR(VLOOKUP(A586,CLIENTES!A:E,2,0),"CADASTRAR CLIENTE")</f>
        <v>EXAME CENTRO DIAG.M.ARACATUBA SC LTDA.</v>
      </c>
      <c r="C586" s="60" t="s">
        <v>3</v>
      </c>
      <c r="D586" s="60">
        <v>98927</v>
      </c>
      <c r="E586" s="21">
        <v>172</v>
      </c>
      <c r="F586" s="19"/>
      <c r="G586" s="21"/>
      <c r="H586" s="19"/>
      <c r="I586" s="20">
        <v>45461</v>
      </c>
    </row>
    <row r="587" spans="1:9">
      <c r="A587" s="18">
        <v>761</v>
      </c>
      <c r="B587" s="19" t="str">
        <f>IFERROR(VLOOKUP(A587,CLIENTES!A:E,2,0),"CADASTRAR CLIENTE")</f>
        <v>EXAME CENTRO DIAG.M.ARACATUBA SC LTDA.</v>
      </c>
      <c r="C587" s="60" t="s">
        <v>3</v>
      </c>
      <c r="D587" s="60">
        <v>75156</v>
      </c>
      <c r="E587" s="21">
        <v>160</v>
      </c>
      <c r="F587" s="19"/>
      <c r="G587" s="21"/>
      <c r="H587" s="19"/>
      <c r="I587" s="20">
        <v>45461</v>
      </c>
    </row>
    <row r="588" spans="1:9">
      <c r="A588" s="18">
        <v>500005</v>
      </c>
      <c r="B588" s="19" t="str">
        <f>IFERROR(VLOOKUP(A588,CLIENTES!A:E,2,0),"CADASTRAR CLIENTE")</f>
        <v>ASSOCIACAO EDUCACIONAL DE ENSINO SUPERIOR</v>
      </c>
      <c r="C588" s="60" t="s">
        <v>3</v>
      </c>
      <c r="D588" s="60">
        <v>75184</v>
      </c>
      <c r="E588" s="21">
        <v>4960</v>
      </c>
      <c r="F588" s="19">
        <v>3</v>
      </c>
      <c r="G588" s="21">
        <v>4960</v>
      </c>
      <c r="H588" s="19"/>
      <c r="I588" s="20">
        <v>45462</v>
      </c>
    </row>
    <row r="589" spans="1:9">
      <c r="A589" s="18">
        <v>3077</v>
      </c>
      <c r="B589" s="19" t="str">
        <f>IFERROR(VLOOKUP(A589,CLIENTES!A:E,2,0),"CADASTRAR CLIENTE")</f>
        <v>CBI ANALISES CLINICAS S/S LTDA</v>
      </c>
      <c r="C589" s="60" t="s">
        <v>3</v>
      </c>
      <c r="D589" s="60">
        <v>75188</v>
      </c>
      <c r="E589" s="21">
        <v>7990</v>
      </c>
      <c r="F589" s="19">
        <v>1</v>
      </c>
      <c r="G589" s="21">
        <v>7990</v>
      </c>
      <c r="H589" s="19"/>
      <c r="I589" s="20">
        <v>45462</v>
      </c>
    </row>
    <row r="590" spans="1:9">
      <c r="A590" s="18">
        <v>516</v>
      </c>
      <c r="B590" s="19" t="str">
        <f>IFERROR(VLOOKUP(A590,CLIENTES!A:E,2,0),"CADASTRAR CLIENTE")</f>
        <v>TECNOLAB PATOLOGIA CLINICA S/C LTDA</v>
      </c>
      <c r="C590" s="60" t="s">
        <v>3</v>
      </c>
      <c r="D590" s="60">
        <v>75186</v>
      </c>
      <c r="E590" s="21">
        <v>8318.92</v>
      </c>
      <c r="F590" s="19"/>
      <c r="G590" s="21"/>
      <c r="H590" s="19"/>
      <c r="I590" s="20">
        <v>45462</v>
      </c>
    </row>
    <row r="591" spans="1:9">
      <c r="A591" s="18">
        <v>3032</v>
      </c>
      <c r="B591" s="19" t="str">
        <f>IFERROR(VLOOKUP(A591,CLIENTES!A:E,2,0),"CADASTRAR CLIENTE")</f>
        <v>CADASTRAR CLIENTE</v>
      </c>
      <c r="C591" s="60" t="s">
        <v>3</v>
      </c>
      <c r="D591" s="60">
        <v>75196</v>
      </c>
      <c r="E591" s="21">
        <v>220</v>
      </c>
      <c r="F591" s="19"/>
      <c r="G591" s="21"/>
      <c r="H591" s="19"/>
      <c r="I591" s="20">
        <v>45462</v>
      </c>
    </row>
    <row r="592" spans="1:9">
      <c r="A592" s="18">
        <v>690</v>
      </c>
      <c r="B592" s="19" t="str">
        <f>IFERROR(VLOOKUP(A592,CLIENTES!A:E,2,0),"CADASTRAR CLIENTE")</f>
        <v>SAO ROQUE MEDICINA DIAGNOSTICA LTDA EPP</v>
      </c>
      <c r="C592" s="60" t="s">
        <v>3</v>
      </c>
      <c r="D592" s="60">
        <v>74370</v>
      </c>
      <c r="E592" s="21">
        <v>189</v>
      </c>
      <c r="F592" s="19"/>
      <c r="G592" s="21"/>
      <c r="H592" s="19"/>
      <c r="I592" s="20">
        <v>45462</v>
      </c>
    </row>
    <row r="593" spans="1:9">
      <c r="A593" s="18">
        <v>50554</v>
      </c>
      <c r="B593" s="19" t="str">
        <f>IFERROR(VLOOKUP(A593,CLIENTES!A:E,2,0),"CADASTRAR CLIENTE")</f>
        <v>SAO ROQUE MEDICINA DIAGNOSTICA</v>
      </c>
      <c r="C593" s="60" t="s">
        <v>3</v>
      </c>
      <c r="D593" s="60">
        <v>74371</v>
      </c>
      <c r="E593" s="21">
        <v>189</v>
      </c>
      <c r="F593" s="19"/>
      <c r="G593" s="21"/>
      <c r="H593" s="19"/>
      <c r="I593" s="20">
        <v>45462</v>
      </c>
    </row>
    <row r="594" spans="1:9">
      <c r="A594" s="18">
        <v>1989</v>
      </c>
      <c r="B594" s="19" t="str">
        <f>IFERROR(VLOOKUP(A594,CLIENTES!A:E,2,0),"CADASTRAR CLIENTE")</f>
        <v>SAO FRANCISCO ANAL. CLIN.</v>
      </c>
      <c r="C594" s="60" t="s">
        <v>3</v>
      </c>
      <c r="D594" s="60">
        <v>74373</v>
      </c>
      <c r="E594" s="21">
        <v>606.12</v>
      </c>
      <c r="F594" s="19"/>
      <c r="G594" s="21"/>
      <c r="H594" s="19"/>
      <c r="I594" s="20">
        <v>45462</v>
      </c>
    </row>
    <row r="595" spans="1:9">
      <c r="A595" s="18">
        <v>544</v>
      </c>
      <c r="B595" s="19" t="str">
        <f>IFERROR(VLOOKUP(A595,CLIENTES!A:E,2,0),"CADASTRAR CLIENTE")</f>
        <v>CADASTRAR CLIENTE</v>
      </c>
      <c r="C595" s="60" t="s">
        <v>3</v>
      </c>
      <c r="D595" s="60">
        <v>75179</v>
      </c>
      <c r="E595" s="21">
        <v>706.6</v>
      </c>
      <c r="F595" s="19"/>
      <c r="G595" s="21"/>
      <c r="H595" s="19"/>
      <c r="I595" s="20">
        <v>45462</v>
      </c>
    </row>
    <row r="596" spans="1:9">
      <c r="A596" s="18">
        <v>3017</v>
      </c>
      <c r="B596" s="19" t="str">
        <f>IFERROR(VLOOKUP(A596,CLIENTES!A:E,2,0),"CADASTRAR CLIENTE")</f>
        <v>IMUNOLAB LABORATORIO DE ANALISES CLINICAS LTDA ME</v>
      </c>
      <c r="C596" s="60" t="s">
        <v>3</v>
      </c>
      <c r="D596" s="60">
        <v>75207</v>
      </c>
      <c r="E596" s="21">
        <v>1425.1</v>
      </c>
      <c r="F596" s="19"/>
      <c r="G596" s="21"/>
      <c r="H596" s="19"/>
      <c r="I596" s="20">
        <v>45462</v>
      </c>
    </row>
    <row r="597" spans="1:9">
      <c r="A597" s="18">
        <v>575</v>
      </c>
      <c r="B597" s="19" t="str">
        <f>IFERROR(VLOOKUP(A597,CLIENTES!A:E,2,0),"CADASTRAR CLIENTE")</f>
        <v>DR MUNHOZ HOSPITAL VETERINARIO E PET SHOP</v>
      </c>
      <c r="C597" s="60" t="s">
        <v>328</v>
      </c>
      <c r="D597" s="60">
        <v>75215</v>
      </c>
      <c r="E597" s="21">
        <v>258.73</v>
      </c>
      <c r="F597" s="19"/>
      <c r="G597" s="21"/>
      <c r="H597" s="19"/>
      <c r="I597" s="20">
        <v>45462</v>
      </c>
    </row>
    <row r="598" spans="1:9">
      <c r="A598" s="18">
        <v>575</v>
      </c>
      <c r="B598" s="19" t="str">
        <f>IFERROR(VLOOKUP(A598,CLIENTES!A:E,2,0),"CADASTRAR CLIENTE")</f>
        <v>DR MUNHOZ HOSPITAL VETERINARIO E PET SHOP</v>
      </c>
      <c r="C598" s="60" t="s">
        <v>328</v>
      </c>
      <c r="D598" s="60">
        <v>98934</v>
      </c>
      <c r="E598" s="21">
        <v>108</v>
      </c>
      <c r="F598" s="19"/>
      <c r="G598" s="21"/>
      <c r="H598" s="19"/>
      <c r="I598" s="20">
        <v>45462</v>
      </c>
    </row>
    <row r="599" spans="1:9">
      <c r="A599" s="18">
        <v>1813</v>
      </c>
      <c r="B599" s="19" t="str">
        <f>IFERROR(VLOOKUP(A599,CLIENTES!A:E,2,0),"CADASTRAR CLIENTE")</f>
        <v>BIOMED LAB.ANAL.CLIN. SC  LTDA</v>
      </c>
      <c r="C599" s="60" t="s">
        <v>328</v>
      </c>
      <c r="D599" s="60">
        <v>75229</v>
      </c>
      <c r="E599" s="21">
        <v>1830.35</v>
      </c>
      <c r="F599" s="19"/>
      <c r="G599" s="21"/>
      <c r="H599" s="19"/>
      <c r="I599" s="20">
        <v>45463</v>
      </c>
    </row>
    <row r="600" spans="1:9">
      <c r="A600" s="18">
        <v>2192</v>
      </c>
      <c r="B600" s="19" t="str">
        <f>IFERROR(VLOOKUP(A600,CLIENTES!A:E,2,0),"CADASTRAR CLIENTE")</f>
        <v>CADASTRAR CLIENTE</v>
      </c>
      <c r="C600" s="60" t="s">
        <v>3</v>
      </c>
      <c r="D600" s="60">
        <v>75218</v>
      </c>
      <c r="E600" s="21">
        <v>2541.13</v>
      </c>
      <c r="F600" s="19"/>
      <c r="G600" s="21"/>
      <c r="H600" s="19"/>
      <c r="I600" s="20">
        <v>45463</v>
      </c>
    </row>
    <row r="601" spans="1:9">
      <c r="A601" s="18">
        <v>1164</v>
      </c>
      <c r="B601" s="19" t="str">
        <f>IFERROR(VLOOKUP(A601,CLIENTES!A:E,2,0),"CADASTRAR CLIENTE")</f>
        <v>LAB. ANAL. CLIN. SAO LOURENCO S/C LTDA</v>
      </c>
      <c r="C601" s="60" t="s">
        <v>3</v>
      </c>
      <c r="D601" s="60">
        <v>75255</v>
      </c>
      <c r="E601" s="21">
        <v>1330.57</v>
      </c>
      <c r="F601" s="19"/>
      <c r="G601" s="21"/>
      <c r="H601" s="19"/>
      <c r="I601" s="20">
        <v>45463</v>
      </c>
    </row>
    <row r="602" spans="1:9">
      <c r="A602" s="18">
        <v>1164</v>
      </c>
      <c r="B602" s="19" t="str">
        <f>IFERROR(VLOOKUP(A602,CLIENTES!A:E,2,0),"CADASTRAR CLIENTE")</f>
        <v>LAB. ANAL. CLIN. SAO LOURENCO S/C LTDA</v>
      </c>
      <c r="C602" s="60" t="s">
        <v>3</v>
      </c>
      <c r="D602" s="60">
        <v>98944</v>
      </c>
      <c r="E602" s="21">
        <v>88.89</v>
      </c>
      <c r="F602" s="19"/>
      <c r="G602" s="21"/>
      <c r="H602" s="19"/>
      <c r="I602" s="20">
        <v>45463</v>
      </c>
    </row>
    <row r="603" spans="1:9">
      <c r="A603" s="18">
        <v>756</v>
      </c>
      <c r="B603" s="19" t="str">
        <f>IFERROR(VLOOKUP(A603,CLIENTES!A:E,2,0),"CADASTRAR CLIENTE")</f>
        <v>LAB.TRIANON DE ANAL.CLIN.SC LTDA.</v>
      </c>
      <c r="C603" s="60" t="s">
        <v>3</v>
      </c>
      <c r="D603" s="60">
        <v>75275</v>
      </c>
      <c r="E603" s="21">
        <v>170</v>
      </c>
      <c r="F603" s="19"/>
      <c r="G603" s="21"/>
      <c r="H603" s="19"/>
      <c r="I603" s="20">
        <v>45463</v>
      </c>
    </row>
    <row r="604" spans="1:9">
      <c r="A604" s="18">
        <v>1842</v>
      </c>
      <c r="B604" s="19" t="str">
        <f>IFERROR(VLOOKUP(A604,CLIENTES!A:E,2,0),"CADASTRAR CLIENTE")</f>
        <v>LABORATORIO UNILABVET EIRELI</v>
      </c>
      <c r="C604" s="60" t="s">
        <v>3</v>
      </c>
      <c r="D604" s="60">
        <v>98933</v>
      </c>
      <c r="E604" s="21">
        <v>369.6</v>
      </c>
      <c r="F604" s="19"/>
      <c r="G604" s="21"/>
      <c r="H604" s="19"/>
      <c r="I604" s="20">
        <v>45464</v>
      </c>
    </row>
    <row r="605" spans="1:9">
      <c r="A605" s="18">
        <v>1842</v>
      </c>
      <c r="B605" s="19" t="str">
        <f>IFERROR(VLOOKUP(A605,CLIENTES!A:E,2,0),"CADASTRAR CLIENTE")</f>
        <v>LABORATORIO UNILABVET EIRELI</v>
      </c>
      <c r="C605" s="60" t="s">
        <v>3</v>
      </c>
      <c r="D605" s="60">
        <v>74888</v>
      </c>
      <c r="E605" s="21">
        <v>368.99</v>
      </c>
      <c r="F605" s="19"/>
      <c r="G605" s="21"/>
      <c r="H605" s="19"/>
      <c r="I605" s="20">
        <v>45464</v>
      </c>
    </row>
    <row r="606" spans="1:9">
      <c r="A606" s="18">
        <v>50219</v>
      </c>
      <c r="B606" s="19" t="str">
        <f>IFERROR(VLOOKUP(A606,CLIENTES!A:E,2,0),"CADASTRAR CLIENTE")</f>
        <v>UNIPREV LAB DE ANALISES LOCACAO DE BENS E REPAROS LTDA EPP</v>
      </c>
      <c r="C606" s="60" t="s">
        <v>3</v>
      </c>
      <c r="D606" s="60">
        <v>75318</v>
      </c>
      <c r="E606" s="21">
        <v>570</v>
      </c>
      <c r="F606" s="19"/>
      <c r="G606" s="21"/>
      <c r="H606" s="19"/>
      <c r="I606" s="20">
        <v>45467</v>
      </c>
    </row>
    <row r="607" spans="1:9">
      <c r="A607" s="18">
        <v>906</v>
      </c>
      <c r="B607" s="19" t="str">
        <f>IFERROR(VLOOKUP(A607,CLIENTES!A:E,2,0),"CADASTRAR CLIENTE")</f>
        <v>LABORATORIO ANAL. CLIN. DESCALVADO LTDA</v>
      </c>
      <c r="C607" s="60" t="s">
        <v>3</v>
      </c>
      <c r="D607" s="60">
        <v>75315</v>
      </c>
      <c r="E607" s="21">
        <v>1906.2</v>
      </c>
      <c r="F607" s="19"/>
      <c r="G607" s="21"/>
      <c r="H607" s="19"/>
      <c r="I607" s="20">
        <v>45467</v>
      </c>
    </row>
    <row r="608" spans="1:9">
      <c r="A608" s="18">
        <v>906</v>
      </c>
      <c r="B608" s="19" t="str">
        <f>IFERROR(VLOOKUP(A608,CLIENTES!A:E,2,0),"CADASTRAR CLIENTE")</f>
        <v>LABORATORIO ANAL. CLIN. DESCALVADO LTDA</v>
      </c>
      <c r="C608" s="60" t="s">
        <v>3</v>
      </c>
      <c r="D608" s="60">
        <v>98952</v>
      </c>
      <c r="E608" s="21">
        <v>177.78</v>
      </c>
      <c r="F608" s="19"/>
      <c r="G608" s="21"/>
      <c r="H608" s="19"/>
      <c r="I608" s="20">
        <v>45467</v>
      </c>
    </row>
    <row r="609" spans="1:9">
      <c r="A609" s="18">
        <v>2980</v>
      </c>
      <c r="B609" s="19" t="str">
        <f>IFERROR(VLOOKUP(A609,CLIENTES!A:E,2,0),"CADASTRAR CLIENTE")</f>
        <v>ALMEIDA &amp; FLAITT LABORATORIOS DE ANALISES CLINICAS LTDA</v>
      </c>
      <c r="C609" s="60" t="s">
        <v>3</v>
      </c>
      <c r="D609" s="60">
        <v>98956</v>
      </c>
      <c r="E609" s="21">
        <v>204.3</v>
      </c>
      <c r="F609" s="19"/>
      <c r="G609" s="21"/>
      <c r="H609" s="19"/>
      <c r="I609" s="20">
        <v>45467</v>
      </c>
    </row>
    <row r="610" spans="1:9">
      <c r="A610" s="18">
        <v>1788</v>
      </c>
      <c r="B610" s="19" t="str">
        <f>IFERROR(VLOOKUP(A610,CLIENTES!A:E,2,0),"CADASTRAR CLIENTE")</f>
        <v>ZANATA &amp; REIS LABORCLINICA LTDA</v>
      </c>
      <c r="C610" s="60" t="s">
        <v>3</v>
      </c>
      <c r="D610" s="60">
        <v>75201</v>
      </c>
      <c r="E610" s="21">
        <v>506</v>
      </c>
      <c r="F610" s="19"/>
      <c r="G610" s="21"/>
      <c r="H610" s="19"/>
      <c r="I610" s="20">
        <v>45467</v>
      </c>
    </row>
    <row r="611" spans="1:9">
      <c r="A611" s="18">
        <v>171</v>
      </c>
      <c r="B611" s="19" t="str">
        <f>IFERROR(VLOOKUP(A611,CLIENTES!A:E,2,0),"CADASTRAR CLIENTE")</f>
        <v>HOSPITAL BENEFICENTE SAO JOSE</v>
      </c>
      <c r="C611" s="60" t="s">
        <v>3</v>
      </c>
      <c r="D611" s="60">
        <v>75337</v>
      </c>
      <c r="E611" s="21">
        <v>2050</v>
      </c>
      <c r="F611" s="19"/>
      <c r="G611" s="21"/>
      <c r="H611" s="19"/>
      <c r="I611" s="20">
        <v>45467</v>
      </c>
    </row>
    <row r="612" spans="1:9">
      <c r="A612" s="18">
        <v>822</v>
      </c>
      <c r="B612" s="19" t="str">
        <f>IFERROR(VLOOKUP(A612,CLIENTES!A:E,2,0),"CADASTRAR CLIENTE")</f>
        <v>SAO LUCAS LABORATORIO ANAL. CLIN. S/C LTDA</v>
      </c>
      <c r="C612" s="60" t="s">
        <v>3</v>
      </c>
      <c r="D612" s="60">
        <v>98961</v>
      </c>
      <c r="E612" s="21">
        <v>1254</v>
      </c>
      <c r="F612" s="19"/>
      <c r="G612" s="21"/>
      <c r="H612" s="19"/>
      <c r="I612" s="20">
        <v>45467</v>
      </c>
    </row>
    <row r="613" spans="1:9">
      <c r="A613" s="18">
        <v>822</v>
      </c>
      <c r="B613" s="19" t="str">
        <f>IFERROR(VLOOKUP(A613,CLIENTES!A:E,2,0),"CADASTRAR CLIENTE")</f>
        <v>SAO LUCAS LABORATORIO ANAL. CLIN. S/C LTDA</v>
      </c>
      <c r="C613" s="60" t="s">
        <v>3</v>
      </c>
      <c r="D613" s="60">
        <v>75356</v>
      </c>
      <c r="E613" s="21">
        <v>615</v>
      </c>
      <c r="F613" s="19"/>
      <c r="G613" s="21"/>
      <c r="H613" s="19"/>
      <c r="I613" s="20">
        <v>45467</v>
      </c>
    </row>
    <row r="614" spans="1:9">
      <c r="A614" s="18">
        <v>761</v>
      </c>
      <c r="B614" s="19" t="str">
        <f>IFERROR(VLOOKUP(A614,CLIENTES!A:E,2,0),"CADASTRAR CLIENTE")</f>
        <v>EXAME CENTRO DIAG.M.ARACATUBA SC LTDA.</v>
      </c>
      <c r="C614" s="60" t="s">
        <v>3</v>
      </c>
      <c r="D614" s="60">
        <v>75360</v>
      </c>
      <c r="E614" s="21">
        <v>522.30999999999995</v>
      </c>
      <c r="F614" s="19"/>
      <c r="G614" s="21"/>
      <c r="H614" s="19"/>
      <c r="I614" s="20">
        <v>45467</v>
      </c>
    </row>
    <row r="615" spans="1:9">
      <c r="A615" s="18">
        <v>708</v>
      </c>
      <c r="B615" s="19" t="str">
        <f>IFERROR(VLOOKUP(A615,CLIENTES!A:E,2,0),"CADASTRAR CLIENTE")</f>
        <v>IMEDI INST.MEDICO DE PAT.E DIAGNOSTICO SC LTDA.</v>
      </c>
      <c r="C615" s="60" t="s">
        <v>3</v>
      </c>
      <c r="D615" s="60">
        <v>75362</v>
      </c>
      <c r="E615" s="21">
        <v>2272.5</v>
      </c>
      <c r="F615" s="19"/>
      <c r="G615" s="21"/>
      <c r="H615" s="19"/>
      <c r="I615" s="20">
        <v>45468</v>
      </c>
    </row>
    <row r="616" spans="1:9">
      <c r="A616" s="18">
        <v>2415</v>
      </c>
      <c r="B616" s="19" t="str">
        <f>IFERROR(VLOOKUP(A616,CLIENTES!A:E,2,0),"CADASTRAR CLIENTE")</f>
        <v>ROSSETTO E BARROS LABORATORIO DE ANALISES CLINICAS LTDA</v>
      </c>
      <c r="C616" s="60" t="s">
        <v>3</v>
      </c>
      <c r="D616" s="60">
        <v>75363</v>
      </c>
      <c r="E616" s="21">
        <v>1900</v>
      </c>
      <c r="F616" s="19"/>
      <c r="G616" s="21"/>
      <c r="H616" s="19"/>
      <c r="I616" s="20">
        <v>45468</v>
      </c>
    </row>
    <row r="617" spans="1:9">
      <c r="A617" s="18">
        <v>480</v>
      </c>
      <c r="B617" s="19" t="str">
        <f>IFERROR(VLOOKUP(A617,CLIENTES!A:E,2,0),"CADASTRAR CLIENTE")</f>
        <v>LAB SAO LUCAS</v>
      </c>
      <c r="C617" s="60" t="s">
        <v>3</v>
      </c>
      <c r="D617" s="60">
        <v>75364</v>
      </c>
      <c r="E617" s="21">
        <v>4296</v>
      </c>
      <c r="F617" s="19"/>
      <c r="G617" s="21"/>
      <c r="H617" s="19"/>
      <c r="I617" s="20">
        <v>45468</v>
      </c>
    </row>
    <row r="618" spans="1:9">
      <c r="A618" s="18">
        <v>1206</v>
      </c>
      <c r="B618" s="19" t="str">
        <f>IFERROR(VLOOKUP(A618,CLIENTES!A:E,2,0),"CADASTRAR CLIENTE")</f>
        <v>LABORATORIO RIO NEGRO CENTER DE MARILIA  LTDA</v>
      </c>
      <c r="C618" s="60" t="s">
        <v>3</v>
      </c>
      <c r="D618" s="60">
        <v>75368</v>
      </c>
      <c r="E618" s="21">
        <v>825.3</v>
      </c>
      <c r="F618" s="19"/>
      <c r="G618" s="21"/>
      <c r="H618" s="19"/>
      <c r="I618" s="20">
        <v>45468</v>
      </c>
    </row>
    <row r="619" spans="1:9">
      <c r="A619" s="18">
        <v>475</v>
      </c>
      <c r="B619" s="19" t="str">
        <f>IFERROR(VLOOKUP(A619,CLIENTES!A:E,2,0),"CADASTRAR CLIENTE")</f>
        <v>LABORATORIO DE ANALISES CLINICAS SRC LTDA</v>
      </c>
      <c r="C619" s="60" t="s">
        <v>2</v>
      </c>
      <c r="D619" s="60">
        <v>75372</v>
      </c>
      <c r="E619" s="21">
        <v>13775.5</v>
      </c>
      <c r="F619" s="19"/>
      <c r="G619" s="21"/>
      <c r="H619" s="19"/>
      <c r="I619" s="20">
        <v>45468</v>
      </c>
    </row>
    <row r="620" spans="1:9">
      <c r="A620" s="18">
        <v>311</v>
      </c>
      <c r="B620" s="19" t="str">
        <f>IFERROR(VLOOKUP(A620,CLIENTES!A:E,2,0),"CADASTRAR CLIENTE")</f>
        <v>CENTRO DE ANAL.CLIN. UNILAB  SC LTDA.</v>
      </c>
      <c r="C620" s="60" t="s">
        <v>3</v>
      </c>
      <c r="D620" s="60">
        <v>98973</v>
      </c>
      <c r="E620" s="21">
        <v>533.25</v>
      </c>
      <c r="F620" s="19"/>
      <c r="G620" s="21"/>
      <c r="H620" s="19"/>
      <c r="I620" s="20">
        <v>45468</v>
      </c>
    </row>
    <row r="621" spans="1:9">
      <c r="A621" s="18">
        <v>311</v>
      </c>
      <c r="B621" s="19" t="str">
        <f>IFERROR(VLOOKUP(A621,CLIENTES!A:E,2,0),"CADASTRAR CLIENTE")</f>
        <v>CENTRO DE ANAL.CLIN. UNILAB  SC LTDA.</v>
      </c>
      <c r="C621" s="60" t="s">
        <v>3</v>
      </c>
      <c r="D621" s="60">
        <v>75392</v>
      </c>
      <c r="E621" s="21">
        <v>158.12</v>
      </c>
      <c r="F621" s="19"/>
      <c r="G621" s="21"/>
      <c r="H621" s="19"/>
      <c r="I621" s="20">
        <v>45468</v>
      </c>
    </row>
    <row r="622" spans="1:9">
      <c r="A622" s="18">
        <v>50554</v>
      </c>
      <c r="B622" s="19" t="str">
        <f>IFERROR(VLOOKUP(A622,CLIENTES!A:E,2,0),"CADASTRAR CLIENTE")</f>
        <v>SAO ROQUE MEDICINA DIAGNOSTICA</v>
      </c>
      <c r="C622" s="60" t="s">
        <v>328</v>
      </c>
      <c r="D622" s="60">
        <v>75404</v>
      </c>
      <c r="E622" s="21">
        <v>1999.4</v>
      </c>
      <c r="F622" s="19"/>
      <c r="G622" s="21"/>
      <c r="H622" s="19"/>
      <c r="I622" s="20">
        <v>45468</v>
      </c>
    </row>
    <row r="623" spans="1:9">
      <c r="A623" s="18">
        <v>50554</v>
      </c>
      <c r="B623" s="19" t="str">
        <f>IFERROR(VLOOKUP(A623,CLIENTES!A:E,2,0),"CADASTRAR CLIENTE")</f>
        <v>SAO ROQUE MEDICINA DIAGNOSTICA</v>
      </c>
      <c r="C623" s="60" t="s">
        <v>328</v>
      </c>
      <c r="D623" s="60">
        <v>98975</v>
      </c>
      <c r="E623" s="21">
        <v>139.19999999999999</v>
      </c>
      <c r="F623" s="19"/>
      <c r="G623" s="21"/>
      <c r="H623" s="19"/>
      <c r="I623" s="20">
        <v>45468</v>
      </c>
    </row>
    <row r="624" spans="1:9">
      <c r="A624" s="18">
        <v>3565</v>
      </c>
      <c r="B624" s="19" t="str">
        <f>IFERROR(VLOOKUP(A624,CLIENTES!A:E,2,0),"CADASTRAR CLIENTE")</f>
        <v>LAB LIFE LABORATORIO DE ANALISES CLINICAS LTDA</v>
      </c>
      <c r="C624" s="60" t="s">
        <v>3</v>
      </c>
      <c r="D624" s="60">
        <v>75408</v>
      </c>
      <c r="E624" s="21">
        <v>96.7</v>
      </c>
      <c r="F624" s="19"/>
      <c r="G624" s="21"/>
      <c r="H624" s="19"/>
      <c r="I624" s="20">
        <v>45468</v>
      </c>
    </row>
    <row r="625" spans="1:9">
      <c r="A625" s="18">
        <v>724</v>
      </c>
      <c r="B625" s="19" t="str">
        <f>IFERROR(VLOOKUP(A625,CLIENTES!A:E,2,0),"CADASTRAR CLIENTE")</f>
        <v>LAB. ANAL. CLIN. DRA SILVIA M.MANZATO LARANJO SC LTDA.</v>
      </c>
      <c r="C625" s="60" t="s">
        <v>3</v>
      </c>
      <c r="D625" s="60">
        <v>75431</v>
      </c>
      <c r="E625" s="21">
        <v>168.6</v>
      </c>
      <c r="F625" s="19"/>
      <c r="G625" s="21"/>
      <c r="H625" s="19"/>
      <c r="I625" s="20">
        <v>45469</v>
      </c>
    </row>
    <row r="626" spans="1:9">
      <c r="A626" s="18">
        <v>3126</v>
      </c>
      <c r="B626" s="19" t="str">
        <f>IFERROR(VLOOKUP(A626,CLIENTES!A:E,2,0),"CADASTRAR CLIENTE")</f>
        <v>CADASTRAR CLIENTE</v>
      </c>
      <c r="C626" s="60" t="s">
        <v>3</v>
      </c>
      <c r="D626" s="60">
        <v>75433</v>
      </c>
      <c r="E626" s="21">
        <v>1641.78</v>
      </c>
      <c r="F626" s="19"/>
      <c r="G626" s="21"/>
      <c r="H626" s="19"/>
      <c r="I626" s="20">
        <v>45469</v>
      </c>
    </row>
    <row r="627" spans="1:9">
      <c r="A627" s="18">
        <v>1652</v>
      </c>
      <c r="B627" s="19" t="str">
        <f>IFERROR(VLOOKUP(A627,CLIENTES!A:E,2,0),"CADASTRAR CLIENTE")</f>
        <v>LAB. SANTA CLARA ANAL.CLIN.</v>
      </c>
      <c r="C627" s="60" t="s">
        <v>328</v>
      </c>
      <c r="D627" s="60">
        <v>75407</v>
      </c>
      <c r="E627" s="21">
        <v>884.11</v>
      </c>
      <c r="F627" s="19"/>
      <c r="G627" s="21"/>
      <c r="H627" s="19"/>
      <c r="I627" s="20">
        <v>45469</v>
      </c>
    </row>
    <row r="628" spans="1:9">
      <c r="A628" s="18">
        <v>432</v>
      </c>
      <c r="B628" s="19" t="str">
        <f>IFERROR(VLOOKUP(A628,CLIENTES!A:E,2,0),"CADASTRAR CLIENTE")</f>
        <v>LABORATORIO PASTEUR HEMATOLOGIA E MICROBIOLOGIA S/S LTDA</v>
      </c>
      <c r="C628" s="60" t="s">
        <v>3</v>
      </c>
      <c r="D628" s="60">
        <v>75140</v>
      </c>
      <c r="E628" s="21">
        <v>135.1</v>
      </c>
      <c r="F628" s="19"/>
      <c r="G628" s="21"/>
      <c r="H628" s="19"/>
      <c r="I628" s="20">
        <v>45470</v>
      </c>
    </row>
    <row r="629" spans="1:9">
      <c r="A629" s="18">
        <v>1971</v>
      </c>
      <c r="B629" s="19" t="str">
        <f>IFERROR(VLOOKUP(A629,CLIENTES!A:E,2,0),"CADASTRAR CLIENTE")</f>
        <v>LABORATORIO POPULAR LAB 7 LTDA</v>
      </c>
      <c r="C629" s="60" t="s">
        <v>3</v>
      </c>
      <c r="D629" s="60">
        <v>75478</v>
      </c>
      <c r="E629" s="21">
        <v>667.25</v>
      </c>
      <c r="F629" s="19"/>
      <c r="G629" s="21"/>
      <c r="H629" s="19"/>
      <c r="I629" s="20">
        <v>45470</v>
      </c>
    </row>
    <row r="630" spans="1:9">
      <c r="A630" s="18">
        <v>3017</v>
      </c>
      <c r="B630" s="19" t="str">
        <f>IFERROR(VLOOKUP(A630,CLIENTES!A:E,2,0),"CADASTRAR CLIENTE")</f>
        <v>IMUNOLAB LABORATORIO DE ANALISES CLINICAS LTDA ME</v>
      </c>
      <c r="C630" s="60" t="s">
        <v>3</v>
      </c>
      <c r="D630" s="60">
        <v>40784</v>
      </c>
      <c r="E630" s="21">
        <v>270.60000000000002</v>
      </c>
      <c r="F630" s="19"/>
      <c r="G630" s="21"/>
      <c r="H630" s="19"/>
      <c r="I630" s="20">
        <v>45470</v>
      </c>
    </row>
    <row r="631" spans="1:9">
      <c r="A631" s="18">
        <v>772</v>
      </c>
      <c r="B631" s="19" t="str">
        <f>IFERROR(VLOOKUP(A631,CLIENTES!A:E,2,0),"CADASTRAR CLIENTE")</f>
        <v>MEGARON LABORATORIO ANAL.CLIN.SC LTDA.</v>
      </c>
      <c r="C631" s="60" t="s">
        <v>3</v>
      </c>
      <c r="D631" s="60">
        <v>75493</v>
      </c>
      <c r="E631" s="21">
        <v>315.45</v>
      </c>
      <c r="F631" s="19"/>
      <c r="G631" s="21"/>
      <c r="H631" s="19"/>
      <c r="I631" s="20">
        <v>45471</v>
      </c>
    </row>
    <row r="632" spans="1:9">
      <c r="A632" s="18">
        <v>475</v>
      </c>
      <c r="B632" s="19" t="str">
        <f>IFERROR(VLOOKUP(A632,CLIENTES!A:E,2,0),"CADASTRAR CLIENTE")</f>
        <v>LABORATORIO DE ANALISES CLINICAS SRC LTDA</v>
      </c>
      <c r="C632" s="60" t="s">
        <v>2</v>
      </c>
      <c r="D632" s="60">
        <v>98996</v>
      </c>
      <c r="E632" s="21">
        <v>1073.03</v>
      </c>
      <c r="F632" s="19"/>
      <c r="G632" s="21"/>
      <c r="H632" s="19"/>
      <c r="I632" s="20">
        <v>45471</v>
      </c>
    </row>
    <row r="633" spans="1:9">
      <c r="A633" s="18">
        <v>475</v>
      </c>
      <c r="B633" s="19" t="str">
        <f>IFERROR(VLOOKUP(A633,CLIENTES!A:E,2,0),"CADASTRAR CLIENTE")</f>
        <v>LABORATORIO DE ANALISES CLINICAS SRC LTDA</v>
      </c>
      <c r="C633" s="60" t="s">
        <v>2</v>
      </c>
      <c r="D633" s="60">
        <v>75515</v>
      </c>
      <c r="E633" s="21">
        <v>2706.73</v>
      </c>
      <c r="F633" s="19"/>
      <c r="G633" s="21"/>
      <c r="H633" s="19"/>
      <c r="I633" s="20">
        <v>45471</v>
      </c>
    </row>
    <row r="634" spans="1:9">
      <c r="A634" s="18">
        <v>874</v>
      </c>
      <c r="B634" s="19" t="str">
        <f>IFERROR(VLOOKUP(A634,CLIENTES!A:E,2,0),"CADASTRAR CLIENTE")</f>
        <v>LAB.ANAL.CLIN ABI JAUDI SC LTDA.</v>
      </c>
      <c r="C634" s="60" t="s">
        <v>3</v>
      </c>
      <c r="D634" s="60">
        <v>75517</v>
      </c>
      <c r="E634" s="21">
        <v>645</v>
      </c>
      <c r="F634" s="19"/>
      <c r="G634" s="21"/>
      <c r="H634" s="19"/>
      <c r="I634" s="20">
        <v>45471</v>
      </c>
    </row>
    <row r="635" spans="1:9">
      <c r="A635" s="18">
        <v>3240</v>
      </c>
      <c r="B635" s="19" t="str">
        <f>IFERROR(VLOOKUP(A635,CLIENTES!A:E,2,0),"CADASTRAR CLIENTE")</f>
        <v>LABORLOPES LABORATORIO DE  ANALISES CLINICAS LTDA</v>
      </c>
      <c r="C635" s="60" t="s">
        <v>3</v>
      </c>
      <c r="D635" s="60">
        <v>98998</v>
      </c>
      <c r="E635" s="21">
        <v>345.66</v>
      </c>
      <c r="F635" s="19"/>
      <c r="G635" s="21"/>
      <c r="H635" s="19"/>
      <c r="I635" s="20">
        <v>45471</v>
      </c>
    </row>
    <row r="636" spans="1:9">
      <c r="A636" s="18">
        <v>3240</v>
      </c>
      <c r="B636" s="19" t="str">
        <f>IFERROR(VLOOKUP(A636,CLIENTES!A:E,2,0),"CADASTRAR CLIENTE")</f>
        <v>LABORLOPES LABORATORIO DE  ANALISES CLINICAS LTDA</v>
      </c>
      <c r="C636" s="60" t="s">
        <v>3</v>
      </c>
      <c r="D636" s="60">
        <v>75520</v>
      </c>
      <c r="E636" s="21">
        <v>339.85</v>
      </c>
      <c r="F636" s="19"/>
      <c r="G636" s="21"/>
      <c r="H636" s="19"/>
      <c r="I636" s="20">
        <v>45471</v>
      </c>
    </row>
    <row r="637" spans="1:9">
      <c r="A637" s="18">
        <v>3190</v>
      </c>
      <c r="B637" s="19" t="str">
        <f>IFERROR(VLOOKUP(A637,CLIENTES!A:E,2,0),"CADASTRAR CLIENTE")</f>
        <v>C D A CENTRO DE DIAGNOSTICO VETERINARIO</v>
      </c>
      <c r="C637" s="60" t="s">
        <v>3</v>
      </c>
      <c r="D637" s="60">
        <v>75490</v>
      </c>
      <c r="E637" s="21">
        <v>405.86</v>
      </c>
      <c r="F637" s="19"/>
      <c r="G637" s="21"/>
      <c r="H637" s="19"/>
      <c r="I637" s="20">
        <v>45474</v>
      </c>
    </row>
    <row r="638" spans="1:9">
      <c r="A638" s="18">
        <v>762</v>
      </c>
      <c r="B638" s="19" t="str">
        <f>IFERROR(VLOOKUP(A638,CLIENTES!A:E,2,0),"CADASTRAR CLIENTE")</f>
        <v>STA. CASA MISERICORDIA DE ARACATUBA</v>
      </c>
      <c r="C638" s="60" t="s">
        <v>2</v>
      </c>
      <c r="D638" s="60">
        <v>75533</v>
      </c>
      <c r="E638" s="21">
        <v>6758.93</v>
      </c>
      <c r="F638" s="19"/>
      <c r="G638" s="21"/>
      <c r="H638" s="19"/>
      <c r="I638" s="20">
        <v>45474</v>
      </c>
    </row>
    <row r="639" spans="1:9">
      <c r="A639" s="18">
        <v>1534</v>
      </c>
      <c r="B639" s="19" t="str">
        <f>IFERROR(VLOOKUP(A639,CLIENTES!A:E,2,0),"CADASTRAR CLIENTE")</f>
        <v>CISCRE IMPORTACAO E DISTRIBUICAO DE PRODUTOS MEDICOS LTDA</v>
      </c>
      <c r="C639" s="60" t="s">
        <v>2</v>
      </c>
      <c r="D639" s="60">
        <v>75253</v>
      </c>
      <c r="E639" s="21">
        <v>137.25</v>
      </c>
      <c r="F639" s="19"/>
      <c r="G639" s="21"/>
      <c r="H639" s="19"/>
      <c r="I639" s="20">
        <v>45474</v>
      </c>
    </row>
    <row r="640" spans="1:9">
      <c r="A640" s="18">
        <v>1534</v>
      </c>
      <c r="B640" s="19" t="str">
        <f>IFERROR(VLOOKUP(A640,CLIENTES!A:E,2,0),"CADASTRAR CLIENTE")</f>
        <v>CISCRE IMPORTACAO E DISTRIBUICAO DE PRODUTOS MEDICOS LTDA</v>
      </c>
      <c r="C640" s="60" t="s">
        <v>2</v>
      </c>
      <c r="D640" s="60">
        <v>98970</v>
      </c>
      <c r="E640" s="21">
        <v>2520</v>
      </c>
      <c r="F640" s="19"/>
      <c r="G640" s="21"/>
      <c r="H640" s="19"/>
      <c r="I640" s="20">
        <v>45474</v>
      </c>
    </row>
    <row r="641" spans="1:9">
      <c r="A641" s="18">
        <v>2911</v>
      </c>
      <c r="B641" s="19" t="str">
        <f>IFERROR(VLOOKUP(A641,CLIENTES!A:E,2,0),"CADASTRAR CLIENTE")</f>
        <v>BIOLIFE-LABORATORIO DE ANALISES CLINICAS LTDA</v>
      </c>
      <c r="C641" s="60" t="s">
        <v>3</v>
      </c>
      <c r="D641" s="60">
        <v>75543</v>
      </c>
      <c r="E641" s="21">
        <v>1468.4</v>
      </c>
      <c r="F641" s="19"/>
      <c r="G641" s="21"/>
      <c r="H641" s="19"/>
      <c r="I641" s="20">
        <v>45474</v>
      </c>
    </row>
    <row r="642" spans="1:9">
      <c r="A642" s="18">
        <v>2911</v>
      </c>
      <c r="B642" s="19" t="str">
        <f>IFERROR(VLOOKUP(A642,CLIENTES!A:E,2,0),"CADASTRAR CLIENTE")</f>
        <v>BIOLIFE-LABORATORIO DE ANALISES CLINICAS LTDA</v>
      </c>
      <c r="C642" s="60" t="s">
        <v>3</v>
      </c>
      <c r="D642" s="60">
        <v>99003</v>
      </c>
      <c r="E642" s="21">
        <v>88</v>
      </c>
      <c r="F642" s="19"/>
      <c r="G642" s="21"/>
      <c r="H642" s="19"/>
      <c r="I642" s="20">
        <v>45474</v>
      </c>
    </row>
    <row r="643" spans="1:9">
      <c r="A643" s="18">
        <v>3153</v>
      </c>
      <c r="B643" s="19" t="str">
        <f>IFERROR(VLOOKUP(A643,CLIENTES!A:E,2,0),"CADASTRAR CLIENTE")</f>
        <v>UNIMED DE TUPA COOPERATIVA DE TRABALHO MEDICO</v>
      </c>
      <c r="C643" s="60" t="s">
        <v>3</v>
      </c>
      <c r="D643" s="60">
        <v>75528</v>
      </c>
      <c r="E643" s="21">
        <v>1210.5</v>
      </c>
      <c r="F643" s="19"/>
      <c r="G643" s="21"/>
      <c r="H643" s="19"/>
      <c r="I643" s="20">
        <v>45474</v>
      </c>
    </row>
    <row r="644" spans="1:9">
      <c r="A644" s="18">
        <v>1164</v>
      </c>
      <c r="B644" s="19" t="str">
        <f>IFERROR(VLOOKUP(A644,CLIENTES!A:E,2,0),"CADASTRAR CLIENTE")</f>
        <v>LAB. ANAL. CLIN. SAO LOURENCO S/C LTDA</v>
      </c>
      <c r="C644" s="60" t="s">
        <v>328</v>
      </c>
      <c r="D644" s="60">
        <v>75551</v>
      </c>
      <c r="E644" s="21">
        <v>1277.4000000000001</v>
      </c>
      <c r="F644" s="19"/>
      <c r="G644" s="21"/>
      <c r="H644" s="19"/>
      <c r="I644" s="20">
        <v>45474</v>
      </c>
    </row>
    <row r="645" spans="1:9">
      <c r="A645" s="18">
        <v>311</v>
      </c>
      <c r="B645" s="19" t="str">
        <f>IFERROR(VLOOKUP(A645,CLIENTES!A:E,2,0),"CADASTRAR CLIENTE")</f>
        <v>CENTRO DE ANAL.CLIN. UNILAB  SC LTDA.</v>
      </c>
      <c r="C645" s="60" t="s">
        <v>3</v>
      </c>
      <c r="D645" s="60">
        <v>99007</v>
      </c>
      <c r="E645" s="21">
        <v>832.5</v>
      </c>
      <c r="F645" s="19"/>
      <c r="G645" s="21"/>
      <c r="H645" s="19"/>
      <c r="I645" s="20">
        <v>45474</v>
      </c>
    </row>
    <row r="646" spans="1:9">
      <c r="A646" s="18">
        <v>311</v>
      </c>
      <c r="B646" s="19" t="str">
        <f>IFERROR(VLOOKUP(A646,CLIENTES!A:E,2,0),"CADASTRAR CLIENTE")</f>
        <v>CENTRO DE ANAL.CLIN. UNILAB  SC LTDA.</v>
      </c>
      <c r="C646" s="60" t="s">
        <v>3</v>
      </c>
      <c r="D646" s="60">
        <v>75561</v>
      </c>
      <c r="E646" s="21">
        <v>54.9</v>
      </c>
      <c r="F646" s="19"/>
      <c r="G646" s="21"/>
      <c r="H646" s="19"/>
      <c r="I646" s="20">
        <v>45474</v>
      </c>
    </row>
    <row r="647" spans="1:9">
      <c r="A647" s="18">
        <v>1026</v>
      </c>
      <c r="B647" s="19" t="str">
        <f>IFERROR(VLOOKUP(A647,CLIENTES!A:E,2,0),"CADASTRAR CLIENTE")</f>
        <v>LABSC SERVICOS LABORATORIAIS LTDA</v>
      </c>
      <c r="C647" s="60" t="s">
        <v>3</v>
      </c>
      <c r="D647" s="60">
        <v>75563</v>
      </c>
      <c r="E647" s="21">
        <v>1381.4</v>
      </c>
      <c r="F647" s="19"/>
      <c r="G647" s="21"/>
      <c r="H647" s="19"/>
      <c r="I647" s="20">
        <v>45474</v>
      </c>
    </row>
    <row r="648" spans="1:9">
      <c r="A648" s="18">
        <v>746</v>
      </c>
      <c r="B648" s="19" t="str">
        <f>IFERROR(VLOOKUP(A648,CLIENTES!A:E,2,0),"CADASTRAR CLIENTE")</f>
        <v>LAB.ANAL.CLIN.BIOCLIN SC LTDA.</v>
      </c>
      <c r="C648" s="60" t="s">
        <v>328</v>
      </c>
      <c r="D648" s="60">
        <v>75314</v>
      </c>
      <c r="E648" s="21">
        <v>3268.32</v>
      </c>
      <c r="F648" s="19"/>
      <c r="G648" s="21"/>
      <c r="H648" s="19"/>
      <c r="I648" s="20">
        <v>45474</v>
      </c>
    </row>
    <row r="649" spans="1:9">
      <c r="A649" s="18">
        <v>746</v>
      </c>
      <c r="B649" s="19" t="str">
        <f>IFERROR(VLOOKUP(A649,CLIENTES!A:E,2,0),"CADASTRAR CLIENTE")</f>
        <v>LAB.ANAL.CLIN.BIOCLIN SC LTDA.</v>
      </c>
      <c r="C649" s="60" t="s">
        <v>328</v>
      </c>
      <c r="D649" s="60">
        <v>99012</v>
      </c>
      <c r="E649" s="21">
        <v>228.74</v>
      </c>
      <c r="F649" s="19"/>
      <c r="G649" s="21"/>
      <c r="H649" s="19"/>
      <c r="I649" s="20">
        <v>45474</v>
      </c>
    </row>
    <row r="650" spans="1:9">
      <c r="A650" s="18">
        <v>50219</v>
      </c>
      <c r="B650" s="19" t="str">
        <f>IFERROR(VLOOKUP(A650,CLIENTES!A:E,2,0),"CADASTRAR CLIENTE")</f>
        <v>UNIPREV LAB DE ANALISES LOCACAO DE BENS E REPAROS LTDA EPP</v>
      </c>
      <c r="C650" s="60" t="s">
        <v>3</v>
      </c>
      <c r="D650" s="60">
        <v>75576</v>
      </c>
      <c r="E650" s="21">
        <v>1116</v>
      </c>
      <c r="F650" s="19"/>
      <c r="G650" s="21"/>
      <c r="H650" s="19"/>
      <c r="I650" s="20">
        <v>45475</v>
      </c>
    </row>
    <row r="651" spans="1:9">
      <c r="A651" s="18">
        <v>50222</v>
      </c>
      <c r="B651" s="19" t="str">
        <f>IFERROR(VLOOKUP(A651,CLIENTES!A:E,2,0),"CADASTRAR CLIENTE")</f>
        <v>HOSPITAL REGIONAL DR VIVALDO MARTINS SIMOES</v>
      </c>
      <c r="C651" s="60" t="s">
        <v>3</v>
      </c>
      <c r="D651" s="60">
        <v>99014</v>
      </c>
      <c r="E651" s="21">
        <v>59.25</v>
      </c>
      <c r="F651" s="19"/>
      <c r="G651" s="21"/>
      <c r="H651" s="19"/>
      <c r="I651" s="20">
        <v>45475</v>
      </c>
    </row>
    <row r="652" spans="1:9">
      <c r="A652" s="18">
        <v>3018</v>
      </c>
      <c r="B652" s="19" t="str">
        <f>IFERROR(VLOOKUP(A652,CLIENTES!A:E,2,0),"CADASTRAR CLIENTE")</f>
        <v>NP- LABORATORIO DE ANALISES CLINICAS LTDA</v>
      </c>
      <c r="C652" s="60" t="s">
        <v>3</v>
      </c>
      <c r="D652" s="60">
        <v>75589</v>
      </c>
      <c r="E652" s="21">
        <v>549.14</v>
      </c>
      <c r="F652" s="19"/>
      <c r="G652" s="21"/>
      <c r="H652" s="19"/>
      <c r="I652" s="20">
        <v>45475</v>
      </c>
    </row>
    <row r="653" spans="1:9">
      <c r="A653" s="18">
        <v>3018</v>
      </c>
      <c r="B653" s="19" t="str">
        <f>IFERROR(VLOOKUP(A653,CLIENTES!A:E,2,0),"CADASTRAR CLIENTE")</f>
        <v>NP- LABORATORIO DE ANALISES CLINICAS LTDA</v>
      </c>
      <c r="C653" s="60" t="s">
        <v>3</v>
      </c>
      <c r="D653" s="60">
        <v>99015</v>
      </c>
      <c r="E653" s="21">
        <v>118.5</v>
      </c>
      <c r="F653" s="19"/>
      <c r="G653" s="21"/>
      <c r="H653" s="19"/>
      <c r="I653" s="20">
        <v>45475</v>
      </c>
    </row>
    <row r="654" spans="1:9">
      <c r="A654" s="18">
        <v>1533</v>
      </c>
      <c r="B654" s="19" t="str">
        <f>IFERROR(VLOOKUP(A654,CLIENTES!A:E,2,0),"CADASTRAR CLIENTE")</f>
        <v>LABORATORIO BIOANALISE DIAGNOSTICO LTDA</v>
      </c>
      <c r="C654" s="60" t="s">
        <v>3</v>
      </c>
      <c r="D654" s="60">
        <v>75620</v>
      </c>
      <c r="E654" s="21">
        <v>1360</v>
      </c>
      <c r="F654" s="19"/>
      <c r="G654" s="21"/>
      <c r="H654" s="19"/>
      <c r="I654" s="20">
        <v>45475</v>
      </c>
    </row>
    <row r="655" spans="1:9">
      <c r="A655" s="18">
        <v>784</v>
      </c>
      <c r="B655" s="19" t="str">
        <f>IFERROR(VLOOKUP(A655,CLIENTES!A:E,2,0),"CADASTRAR CLIENTE")</f>
        <v>LAB.ANAL.CLIN. ALBERT SABIN SC LTDA.</v>
      </c>
      <c r="C655" s="60" t="s">
        <v>2</v>
      </c>
      <c r="D655" s="60">
        <v>75609</v>
      </c>
      <c r="E655" s="21">
        <v>4162.1499999999996</v>
      </c>
      <c r="F655" s="19"/>
      <c r="G655" s="21"/>
      <c r="H655" s="19"/>
      <c r="I655" s="20">
        <v>45475</v>
      </c>
    </row>
    <row r="656" spans="1:9">
      <c r="A656" s="18">
        <v>1122</v>
      </c>
      <c r="B656" s="19" t="str">
        <f>IFERROR(VLOOKUP(A656,CLIENTES!A:E,2,0),"CADASTRAR CLIENTE")</f>
        <v>FUNDEPAG</v>
      </c>
      <c r="C656" s="60" t="s">
        <v>3</v>
      </c>
      <c r="D656" s="60">
        <v>75628</v>
      </c>
      <c r="E656" s="21">
        <v>682</v>
      </c>
      <c r="F656" s="19"/>
      <c r="G656" s="21"/>
      <c r="H656" s="19"/>
      <c r="I656" s="20">
        <v>45475</v>
      </c>
    </row>
    <row r="657" spans="1:9">
      <c r="A657" s="18">
        <v>50554</v>
      </c>
      <c r="B657" s="19" t="str">
        <f>IFERROR(VLOOKUP(A657,CLIENTES!A:E,2,0),"CADASTRAR CLIENTE")</f>
        <v>SAO ROQUE MEDICINA DIAGNOSTICA</v>
      </c>
      <c r="C657" s="60" t="s">
        <v>328</v>
      </c>
      <c r="D657" s="60">
        <v>75639</v>
      </c>
      <c r="E657" s="21">
        <v>2302</v>
      </c>
      <c r="F657" s="19"/>
      <c r="G657" s="21"/>
      <c r="H657" s="19"/>
      <c r="I657" s="20">
        <v>45475</v>
      </c>
    </row>
    <row r="658" spans="1:9">
      <c r="A658" s="18">
        <v>50497</v>
      </c>
      <c r="B658" s="19" t="str">
        <f>IFERROR(VLOOKUP(A658,CLIENTES!A:E,2,0),"CADASTRAR CLIENTE")</f>
        <v>DIAGNOSTIKA-UNIDADE DIAGNOSTICA EM PATOLOGIA CIRURGICA E CITOLOGIA LTDA</v>
      </c>
      <c r="C658" s="60" t="s">
        <v>328</v>
      </c>
      <c r="D658" s="60">
        <v>99022</v>
      </c>
      <c r="E658" s="21">
        <v>553.29999999999995</v>
      </c>
      <c r="F658" s="19"/>
      <c r="G658" s="21"/>
      <c r="H658" s="19"/>
      <c r="I658" s="20">
        <v>45475</v>
      </c>
    </row>
    <row r="659" spans="1:9">
      <c r="A659" s="18">
        <v>690</v>
      </c>
      <c r="B659" s="19" t="str">
        <f>IFERROR(VLOOKUP(A659,CLIENTES!A:E,2,0),"CADASTRAR CLIENTE")</f>
        <v>SAO ROQUE MEDICINA DIAGNOSTICA LTDA EPP</v>
      </c>
      <c r="C659" s="60" t="s">
        <v>328</v>
      </c>
      <c r="D659" s="60">
        <v>99023</v>
      </c>
      <c r="E659" s="21">
        <v>929.8</v>
      </c>
      <c r="F659" s="19"/>
      <c r="G659" s="21"/>
      <c r="H659" s="19"/>
      <c r="I659" s="20">
        <v>45475</v>
      </c>
    </row>
    <row r="660" spans="1:9">
      <c r="A660" s="18">
        <v>690</v>
      </c>
      <c r="B660" s="19" t="str">
        <f>IFERROR(VLOOKUP(A660,CLIENTES!A:E,2,0),"CADASTRAR CLIENTE")</f>
        <v>SAO ROQUE MEDICINA DIAGNOSTICA LTDA EPP</v>
      </c>
      <c r="C660" s="60" t="s">
        <v>328</v>
      </c>
      <c r="D660" s="60">
        <v>75643</v>
      </c>
      <c r="E660" s="21">
        <v>961.8</v>
      </c>
      <c r="F660" s="19"/>
      <c r="G660" s="21"/>
      <c r="H660" s="19"/>
      <c r="I660" s="20">
        <v>45475</v>
      </c>
    </row>
    <row r="661" spans="1:9">
      <c r="A661" s="18">
        <v>761</v>
      </c>
      <c r="B661" s="19" t="str">
        <f>IFERROR(VLOOKUP(A661,CLIENTES!A:E,2,0),"CADASTRAR CLIENTE")</f>
        <v>EXAME CENTRO DIAG.M.ARACATUBA SC LTDA.</v>
      </c>
      <c r="C661" s="60" t="s">
        <v>3</v>
      </c>
      <c r="D661" s="60">
        <v>75649</v>
      </c>
      <c r="E661" s="21">
        <v>780</v>
      </c>
      <c r="F661" s="19"/>
      <c r="G661" s="21"/>
      <c r="H661" s="19"/>
      <c r="I661" s="20">
        <v>45476</v>
      </c>
    </row>
    <row r="662" spans="1:9">
      <c r="A662" s="18">
        <v>1616</v>
      </c>
      <c r="B662" s="19" t="str">
        <f>IFERROR(VLOOKUP(A662,CLIENTES!A:E,2,0),"CADASTRAR CLIENTE")</f>
        <v>NOVO HORIZONTE LAB.ANAL.CLIN.S/C LTDA.</v>
      </c>
      <c r="C662" s="60" t="s">
        <v>3</v>
      </c>
      <c r="D662" s="60">
        <v>75648</v>
      </c>
      <c r="E662" s="21">
        <v>1000</v>
      </c>
      <c r="F662" s="19"/>
      <c r="G662" s="21"/>
      <c r="H662" s="19"/>
      <c r="I662" s="20">
        <v>45476</v>
      </c>
    </row>
    <row r="663" spans="1:9">
      <c r="A663" s="18">
        <v>2702</v>
      </c>
      <c r="B663" s="19" t="str">
        <f>IFERROR(VLOOKUP(A663,CLIENTES!A:E,2,0),"CADASTRAR CLIENTE")</f>
        <v>SANTA CASA DE MISER. DE TAQUARITUBA</v>
      </c>
      <c r="C663" s="60" t="s">
        <v>3</v>
      </c>
      <c r="D663" s="60">
        <v>75653</v>
      </c>
      <c r="E663" s="21">
        <v>1205.5999999999999</v>
      </c>
      <c r="F663" s="19"/>
      <c r="G663" s="21"/>
      <c r="H663" s="19"/>
      <c r="I663" s="20">
        <v>45476</v>
      </c>
    </row>
    <row r="664" spans="1:9">
      <c r="A664" s="18">
        <v>572</v>
      </c>
      <c r="B664" s="19" t="str">
        <f>IFERROR(VLOOKUP(A664,CLIENTES!A:E,2,0),"CADASTRAR CLIENTE")</f>
        <v>LABORATORIO MULTIANALISES LTDA-ME</v>
      </c>
      <c r="C664" s="60" t="s">
        <v>3</v>
      </c>
      <c r="D664" s="60">
        <v>75660</v>
      </c>
      <c r="E664" s="21">
        <v>1211.5899999999999</v>
      </c>
      <c r="F664" s="19"/>
      <c r="G664" s="21"/>
      <c r="H664" s="19"/>
      <c r="I664" s="20">
        <v>45476</v>
      </c>
    </row>
    <row r="665" spans="1:9">
      <c r="A665" s="18">
        <v>50185</v>
      </c>
      <c r="B665" s="19" t="str">
        <f>IFERROR(VLOOKUP(A665,CLIENTES!A:E,2,0),"CADASTRAR CLIENTE")</f>
        <v>ANIMALAB SS LTDA</v>
      </c>
      <c r="C665" s="60" t="s">
        <v>3</v>
      </c>
      <c r="D665" s="60">
        <v>75657</v>
      </c>
      <c r="E665" s="21">
        <v>789.4</v>
      </c>
      <c r="F665" s="19"/>
      <c r="G665" s="21"/>
      <c r="H665" s="19"/>
      <c r="I665" s="20">
        <v>45476</v>
      </c>
    </row>
    <row r="666" spans="1:9">
      <c r="A666" s="18">
        <v>756</v>
      </c>
      <c r="B666" s="19" t="str">
        <f>IFERROR(VLOOKUP(A666,CLIENTES!A:E,2,0),"CADASTRAR CLIENTE")</f>
        <v>LAB.TRIANON DE ANAL.CLIN.SC LTDA.</v>
      </c>
      <c r="C666" s="60" t="s">
        <v>3</v>
      </c>
      <c r="D666" s="60">
        <v>75678</v>
      </c>
      <c r="E666" s="21">
        <v>3412.64</v>
      </c>
      <c r="F666" s="19"/>
      <c r="G666" s="21"/>
      <c r="H666" s="19"/>
      <c r="I666" s="20">
        <v>45476</v>
      </c>
    </row>
    <row r="667" spans="1:9">
      <c r="A667" s="18">
        <v>50418</v>
      </c>
      <c r="B667" s="19" t="str">
        <f>IFERROR(VLOOKUP(A667,CLIENTES!A:E,2,0),"CADASTRAR CLIENTE")</f>
        <v>LABORATORIO SAO LUCAS DE BROTAS SS LTDA</v>
      </c>
      <c r="C667" s="60" t="s">
        <v>3</v>
      </c>
      <c r="D667" s="60">
        <v>75659</v>
      </c>
      <c r="E667" s="21">
        <v>2457.42</v>
      </c>
      <c r="F667" s="19"/>
      <c r="G667" s="21"/>
      <c r="H667" s="19"/>
      <c r="I667" s="20">
        <v>45477</v>
      </c>
    </row>
    <row r="668" spans="1:9">
      <c r="A668" s="18">
        <v>50418</v>
      </c>
      <c r="B668" s="19" t="str">
        <f>IFERROR(VLOOKUP(A668,CLIENTES!A:E,2,0),"CADASTRAR CLIENTE")</f>
        <v>LABORATORIO SAO LUCAS DE BROTAS SS LTDA</v>
      </c>
      <c r="C668" s="60" t="s">
        <v>3</v>
      </c>
      <c r="D668" s="60">
        <v>123</v>
      </c>
      <c r="E668" s="21">
        <v>410</v>
      </c>
      <c r="F668" s="19"/>
      <c r="G668" s="21"/>
      <c r="H668" s="19"/>
      <c r="I668" s="20">
        <v>45477</v>
      </c>
    </row>
    <row r="669" spans="1:9">
      <c r="A669" s="18">
        <v>50816</v>
      </c>
      <c r="B669" s="19" t="str">
        <f>IFERROR(VLOOKUP(A669,CLIENTES!A:E,2,0),"CADASTRAR CLIENTE")</f>
        <v>RALO &amp; DORNELLES CLINICA VETERINARIA LTDA ME</v>
      </c>
      <c r="C669" s="60" t="s">
        <v>3</v>
      </c>
      <c r="D669" s="60">
        <v>75712</v>
      </c>
      <c r="E669" s="21">
        <v>169</v>
      </c>
      <c r="F669" s="19"/>
      <c r="G669" s="21"/>
      <c r="H669" s="19"/>
      <c r="I669" s="20">
        <v>45477</v>
      </c>
    </row>
    <row r="670" spans="1:9">
      <c r="A670" s="18">
        <v>475</v>
      </c>
      <c r="B670" s="19" t="str">
        <f>IFERROR(VLOOKUP(A670,CLIENTES!A:E,2,0),"CADASTRAR CLIENTE")</f>
        <v>LABORATORIO DE ANALISES CLINICAS SRC LTDA</v>
      </c>
      <c r="C670" s="60" t="s">
        <v>3</v>
      </c>
      <c r="D670" s="60">
        <v>75717</v>
      </c>
      <c r="E670" s="21">
        <v>1584.75</v>
      </c>
      <c r="F670" s="19"/>
      <c r="G670" s="21"/>
      <c r="H670" s="19"/>
      <c r="I670" s="20">
        <v>45477</v>
      </c>
    </row>
    <row r="671" spans="1:9">
      <c r="A671" s="18">
        <v>746</v>
      </c>
      <c r="B671" s="19" t="str">
        <f>IFERROR(VLOOKUP(A671,CLIENTES!A:E,2,0),"CADASTRAR CLIENTE")</f>
        <v>LAB.ANAL.CLIN.BIOCLIN SC LTDA.</v>
      </c>
      <c r="C671" s="60" t="s">
        <v>3</v>
      </c>
      <c r="D671" s="60">
        <v>75745</v>
      </c>
      <c r="E671" s="21">
        <v>1465.2</v>
      </c>
      <c r="F671" s="19"/>
      <c r="G671" s="21"/>
      <c r="H671" s="19"/>
      <c r="I671" s="20">
        <v>45477</v>
      </c>
    </row>
    <row r="672" spans="1:9">
      <c r="A672" s="18">
        <v>2415</v>
      </c>
      <c r="B672" s="19" t="str">
        <f>IFERROR(VLOOKUP(A672,CLIENTES!A:E,2,0),"CADASTRAR CLIENTE")</f>
        <v>ROSSETTO E BARROS LABORATORIO DE ANALISES CLINICAS LTDA</v>
      </c>
      <c r="C672" s="60" t="s">
        <v>3</v>
      </c>
      <c r="D672" s="60">
        <v>75771</v>
      </c>
      <c r="E672" s="21">
        <v>531.64</v>
      </c>
      <c r="F672" s="19"/>
      <c r="G672" s="21"/>
      <c r="H672" s="19"/>
      <c r="I672" s="20">
        <v>45477</v>
      </c>
    </row>
    <row r="673" spans="1:9">
      <c r="A673" s="18">
        <v>3194</v>
      </c>
      <c r="B673" s="19" t="str">
        <f>IFERROR(VLOOKUP(A673,CLIENTES!A:E,2,0),"CADASTRAR CLIENTE")</f>
        <v>CENTRO DE DIAGNOSTICOS CONTROLE LTDA</v>
      </c>
      <c r="C673" s="60" t="s">
        <v>3</v>
      </c>
      <c r="D673" s="60">
        <v>75787</v>
      </c>
      <c r="E673" s="21">
        <v>467.7</v>
      </c>
      <c r="F673" s="19"/>
      <c r="G673" s="21"/>
      <c r="H673" s="19"/>
      <c r="I673" s="20">
        <v>45478</v>
      </c>
    </row>
    <row r="674" spans="1:9">
      <c r="A674" s="18">
        <v>3194</v>
      </c>
      <c r="B674" s="19" t="str">
        <f>IFERROR(VLOOKUP(A674,CLIENTES!A:E,2,0),"CADASTRAR CLIENTE")</f>
        <v>CENTRO DE DIAGNOSTICOS CONTROLE LTDA</v>
      </c>
      <c r="C674" s="60" t="s">
        <v>3</v>
      </c>
      <c r="D674" s="60">
        <v>99047</v>
      </c>
      <c r="E674" s="21">
        <v>149.1</v>
      </c>
      <c r="F674" s="19"/>
      <c r="G674" s="21"/>
      <c r="H674" s="19"/>
      <c r="I674" s="20">
        <v>45478</v>
      </c>
    </row>
    <row r="675" spans="1:9">
      <c r="A675" s="18">
        <v>50497</v>
      </c>
      <c r="B675" s="19" t="str">
        <f>IFERROR(VLOOKUP(A675,CLIENTES!A:E,2,0),"CADASTRAR CLIENTE")</f>
        <v>DIAGNOSTIKA-UNIDADE DIAGNOSTICA EM PATOLOGIA CIRURGICA E CITOLOGIA LTDA</v>
      </c>
      <c r="C675" s="60" t="s">
        <v>3</v>
      </c>
      <c r="D675" s="60">
        <v>99050</v>
      </c>
      <c r="E675" s="21">
        <v>45.5</v>
      </c>
      <c r="F675" s="19"/>
      <c r="G675" s="21"/>
      <c r="H675" s="19"/>
      <c r="I675" s="20">
        <v>45481</v>
      </c>
    </row>
    <row r="676" spans="1:9">
      <c r="A676" s="18">
        <v>1533</v>
      </c>
      <c r="B676" s="19" t="str">
        <f>IFERROR(VLOOKUP(A676,CLIENTES!A:E,2,0),"CADASTRAR CLIENTE")</f>
        <v>LABORATORIO BIOANALISE DIAGNOSTICO LTDA</v>
      </c>
      <c r="C676" s="60" t="s">
        <v>3</v>
      </c>
      <c r="D676" s="60">
        <v>75803</v>
      </c>
      <c r="E676" s="21">
        <v>1276.2</v>
      </c>
      <c r="F676" s="19"/>
      <c r="G676" s="21"/>
      <c r="H676" s="19"/>
      <c r="I676" s="20">
        <v>45481</v>
      </c>
    </row>
    <row r="677" spans="1:9">
      <c r="A677" s="18">
        <v>1623</v>
      </c>
      <c r="B677" s="19" t="str">
        <f>IFERROR(VLOOKUP(A677,CLIENTES!A:E,2,0),"CADASTRAR CLIENTE")</f>
        <v>LAB.ANAL.CLIN. E REP. BADY BASSIT LTDA</v>
      </c>
      <c r="C677" s="60" t="s">
        <v>3</v>
      </c>
      <c r="D677" s="60">
        <v>75814</v>
      </c>
      <c r="E677" s="21">
        <v>592</v>
      </c>
      <c r="F677" s="19"/>
      <c r="G677" s="21"/>
      <c r="H677" s="19"/>
      <c r="I677" s="20">
        <v>45481</v>
      </c>
    </row>
    <row r="678" spans="1:9">
      <c r="A678" s="18">
        <v>412</v>
      </c>
      <c r="B678" s="19" t="str">
        <f>IFERROR(VLOOKUP(A678,CLIENTES!A:E,2,0),"CADASTRAR CLIENTE")</f>
        <v>LAB.ANAL.CLIN.SAO MANUEL SC LTDA.</v>
      </c>
      <c r="C678" s="60" t="s">
        <v>3</v>
      </c>
      <c r="D678" s="60">
        <v>75816</v>
      </c>
      <c r="E678" s="21">
        <v>1017.45</v>
      </c>
      <c r="F678" s="19"/>
      <c r="G678" s="21"/>
      <c r="H678" s="19"/>
      <c r="I678" s="20">
        <v>45481</v>
      </c>
    </row>
    <row r="679" spans="1:9">
      <c r="A679" s="18">
        <v>50497</v>
      </c>
      <c r="B679" s="19" t="str">
        <f>IFERROR(VLOOKUP(A679,CLIENTES!A:E,2,0),"CADASTRAR CLIENTE")</f>
        <v>DIAGNOSTIKA-UNIDADE DIAGNOSTICA EM PATOLOGIA CIRURGICA E CITOLOGIA LTDA</v>
      </c>
      <c r="C679" s="60" t="s">
        <v>3</v>
      </c>
      <c r="D679" s="60">
        <v>75824</v>
      </c>
      <c r="E679" s="21">
        <v>76.400000000000006</v>
      </c>
      <c r="F679" s="19"/>
      <c r="G679" s="21"/>
      <c r="H679" s="19"/>
      <c r="I679" s="20">
        <v>45481</v>
      </c>
    </row>
    <row r="680" spans="1:9">
      <c r="A680" s="18">
        <v>874</v>
      </c>
      <c r="B680" s="19" t="str">
        <f>IFERROR(VLOOKUP(A680,CLIENTES!A:E,2,0),"CADASTRAR CLIENTE")</f>
        <v>LAB.ANAL.CLIN ABI JAUDI SC LTDA.</v>
      </c>
      <c r="C680" s="60" t="s">
        <v>3</v>
      </c>
      <c r="D680" s="60">
        <v>75833</v>
      </c>
      <c r="E680" s="21">
        <v>1154.55</v>
      </c>
      <c r="F680" s="19"/>
      <c r="G680" s="21"/>
      <c r="H680" s="19"/>
      <c r="I680" s="20">
        <v>45481</v>
      </c>
    </row>
    <row r="681" spans="1:9">
      <c r="A681" s="18">
        <v>1813</v>
      </c>
      <c r="B681" s="19" t="str">
        <f>IFERROR(VLOOKUP(A681,CLIENTES!A:E,2,0),"CADASTRAR CLIENTE")</f>
        <v>BIOMED LAB.ANAL.CLIN. SC  LTDA</v>
      </c>
      <c r="C681" s="60" t="s">
        <v>3</v>
      </c>
      <c r="D681" s="60">
        <v>75829</v>
      </c>
      <c r="E681" s="21">
        <v>972.6</v>
      </c>
      <c r="F681" s="19"/>
      <c r="G681" s="21"/>
      <c r="H681" s="19"/>
      <c r="I681" s="20">
        <v>45481</v>
      </c>
    </row>
    <row r="682" spans="1:9">
      <c r="A682" s="18">
        <v>2192</v>
      </c>
      <c r="B682" s="19" t="str">
        <f>IFERROR(VLOOKUP(A682,CLIENTES!A:E,2,0),"CADASTRAR CLIENTE")</f>
        <v>CADASTRAR CLIENTE</v>
      </c>
      <c r="C682" s="60" t="s">
        <v>3</v>
      </c>
      <c r="D682" s="60">
        <v>75403</v>
      </c>
      <c r="E682" s="21">
        <v>2171.37</v>
      </c>
      <c r="F682" s="19"/>
      <c r="G682" s="21"/>
      <c r="H682" s="19"/>
      <c r="I682" s="20">
        <v>45481</v>
      </c>
    </row>
    <row r="683" spans="1:9">
      <c r="A683" s="18">
        <v>2022</v>
      </c>
      <c r="B683" s="19" t="str">
        <f>IFERROR(VLOOKUP(A683,CLIENTES!A:E,2,0),"CADASTRAR CLIENTE")</f>
        <v>LAB. MEDICO DR. MARICONDI S/C LTDA.</v>
      </c>
      <c r="C683" s="60" t="s">
        <v>3</v>
      </c>
      <c r="D683" s="60">
        <v>75848</v>
      </c>
      <c r="E683" s="21">
        <v>983</v>
      </c>
      <c r="F683" s="19"/>
      <c r="G683" s="21"/>
      <c r="H683" s="19"/>
      <c r="I683" s="20">
        <v>45481</v>
      </c>
    </row>
    <row r="684" spans="1:9">
      <c r="A684" s="18">
        <v>1122</v>
      </c>
      <c r="B684" s="19" t="str">
        <f>IFERROR(VLOOKUP(A684,CLIENTES!A:E,2,0),"CADASTRAR CLIENTE")</f>
        <v>FUNDEPAG</v>
      </c>
      <c r="C684" s="60" t="s">
        <v>3</v>
      </c>
      <c r="D684" s="60">
        <v>75860</v>
      </c>
      <c r="E684" s="21">
        <v>1048.3</v>
      </c>
      <c r="F684" s="19"/>
      <c r="G684" s="21"/>
      <c r="H684" s="19"/>
      <c r="I684" s="20">
        <v>45483</v>
      </c>
    </row>
    <row r="685" spans="1:9">
      <c r="A685" s="18">
        <v>823</v>
      </c>
      <c r="B685" s="19" t="str">
        <f>IFERROR(VLOOKUP(A685,CLIENTES!A:E,2,0),"CADASTRAR CLIENTE")</f>
        <v>SANCHES x SANCHES S/C LTDA</v>
      </c>
      <c r="C685" s="60" t="s">
        <v>328</v>
      </c>
      <c r="D685" s="60">
        <v>75226</v>
      </c>
      <c r="E685" s="21">
        <v>9059.15</v>
      </c>
      <c r="F685" s="19"/>
      <c r="G685" s="21"/>
      <c r="H685" s="19"/>
      <c r="I685" s="20">
        <v>45483</v>
      </c>
    </row>
    <row r="686" spans="1:9">
      <c r="A686" s="18">
        <v>1041</v>
      </c>
      <c r="B686" s="19" t="str">
        <f>IFERROR(VLOOKUP(A686,CLIENTES!A:E,2,0),"CADASTRAR CLIENTE")</f>
        <v>EDSON VANDERLEI CARRERA</v>
      </c>
      <c r="C686" s="60" t="s">
        <v>3</v>
      </c>
      <c r="D686" s="60">
        <v>75868</v>
      </c>
      <c r="E686" s="21">
        <v>264</v>
      </c>
      <c r="F686" s="19"/>
      <c r="G686" s="21"/>
      <c r="H686" s="19"/>
      <c r="I686" s="20">
        <v>45483</v>
      </c>
    </row>
    <row r="687" spans="1:9">
      <c r="A687" s="18">
        <v>708</v>
      </c>
      <c r="B687" s="19" t="str">
        <f>IFERROR(VLOOKUP(A687,CLIENTES!A:E,2,0),"CADASTRAR CLIENTE")</f>
        <v>IMEDI INST.MEDICO DE PAT.E DIAGNOSTICO SC LTDA.</v>
      </c>
      <c r="C687" s="60" t="s">
        <v>3</v>
      </c>
      <c r="D687" s="60">
        <v>75873</v>
      </c>
      <c r="E687" s="21">
        <v>2272.5</v>
      </c>
      <c r="F687" s="19"/>
      <c r="G687" s="21"/>
      <c r="H687" s="19"/>
      <c r="I687" s="20">
        <v>45483</v>
      </c>
    </row>
    <row r="688" spans="1:9">
      <c r="A688" s="18">
        <v>620</v>
      </c>
      <c r="B688" s="19" t="str">
        <f>IFERROR(VLOOKUP(A688,CLIENTES!A:E,2,0),"CADASTRAR CLIENTE")</f>
        <v>LAB.SAO PAULO DE ANAL.CLIN.SC LTDA.</v>
      </c>
      <c r="C688" s="60" t="s">
        <v>3</v>
      </c>
      <c r="D688" s="60">
        <v>75872</v>
      </c>
      <c r="E688" s="21">
        <v>401</v>
      </c>
      <c r="F688" s="19"/>
      <c r="G688" s="21"/>
      <c r="H688" s="19"/>
      <c r="I688" s="20">
        <v>45483</v>
      </c>
    </row>
    <row r="689" spans="1:9">
      <c r="A689" s="18">
        <v>311</v>
      </c>
      <c r="B689" s="19" t="str">
        <f>IFERROR(VLOOKUP(A689,CLIENTES!A:E,2,0),"CADASTRAR CLIENTE")</f>
        <v>CENTRO DE ANAL.CLIN. UNILAB  SC LTDA.</v>
      </c>
      <c r="C689" s="60" t="s">
        <v>3</v>
      </c>
      <c r="D689" s="60">
        <v>75894</v>
      </c>
      <c r="E689" s="21">
        <v>904.1</v>
      </c>
      <c r="F689" s="19"/>
      <c r="G689" s="21"/>
      <c r="H689" s="19"/>
      <c r="I689" s="20">
        <v>45483</v>
      </c>
    </row>
    <row r="690" spans="1:9">
      <c r="A690" s="18">
        <v>762</v>
      </c>
      <c r="B690" s="19" t="str">
        <f>IFERROR(VLOOKUP(A690,CLIENTES!A:E,2,0),"CADASTRAR CLIENTE")</f>
        <v>STA. CASA MISERICORDIA DE ARACATUBA</v>
      </c>
      <c r="C690" s="60" t="s">
        <v>2</v>
      </c>
      <c r="D690" s="60">
        <v>75903</v>
      </c>
      <c r="E690" s="21">
        <v>3280</v>
      </c>
      <c r="F690" s="19"/>
      <c r="G690" s="21"/>
      <c r="H690" s="19"/>
      <c r="I690" s="20">
        <v>45483</v>
      </c>
    </row>
    <row r="691" spans="1:9">
      <c r="A691" s="18">
        <v>432</v>
      </c>
      <c r="B691" s="19" t="str">
        <f>IFERROR(VLOOKUP(A691,CLIENTES!A:E,2,0),"CADASTRAR CLIENTE")</f>
        <v>LABORATORIO PASTEUR HEMATOLOGIA E MICROBIOLOGIA S/S LTDA</v>
      </c>
      <c r="C691" s="60" t="s">
        <v>3</v>
      </c>
      <c r="D691" s="60">
        <v>74724</v>
      </c>
      <c r="E691" s="21">
        <v>4454.57</v>
      </c>
      <c r="F691" s="19"/>
      <c r="G691" s="21"/>
      <c r="H691" s="19"/>
      <c r="I691" s="20">
        <v>45484</v>
      </c>
    </row>
    <row r="692" spans="1:9">
      <c r="A692" s="18">
        <v>432</v>
      </c>
      <c r="B692" s="19" t="str">
        <f>IFERROR(VLOOKUP(A692,CLIENTES!A:E,2,0),"CADASTRAR CLIENTE")</f>
        <v>LABORATORIO PASTEUR HEMATOLOGIA E MICROBIOLOGIA S/S LTDA</v>
      </c>
      <c r="C692" s="60" t="s">
        <v>3</v>
      </c>
      <c r="D692" s="60">
        <v>99061</v>
      </c>
      <c r="E692" s="21">
        <v>408.38</v>
      </c>
      <c r="F692" s="19"/>
      <c r="G692" s="21"/>
      <c r="H692" s="19"/>
      <c r="I692" s="20">
        <v>45484</v>
      </c>
    </row>
    <row r="693" spans="1:9">
      <c r="A693" s="18">
        <v>2022</v>
      </c>
      <c r="B693" s="19" t="str">
        <f>IFERROR(VLOOKUP(A693,CLIENTES!A:E,2,0),"CADASTRAR CLIENTE")</f>
        <v>LAB. MEDICO DR. MARICONDI S/C LTDA.</v>
      </c>
      <c r="C693" s="60" t="s">
        <v>3</v>
      </c>
      <c r="D693" s="60">
        <v>75917</v>
      </c>
      <c r="E693" s="21">
        <v>1922.34</v>
      </c>
      <c r="F693" s="19"/>
      <c r="G693" s="21"/>
      <c r="H693" s="19"/>
      <c r="I693" s="20">
        <v>45484</v>
      </c>
    </row>
    <row r="694" spans="1:9">
      <c r="A694" s="18">
        <v>2022</v>
      </c>
      <c r="B694" s="19" t="str">
        <f>IFERROR(VLOOKUP(A694,CLIENTES!A:E,2,0),"CADASTRAR CLIENTE")</f>
        <v>LAB. MEDICO DR. MARICONDI S/C LTDA.</v>
      </c>
      <c r="C694" s="60" t="s">
        <v>3</v>
      </c>
      <c r="D694" s="60">
        <v>99007</v>
      </c>
      <c r="E694" s="21">
        <v>215</v>
      </c>
      <c r="F694" s="19"/>
      <c r="G694" s="21"/>
      <c r="H694" s="19"/>
      <c r="I694" s="20">
        <v>45484</v>
      </c>
    </row>
    <row r="695" spans="1:9">
      <c r="A695" s="18">
        <v>687</v>
      </c>
      <c r="B695" s="19" t="str">
        <f>IFERROR(VLOOKUP(A695,CLIENTES!A:E,2,0),"CADASTRAR CLIENTE")</f>
        <v>LAB ANAL CLIN VENDRAMINI S/S LTDA</v>
      </c>
      <c r="C695" s="60" t="s">
        <v>3</v>
      </c>
      <c r="D695" s="60">
        <v>75933</v>
      </c>
      <c r="E695" s="21">
        <v>856</v>
      </c>
      <c r="F695" s="19"/>
      <c r="G695" s="21"/>
      <c r="H695" s="19"/>
      <c r="I695" s="20">
        <v>45485</v>
      </c>
    </row>
    <row r="696" spans="1:9">
      <c r="A696" s="18">
        <v>705</v>
      </c>
      <c r="B696" s="19" t="str">
        <f>IFERROR(VLOOKUP(A696,CLIENTES!A:E,2,0),"CADASTRAR CLIENTE")</f>
        <v>JOAO JOSE SCHIAVUZZO ME</v>
      </c>
      <c r="C696" s="60" t="s">
        <v>3</v>
      </c>
      <c r="D696" s="60">
        <v>99016</v>
      </c>
      <c r="E696" s="21">
        <v>400</v>
      </c>
      <c r="F696" s="19"/>
      <c r="G696" s="21"/>
      <c r="H696" s="19"/>
      <c r="I696" s="20">
        <v>45485</v>
      </c>
    </row>
    <row r="697" spans="1:9">
      <c r="A697" s="18">
        <v>705</v>
      </c>
      <c r="B697" s="19" t="str">
        <f>IFERROR(VLOOKUP(A697,CLIENTES!A:E,2,0),"CADASTRAR CLIENTE")</f>
        <v>JOAO JOSE SCHIAVUZZO ME</v>
      </c>
      <c r="C697" s="60" t="s">
        <v>3</v>
      </c>
      <c r="D697" s="60">
        <v>75612</v>
      </c>
      <c r="E697" s="21">
        <v>228.7</v>
      </c>
      <c r="F697" s="19"/>
      <c r="G697" s="21"/>
      <c r="H697" s="19"/>
      <c r="I697" s="20">
        <v>45485</v>
      </c>
    </row>
    <row r="698" spans="1:9">
      <c r="A698" s="18">
        <v>480</v>
      </c>
      <c r="B698" s="19" t="str">
        <f>IFERROR(VLOOKUP(A698,CLIENTES!A:E,2,0),"CADASTRAR CLIENTE")</f>
        <v>LAB SAO LUCAS</v>
      </c>
      <c r="C698" s="60" t="s">
        <v>3</v>
      </c>
      <c r="D698" s="60">
        <v>98992</v>
      </c>
      <c r="E698" s="21">
        <v>96.1</v>
      </c>
      <c r="F698" s="19"/>
      <c r="G698" s="21"/>
      <c r="H698" s="19"/>
      <c r="I698" s="20">
        <v>45485</v>
      </c>
    </row>
    <row r="699" spans="1:9">
      <c r="A699" s="18">
        <v>480</v>
      </c>
      <c r="B699" s="19" t="str">
        <f>IFERROR(VLOOKUP(A699,CLIENTES!A:E,2,0),"CADASTRAR CLIENTE")</f>
        <v>LAB SAO LUCAS</v>
      </c>
      <c r="C699" s="60" t="s">
        <v>3</v>
      </c>
      <c r="D699" s="60">
        <v>75774</v>
      </c>
      <c r="E699" s="21">
        <v>256</v>
      </c>
      <c r="F699" s="19"/>
      <c r="G699" s="21"/>
      <c r="H699" s="19"/>
      <c r="I699" s="20">
        <v>45485</v>
      </c>
    </row>
    <row r="700" spans="1:9">
      <c r="A700" s="18">
        <v>3475</v>
      </c>
      <c r="B700" s="19" t="str">
        <f>IFERROR(VLOOKUP(A700,CLIENTES!A:E,2,0),"CADASTRAR CLIENTE")</f>
        <v>LQF LABORATORIO QUIMICO FARMACEUTICO RIO PRETO EIRELI - ME</v>
      </c>
      <c r="C700" s="60" t="s">
        <v>3</v>
      </c>
      <c r="D700" s="60">
        <v>75617</v>
      </c>
      <c r="E700" s="21">
        <v>665.5</v>
      </c>
      <c r="F700" s="19"/>
      <c r="G700" s="21"/>
      <c r="H700" s="19"/>
      <c r="I700" s="20">
        <v>45485</v>
      </c>
    </row>
    <row r="701" spans="1:9">
      <c r="A701" s="18">
        <v>1726</v>
      </c>
      <c r="B701" s="19" t="str">
        <f>IFERROR(VLOOKUP(A701,CLIENTES!A:E,2,0),"CADASTRAR CLIENTE")</f>
        <v>IRMANDADE DA SANTA CASA DE MISERIC. DE MOGI MIRIM</v>
      </c>
      <c r="C701" s="60" t="s">
        <v>2</v>
      </c>
      <c r="D701" s="60">
        <v>75953</v>
      </c>
      <c r="E701" s="21">
        <v>389.8</v>
      </c>
      <c r="F701" s="19"/>
      <c r="G701" s="21"/>
      <c r="H701" s="19"/>
      <c r="I701" s="20">
        <v>45485</v>
      </c>
    </row>
    <row r="702" spans="1:9">
      <c r="A702" s="18">
        <v>784</v>
      </c>
      <c r="B702" s="19" t="str">
        <f>IFERROR(VLOOKUP(A702,CLIENTES!A:E,2,0),"CADASTRAR CLIENTE")</f>
        <v>LAB.ANAL.CLIN. ALBERT SABIN SC LTDA.</v>
      </c>
      <c r="C702" s="60" t="s">
        <v>3</v>
      </c>
      <c r="D702" s="60">
        <v>75624</v>
      </c>
      <c r="E702" s="21">
        <v>722</v>
      </c>
      <c r="F702" s="19"/>
      <c r="G702" s="21"/>
      <c r="H702" s="19"/>
      <c r="I702" s="20">
        <v>45485</v>
      </c>
    </row>
    <row r="703" spans="1:9">
      <c r="A703" s="18">
        <v>704</v>
      </c>
      <c r="B703" s="19" t="str">
        <f>IFERROR(VLOOKUP(A703,CLIENTES!A:E,2,0),"CADASTRAR CLIENTE")</f>
        <v>LAB. ONUMA E BASILIO S/C LTDA</v>
      </c>
      <c r="C703" s="60" t="s">
        <v>328</v>
      </c>
      <c r="D703" s="60">
        <v>75973</v>
      </c>
      <c r="E703" s="21">
        <v>767.5</v>
      </c>
      <c r="F703" s="19"/>
      <c r="G703" s="21"/>
      <c r="H703" s="19"/>
      <c r="I703" s="20">
        <v>45485</v>
      </c>
    </row>
    <row r="704" spans="1:9">
      <c r="A704" s="18">
        <v>704</v>
      </c>
      <c r="B704" s="19" t="str">
        <f>IFERROR(VLOOKUP(A704,CLIENTES!A:E,2,0),"CADASTRAR CLIENTE")</f>
        <v>LAB. ONUMA E BASILIO S/C LTDA</v>
      </c>
      <c r="C704" s="60" t="s">
        <v>328</v>
      </c>
      <c r="D704" s="60">
        <v>99080</v>
      </c>
      <c r="E704" s="21">
        <v>91.12</v>
      </c>
      <c r="F704" s="19"/>
      <c r="G704" s="21"/>
      <c r="H704" s="19"/>
      <c r="I704" s="20">
        <v>45485</v>
      </c>
    </row>
    <row r="705" spans="1:9">
      <c r="A705" s="18">
        <v>581</v>
      </c>
      <c r="B705" s="19" t="str">
        <f>IFERROR(VLOOKUP(A705,CLIENTES!A:E,2,0),"CADASTRAR CLIENTE")</f>
        <v>CLINILAB LABORAT. ANAL. CLIN SC LTDA</v>
      </c>
      <c r="C705" s="60" t="s">
        <v>3</v>
      </c>
      <c r="D705" s="60">
        <v>99084</v>
      </c>
      <c r="E705" s="21">
        <v>1155.57</v>
      </c>
      <c r="F705" s="19"/>
      <c r="G705" s="21"/>
      <c r="H705" s="19"/>
      <c r="I705" s="20">
        <v>45485</v>
      </c>
    </row>
    <row r="706" spans="1:9">
      <c r="A706" s="18">
        <v>581</v>
      </c>
      <c r="B706" s="19" t="str">
        <f>IFERROR(VLOOKUP(A706,CLIENTES!A:E,2,0),"CADASTRAR CLIENTE")</f>
        <v>CLINILAB LABORAT. ANAL. CLIN SC LTDA</v>
      </c>
      <c r="C706" s="60" t="s">
        <v>3</v>
      </c>
      <c r="D706" s="60">
        <v>75983</v>
      </c>
      <c r="E706" s="21">
        <v>92</v>
      </c>
      <c r="F706" s="19"/>
      <c r="G706" s="21"/>
      <c r="H706" s="19"/>
      <c r="I706" s="20">
        <v>45485</v>
      </c>
    </row>
    <row r="707" spans="1:9">
      <c r="A707" s="18">
        <v>50544</v>
      </c>
      <c r="B707" s="19" t="str">
        <f>IFERROR(VLOOKUP(A707,CLIENTES!A:E,2,0),"CADASTRAR CLIENTE")</f>
        <v>CADASTRAR CLIENTE</v>
      </c>
      <c r="C707" s="60" t="s">
        <v>3</v>
      </c>
      <c r="D707" s="60">
        <v>75988</v>
      </c>
      <c r="E707" s="21">
        <v>567.29999999999995</v>
      </c>
      <c r="F707" s="19"/>
      <c r="G707" s="21"/>
      <c r="H707" s="19"/>
      <c r="I707" s="20">
        <v>45488</v>
      </c>
    </row>
    <row r="708" spans="1:9">
      <c r="A708" s="18">
        <v>761</v>
      </c>
      <c r="B708" s="19" t="str">
        <f>IFERROR(VLOOKUP(A708,CLIENTES!A:E,2,0),"CADASTRAR CLIENTE")</f>
        <v>EXAME CENTRO DIAG.M.ARACATUBA SC LTDA.</v>
      </c>
      <c r="C708" s="60" t="s">
        <v>3</v>
      </c>
      <c r="D708" s="60">
        <v>75908</v>
      </c>
      <c r="E708" s="21">
        <v>212.7</v>
      </c>
      <c r="F708" s="19"/>
      <c r="G708" s="21"/>
      <c r="H708" s="19"/>
      <c r="I708" s="20">
        <v>45488</v>
      </c>
    </row>
    <row r="709" spans="1:9">
      <c r="A709" s="18">
        <v>761</v>
      </c>
      <c r="B709" s="19" t="str">
        <f>IFERROR(VLOOKUP(A709,CLIENTES!A:E,2,0),"CADASTRAR CLIENTE")</f>
        <v>EXAME CENTRO DIAG.M.ARACATUBA SC LTDA.</v>
      </c>
      <c r="C709" s="60" t="s">
        <v>3</v>
      </c>
      <c r="D709" s="60">
        <v>99074</v>
      </c>
      <c r="E709" s="21">
        <v>172</v>
      </c>
      <c r="F709" s="19"/>
      <c r="G709" s="21"/>
      <c r="H709" s="19"/>
      <c r="I709" s="20">
        <v>45488</v>
      </c>
    </row>
    <row r="710" spans="1:9">
      <c r="A710" s="18">
        <v>618</v>
      </c>
      <c r="B710" s="19" t="str">
        <f>IFERROR(VLOOKUP(A710,CLIENTES!A:E,2,0),"CADASTRAR CLIENTE")</f>
        <v>LAB. ANAL. CLIN. POMPEIA</v>
      </c>
      <c r="C710" s="60" t="s">
        <v>3</v>
      </c>
      <c r="D710" s="60">
        <v>76001</v>
      </c>
      <c r="E710" s="21">
        <v>2358.6999999999998</v>
      </c>
      <c r="F710" s="19"/>
      <c r="G710" s="21"/>
      <c r="H710" s="19"/>
      <c r="I710" s="20">
        <v>45488</v>
      </c>
    </row>
    <row r="711" spans="1:9">
      <c r="A711" s="18">
        <v>618</v>
      </c>
      <c r="B711" s="19" t="str">
        <f>IFERROR(VLOOKUP(A711,CLIENTES!A:E,2,0),"CADASTRAR CLIENTE")</f>
        <v>LAB. ANAL. CLIN. POMPEIA</v>
      </c>
      <c r="C711" s="60" t="s">
        <v>3</v>
      </c>
      <c r="D711" s="60">
        <v>99085</v>
      </c>
      <c r="E711" s="21">
        <v>446</v>
      </c>
      <c r="F711" s="19"/>
      <c r="G711" s="21"/>
      <c r="H711" s="19"/>
      <c r="I711" s="20">
        <v>45488</v>
      </c>
    </row>
    <row r="712" spans="1:9">
      <c r="A712" s="18">
        <v>3240</v>
      </c>
      <c r="B712" s="19" t="str">
        <f>IFERROR(VLOOKUP(A712,CLIENTES!A:E,2,0),"CADASTRAR CLIENTE")</f>
        <v>LABORLOPES LABORATORIO DE  ANALISES CLINICAS LTDA</v>
      </c>
      <c r="C712" s="60" t="s">
        <v>3</v>
      </c>
      <c r="D712" s="60">
        <v>76005</v>
      </c>
      <c r="E712" s="21">
        <v>1047.9000000000001</v>
      </c>
      <c r="F712" s="19"/>
      <c r="G712" s="21"/>
      <c r="H712" s="19"/>
      <c r="I712" s="20">
        <v>45488</v>
      </c>
    </row>
    <row r="713" spans="1:9">
      <c r="A713" s="18">
        <v>50576</v>
      </c>
      <c r="B713" s="19" t="str">
        <f>IFERROR(VLOOKUP(A713,CLIENTES!A:E,2,0),"CADASTRAR CLIENTE")</f>
        <v>ANDRIAO CANEPPA E SILVA LTDA ME</v>
      </c>
      <c r="C713" s="60" t="s">
        <v>3</v>
      </c>
      <c r="D713" s="60">
        <v>75907</v>
      </c>
      <c r="E713" s="21">
        <v>2846.1</v>
      </c>
      <c r="F713" s="19"/>
      <c r="G713" s="21"/>
      <c r="H713" s="19"/>
      <c r="I713" s="20">
        <v>45488</v>
      </c>
    </row>
    <row r="714" spans="1:9">
      <c r="A714" s="18">
        <v>50526</v>
      </c>
      <c r="B714" s="19" t="str">
        <f>IFERROR(VLOOKUP(A714,CLIENTES!A:E,2,0),"CADASTRAR CLIENTE")</f>
        <v>MURILO RIGOTTO TERRASSI</v>
      </c>
      <c r="C714" s="60" t="s">
        <v>3</v>
      </c>
      <c r="D714" s="60">
        <v>99093</v>
      </c>
      <c r="E714" s="21">
        <v>94.8</v>
      </c>
      <c r="F714" s="19"/>
      <c r="G714" s="21"/>
      <c r="H714" s="19"/>
      <c r="I714" s="20">
        <v>45488</v>
      </c>
    </row>
    <row r="715" spans="1:9">
      <c r="A715" s="18">
        <v>475</v>
      </c>
      <c r="B715" s="19" t="str">
        <f>IFERROR(VLOOKUP(A715,CLIENTES!A:E,2,0),"CADASTRAR CLIENTE")</f>
        <v>LABORATORIO DE ANALISES CLINICAS SRC LTDA</v>
      </c>
      <c r="C715" s="60" t="s">
        <v>2</v>
      </c>
      <c r="D715" s="60">
        <v>76012</v>
      </c>
      <c r="E715" s="21">
        <v>4776.17</v>
      </c>
      <c r="F715" s="19"/>
      <c r="G715" s="21"/>
      <c r="H715" s="19"/>
      <c r="I715" s="20">
        <v>45488</v>
      </c>
    </row>
    <row r="716" spans="1:9">
      <c r="A716" s="18">
        <v>823</v>
      </c>
      <c r="B716" s="19" t="str">
        <f>IFERROR(VLOOKUP(A716,CLIENTES!A:E,2,0),"CADASTRAR CLIENTE")</f>
        <v>SANCHES x SANCHES S/C LTDA</v>
      </c>
      <c r="C716" s="60" t="s">
        <v>3</v>
      </c>
      <c r="D716" s="60">
        <v>99060</v>
      </c>
      <c r="E716" s="21">
        <v>110</v>
      </c>
      <c r="F716" s="19"/>
      <c r="G716" s="21"/>
      <c r="H716" s="19"/>
      <c r="I716" s="20">
        <v>45488</v>
      </c>
    </row>
    <row r="717" spans="1:9">
      <c r="A717" s="18">
        <v>51042</v>
      </c>
      <c r="B717" s="19" t="str">
        <f>IFERROR(VLOOKUP(A717,CLIENTES!A:E,2,0),"CADASTRAR CLIENTE")</f>
        <v>CLINICAO ANDRADINA PET SHOP E CLINICA VETERINARIA LTDA</v>
      </c>
      <c r="C717" s="60" t="s">
        <v>3</v>
      </c>
      <c r="D717" s="60">
        <v>75789</v>
      </c>
      <c r="E717" s="21">
        <v>249.51</v>
      </c>
      <c r="F717" s="19"/>
      <c r="G717" s="21"/>
      <c r="H717" s="19"/>
      <c r="I717" s="20">
        <v>45488</v>
      </c>
    </row>
    <row r="718" spans="1:9">
      <c r="A718" s="18">
        <v>51042</v>
      </c>
      <c r="B718" s="19" t="str">
        <f>IFERROR(VLOOKUP(A718,CLIENTES!A:E,2,0),"CADASTRAR CLIENTE")</f>
        <v>CLINICAO ANDRADINA PET SHOP E CLINICA VETERINARIA LTDA</v>
      </c>
      <c r="C718" s="60" t="s">
        <v>3</v>
      </c>
      <c r="D718" s="60">
        <v>99049</v>
      </c>
      <c r="E718" s="21">
        <v>177.75</v>
      </c>
      <c r="F718" s="19"/>
      <c r="G718" s="21"/>
      <c r="H718" s="19"/>
      <c r="I718" s="20">
        <v>45488</v>
      </c>
    </row>
    <row r="719" spans="1:9">
      <c r="A719" s="18">
        <v>2198</v>
      </c>
      <c r="B719" s="19" t="str">
        <f>IFERROR(VLOOKUP(A719,CLIENTES!A:E,2,0),"CADASTRAR CLIENTE")</f>
        <v>LABORATORIO BIONALISES S.S. LTDA</v>
      </c>
      <c r="C719" s="60" t="s">
        <v>3</v>
      </c>
      <c r="D719" s="60">
        <v>75924</v>
      </c>
      <c r="E719" s="21">
        <v>3620.05</v>
      </c>
      <c r="F719" s="19"/>
      <c r="G719" s="21"/>
      <c r="H719" s="19"/>
      <c r="I719" s="20">
        <v>45489</v>
      </c>
    </row>
    <row r="720" spans="1:9">
      <c r="A720" s="18">
        <v>1206</v>
      </c>
      <c r="B720" s="19" t="str">
        <f>IFERROR(VLOOKUP(A720,CLIENTES!A:E,2,0),"CADASTRAR CLIENTE")</f>
        <v>LABORATORIO RIO NEGRO CENTER DE MARILIA  LTDA</v>
      </c>
      <c r="C720" s="60" t="s">
        <v>3</v>
      </c>
      <c r="D720" s="60">
        <v>76055</v>
      </c>
      <c r="E720" s="21">
        <v>1013.4</v>
      </c>
      <c r="F720" s="19"/>
      <c r="G720" s="21"/>
      <c r="H720" s="19"/>
      <c r="I720" s="20">
        <v>45489</v>
      </c>
    </row>
    <row r="721" spans="1:9">
      <c r="A721" s="18">
        <v>3077</v>
      </c>
      <c r="B721" s="19" t="str">
        <f>IFERROR(VLOOKUP(A721,CLIENTES!A:E,2,0),"CADASTRAR CLIENTE")</f>
        <v>CBI ANALISES CLINICAS S/S LTDA</v>
      </c>
      <c r="C721" s="60" t="s">
        <v>3</v>
      </c>
      <c r="D721" s="60">
        <v>76052</v>
      </c>
      <c r="E721" s="21">
        <v>628.15</v>
      </c>
      <c r="F721" s="19"/>
      <c r="G721" s="21"/>
      <c r="H721" s="19"/>
      <c r="I721" s="20">
        <v>45489</v>
      </c>
    </row>
    <row r="722" spans="1:9">
      <c r="A722" s="18">
        <v>3077</v>
      </c>
      <c r="B722" s="19" t="str">
        <f>IFERROR(VLOOKUP(A722,CLIENTES!A:E,2,0),"CADASTRAR CLIENTE")</f>
        <v>CBI ANALISES CLINICAS S/S LTDA</v>
      </c>
      <c r="C722" s="60" t="s">
        <v>3</v>
      </c>
      <c r="D722" s="60">
        <v>99103</v>
      </c>
      <c r="E722" s="21">
        <v>84.5</v>
      </c>
      <c r="F722" s="19"/>
      <c r="G722" s="21"/>
      <c r="H722" s="19"/>
      <c r="I722" s="20">
        <v>45489</v>
      </c>
    </row>
    <row r="723" spans="1:9">
      <c r="A723" s="18">
        <v>50554</v>
      </c>
      <c r="B723" s="19" t="str">
        <f>IFERROR(VLOOKUP(A723,CLIENTES!A:E,2,0),"CADASTRAR CLIENTE")</f>
        <v>SAO ROQUE MEDICINA DIAGNOSTICA</v>
      </c>
      <c r="C723" s="60" t="s">
        <v>3</v>
      </c>
      <c r="D723" s="60">
        <v>75792</v>
      </c>
      <c r="E723" s="21">
        <v>189</v>
      </c>
      <c r="F723" s="19"/>
      <c r="G723" s="21"/>
      <c r="H723" s="19"/>
      <c r="I723" s="20">
        <v>45489</v>
      </c>
    </row>
    <row r="724" spans="1:9">
      <c r="A724" s="18">
        <v>690</v>
      </c>
      <c r="B724" s="19" t="str">
        <f>IFERROR(VLOOKUP(A724,CLIENTES!A:E,2,0),"CADASTRAR CLIENTE")</f>
        <v>SAO ROQUE MEDICINA DIAGNOSTICA LTDA EPP</v>
      </c>
      <c r="C724" s="60" t="s">
        <v>3</v>
      </c>
      <c r="D724" s="60">
        <v>75790</v>
      </c>
      <c r="E724" s="21">
        <v>189</v>
      </c>
      <c r="F724" s="19"/>
      <c r="G724" s="21"/>
      <c r="H724" s="19"/>
      <c r="I724" s="20">
        <v>45489</v>
      </c>
    </row>
    <row r="725" spans="1:9">
      <c r="A725" s="18">
        <v>1989</v>
      </c>
      <c r="B725" s="19" t="str">
        <f>IFERROR(VLOOKUP(A725,CLIENTES!A:E,2,0),"CADASTRAR CLIENTE")</f>
        <v>SAO FRANCISCO ANAL. CLIN.</v>
      </c>
      <c r="C725" s="60" t="s">
        <v>3</v>
      </c>
      <c r="D725" s="60">
        <v>75793</v>
      </c>
      <c r="E725" s="21">
        <v>606.12</v>
      </c>
      <c r="F725" s="19"/>
      <c r="G725" s="21"/>
      <c r="H725" s="19"/>
      <c r="I725" s="20">
        <v>45489</v>
      </c>
    </row>
    <row r="726" spans="1:9">
      <c r="A726" s="18">
        <v>311</v>
      </c>
      <c r="B726" s="19" t="str">
        <f>IFERROR(VLOOKUP(A726,CLIENTES!A:E,2,0),"CADASTRAR CLIENTE")</f>
        <v>CENTRO DE ANAL.CLIN. UNILAB  SC LTDA.</v>
      </c>
      <c r="C726" s="60" t="s">
        <v>3</v>
      </c>
      <c r="D726" s="60">
        <v>99064</v>
      </c>
      <c r="E726" s="21">
        <v>814.29</v>
      </c>
      <c r="F726" s="19"/>
      <c r="G726" s="21"/>
      <c r="H726" s="19"/>
      <c r="I726" s="20">
        <v>45489</v>
      </c>
    </row>
    <row r="727" spans="1:9">
      <c r="A727" s="18">
        <v>311</v>
      </c>
      <c r="B727" s="19" t="str">
        <f>IFERROR(VLOOKUP(A727,CLIENTES!A:E,2,0),"CADASTRAR CLIENTE")</f>
        <v>CENTRO DE ANAL.CLIN. UNILAB  SC LTDA.</v>
      </c>
      <c r="C727" s="60" t="s">
        <v>3</v>
      </c>
      <c r="D727" s="60">
        <v>76022</v>
      </c>
      <c r="E727" s="21">
        <v>113</v>
      </c>
      <c r="F727" s="19"/>
      <c r="G727" s="21"/>
      <c r="H727" s="19"/>
      <c r="I727" s="20">
        <v>45489</v>
      </c>
    </row>
    <row r="728" spans="1:9">
      <c r="A728" s="18">
        <v>2022</v>
      </c>
      <c r="B728" s="19" t="str">
        <f>IFERROR(VLOOKUP(A728,CLIENTES!A:E,2,0),"CADASTRAR CLIENTE")</f>
        <v>LAB. MEDICO DR. MARICONDI S/C LTDA.</v>
      </c>
      <c r="C728" s="60" t="s">
        <v>3</v>
      </c>
      <c r="D728" s="60">
        <v>76064</v>
      </c>
      <c r="E728" s="21">
        <v>664.47</v>
      </c>
      <c r="F728" s="19"/>
      <c r="G728" s="21"/>
      <c r="H728" s="19"/>
      <c r="I728" s="20">
        <v>45489</v>
      </c>
    </row>
    <row r="729" spans="1:9">
      <c r="A729" s="18">
        <v>1493</v>
      </c>
      <c r="B729" s="19" t="str">
        <f>IFERROR(VLOOKUP(A729,CLIENTES!A:E,2,0),"CADASTRAR CLIENTE")</f>
        <v>CEDIMA  CENTRO DE DIAG MONTE AZUL ANAL CLIN E CIT</v>
      </c>
      <c r="C729" s="60" t="s">
        <v>3</v>
      </c>
      <c r="D729" s="60">
        <v>74726</v>
      </c>
      <c r="E729" s="21">
        <v>1172.3900000000001</v>
      </c>
      <c r="F729" s="19"/>
      <c r="G729" s="21"/>
      <c r="H729" s="19"/>
      <c r="I729" s="20">
        <v>45489</v>
      </c>
    </row>
    <row r="730" spans="1:9">
      <c r="A730" s="18">
        <v>1164</v>
      </c>
      <c r="B730" s="19" t="str">
        <f>IFERROR(VLOOKUP(A730,CLIENTES!A:E,2,0),"CADASTRAR CLIENTE")</f>
        <v>LAB. ANAL. CLIN. SAO LOURENCO S/C LTDA</v>
      </c>
      <c r="C730" s="60" t="s">
        <v>3</v>
      </c>
      <c r="D730" s="60">
        <v>76099</v>
      </c>
      <c r="E730" s="21">
        <v>390.4</v>
      </c>
      <c r="F730" s="19"/>
      <c r="G730" s="21"/>
      <c r="H730" s="19"/>
      <c r="I730" s="20">
        <v>45490</v>
      </c>
    </row>
    <row r="731" spans="1:9">
      <c r="A731" s="18">
        <v>1905</v>
      </c>
      <c r="B731" s="19" t="str">
        <f>IFERROR(VLOOKUP(A731,CLIENTES!A:E,2,0),"CADASTRAR CLIENTE")</f>
        <v>A.C. CORREA DE OLIVEIRA LABORATORIO CLÍNICO</v>
      </c>
      <c r="C731" s="60" t="s">
        <v>3</v>
      </c>
      <c r="D731" s="60">
        <v>76030</v>
      </c>
      <c r="E731" s="21">
        <v>389.4</v>
      </c>
      <c r="F731" s="19"/>
      <c r="G731" s="21"/>
      <c r="H731" s="19"/>
      <c r="I731" s="20">
        <v>45490</v>
      </c>
    </row>
    <row r="732" spans="1:9">
      <c r="A732" s="18">
        <v>822</v>
      </c>
      <c r="B732" s="19" t="str">
        <f>IFERROR(VLOOKUP(A732,CLIENTES!A:E,2,0),"CADASTRAR CLIENTE")</f>
        <v>SAO LUCAS LABORATORIO ANAL. CLIN. S/C LTDA</v>
      </c>
      <c r="C732" s="60" t="s">
        <v>3</v>
      </c>
      <c r="D732" s="60">
        <v>75906</v>
      </c>
      <c r="E732" s="21">
        <v>343</v>
      </c>
      <c r="F732" s="19"/>
      <c r="G732" s="21"/>
      <c r="H732" s="19"/>
      <c r="I732" s="20">
        <v>45490</v>
      </c>
    </row>
    <row r="733" spans="1:9">
      <c r="A733" s="18">
        <v>756</v>
      </c>
      <c r="B733" s="19" t="str">
        <f>IFERROR(VLOOKUP(A733,CLIENTES!A:E,2,0),"CADASTRAR CLIENTE")</f>
        <v>LAB.TRIANON DE ANAL.CLIN.SC LTDA.</v>
      </c>
      <c r="C733" s="60" t="s">
        <v>3</v>
      </c>
      <c r="D733" s="60">
        <v>75898</v>
      </c>
      <c r="E733" s="21">
        <v>1765.1</v>
      </c>
      <c r="F733" s="19"/>
      <c r="G733" s="21"/>
      <c r="H733" s="19"/>
      <c r="I733" s="20">
        <v>45490</v>
      </c>
    </row>
    <row r="734" spans="1:9">
      <c r="A734" s="18">
        <v>325</v>
      </c>
      <c r="B734" s="19" t="str">
        <f>IFERROR(VLOOKUP(A734,CLIENTES!A:E,2,0),"CADASTRAR CLIENTE")</f>
        <v>EXAME-LABORAT. DE ANAL. CLIN. CITODIAGNOSTICO S/S LTDA</v>
      </c>
      <c r="C734" s="60" t="s">
        <v>3</v>
      </c>
      <c r="D734" s="60">
        <v>99110</v>
      </c>
      <c r="E734" s="21">
        <v>345.8</v>
      </c>
      <c r="F734" s="19"/>
      <c r="G734" s="21"/>
      <c r="H734" s="19"/>
      <c r="I734" s="20">
        <v>45490</v>
      </c>
    </row>
    <row r="735" spans="1:9">
      <c r="A735" s="18">
        <v>325</v>
      </c>
      <c r="B735" s="19" t="str">
        <f>IFERROR(VLOOKUP(A735,CLIENTES!A:E,2,0),"CADASTRAR CLIENTE")</f>
        <v>EXAME-LABORAT. DE ANAL. CLIN. CITODIAGNOSTICO S/S LTDA</v>
      </c>
      <c r="C735" s="60" t="s">
        <v>3</v>
      </c>
      <c r="D735" s="60">
        <v>76135</v>
      </c>
      <c r="E735" s="21">
        <v>955.7</v>
      </c>
      <c r="F735" s="19"/>
      <c r="G735" s="21"/>
      <c r="H735" s="19"/>
      <c r="I735" s="20">
        <v>45490</v>
      </c>
    </row>
    <row r="736" spans="1:9">
      <c r="A736" s="18">
        <v>50497</v>
      </c>
      <c r="B736" s="19" t="str">
        <f>IFERROR(VLOOKUP(A736,CLIENTES!A:E,2,0),"CADASTRAR CLIENTE")</f>
        <v>DIAGNOSTIKA-UNIDADE DIAGNOSTICA EM PATOLOGIA CIRURGICA E CITOLOGIA LTDA</v>
      </c>
      <c r="C736" s="60" t="s">
        <v>3</v>
      </c>
      <c r="D736" s="60">
        <v>99111</v>
      </c>
      <c r="E736" s="21">
        <v>69.900000000000006</v>
      </c>
      <c r="F736" s="19"/>
      <c r="G736" s="21"/>
      <c r="H736" s="19"/>
      <c r="I736" s="20">
        <v>45491</v>
      </c>
    </row>
    <row r="737" spans="1:9">
      <c r="A737" s="18">
        <v>432</v>
      </c>
      <c r="B737" s="19" t="str">
        <f>IFERROR(VLOOKUP(A737,CLIENTES!A:E,2,0),"CADASTRAR CLIENTE")</f>
        <v>LABORATORIO PASTEUR HEMATOLOGIA E MICROBIOLOGIA S/S LTDA</v>
      </c>
      <c r="C737" s="60" t="s">
        <v>3</v>
      </c>
      <c r="D737" s="60">
        <v>75905</v>
      </c>
      <c r="E737" s="21">
        <v>92.5</v>
      </c>
      <c r="F737" s="19"/>
      <c r="G737" s="21"/>
      <c r="H737" s="19"/>
      <c r="I737" s="20">
        <v>45491</v>
      </c>
    </row>
    <row r="738" spans="1:9">
      <c r="A738" s="18">
        <v>432</v>
      </c>
      <c r="B738" s="19" t="str">
        <f>IFERROR(VLOOKUP(A738,CLIENTES!A:E,2,0),"CADASTRAR CLIENTE")</f>
        <v>LABORATORIO PASTEUR HEMATOLOGIA E MICROBIOLOGIA S/S LTDA</v>
      </c>
      <c r="C738" s="60" t="s">
        <v>3</v>
      </c>
      <c r="D738" s="60">
        <v>99112</v>
      </c>
      <c r="E738" s="21">
        <v>206.47</v>
      </c>
      <c r="F738" s="19"/>
      <c r="G738" s="21"/>
      <c r="H738" s="19"/>
      <c r="I738" s="20">
        <v>45491</v>
      </c>
    </row>
    <row r="739" spans="1:9">
      <c r="A739" s="18">
        <v>516</v>
      </c>
      <c r="B739" s="19" t="str">
        <f>IFERROR(VLOOKUP(A739,CLIENTES!A:E,2,0),"CADASTRAR CLIENTE")</f>
        <v>TECNOLAB PATOLOGIA CLINICA S/C LTDA</v>
      </c>
      <c r="C739" s="60" t="s">
        <v>2</v>
      </c>
      <c r="D739" s="60">
        <v>76157</v>
      </c>
      <c r="E739" s="21">
        <v>14125.05</v>
      </c>
      <c r="F739" s="19"/>
      <c r="G739" s="21"/>
      <c r="H739" s="19"/>
      <c r="I739" s="20">
        <v>45491</v>
      </c>
    </row>
    <row r="740" spans="1:9">
      <c r="A740" s="18">
        <v>2022</v>
      </c>
      <c r="B740" s="19" t="str">
        <f>IFERROR(VLOOKUP(A740,CLIENTES!A:E,2,0),"CADASTRAR CLIENTE")</f>
        <v>LAB. MEDICO DR. MARICONDI S/C LTDA.</v>
      </c>
      <c r="C740" s="60" t="s">
        <v>3</v>
      </c>
      <c r="D740" s="60">
        <v>76179</v>
      </c>
      <c r="E740" s="21">
        <v>3692.6</v>
      </c>
      <c r="F740" s="19"/>
      <c r="G740" s="21"/>
      <c r="H740" s="19"/>
      <c r="I740" s="20">
        <v>45492</v>
      </c>
    </row>
    <row r="741" spans="1:9">
      <c r="A741" s="18">
        <v>746</v>
      </c>
      <c r="B741" s="19" t="str">
        <f>IFERROR(VLOOKUP(A741,CLIENTES!A:E,2,0),"CADASTRAR CLIENTE")</f>
        <v>LAB.ANAL.CLIN.BIOCLIN SC LTDA.</v>
      </c>
      <c r="C741" s="60" t="s">
        <v>3</v>
      </c>
      <c r="D741" s="60">
        <v>76187</v>
      </c>
      <c r="E741" s="21">
        <v>505.8</v>
      </c>
      <c r="F741" s="19"/>
      <c r="G741" s="21"/>
      <c r="H741" s="19"/>
      <c r="I741" s="20">
        <v>45492</v>
      </c>
    </row>
    <row r="742" spans="1:9">
      <c r="A742" s="18">
        <v>475</v>
      </c>
      <c r="B742" s="19" t="str">
        <f>IFERROR(VLOOKUP(A742,CLIENTES!A:E,2,0),"CADASTRAR CLIENTE")</f>
        <v>LABORATORIO DE ANALISES CLINICAS SRC LTDA</v>
      </c>
      <c r="C742" s="60" t="s">
        <v>2</v>
      </c>
      <c r="D742" s="60">
        <v>76086</v>
      </c>
      <c r="E742" s="21">
        <v>5679.6</v>
      </c>
      <c r="F742" s="19"/>
      <c r="G742" s="21"/>
      <c r="H742" s="19"/>
      <c r="I742" s="20">
        <v>45492</v>
      </c>
    </row>
    <row r="743" spans="1:9">
      <c r="A743" s="18">
        <v>475</v>
      </c>
      <c r="B743" s="19" t="str">
        <f>IFERROR(VLOOKUP(A743,CLIENTES!A:E,2,0),"CADASTRAR CLIENTE")</f>
        <v>LABORATORIO DE ANALISES CLINICAS SRC LTDA</v>
      </c>
      <c r="C743" s="60" t="s">
        <v>2</v>
      </c>
      <c r="D743" s="60">
        <v>99122</v>
      </c>
      <c r="E743" s="21">
        <v>206.47</v>
      </c>
      <c r="F743" s="19"/>
      <c r="G743" s="21"/>
      <c r="H743" s="19"/>
      <c r="I743" s="20">
        <v>45492</v>
      </c>
    </row>
    <row r="744" spans="1:9">
      <c r="A744" s="18">
        <v>335</v>
      </c>
      <c r="B744" s="19" t="str">
        <f>IFERROR(VLOOKUP(A744,CLIENTES!A:E,2,0),"CADASTRAR CLIENTE")</f>
        <v>LABORATORIO VIDA  S/S LTDA</v>
      </c>
      <c r="C744" s="60" t="s">
        <v>3</v>
      </c>
      <c r="D744" s="60">
        <v>76212</v>
      </c>
      <c r="E744" s="21">
        <v>141.55000000000001</v>
      </c>
      <c r="F744" s="19"/>
      <c r="G744" s="21"/>
      <c r="H744" s="19"/>
      <c r="I744" s="20">
        <v>45492</v>
      </c>
    </row>
    <row r="745" spans="1:9">
      <c r="A745" s="18">
        <v>335</v>
      </c>
      <c r="B745" s="19" t="str">
        <f>IFERROR(VLOOKUP(A745,CLIENTES!A:E,2,0),"CADASTRAR CLIENTE")</f>
        <v>LABORATORIO VIDA  S/S LTDA</v>
      </c>
      <c r="C745" s="60" t="s">
        <v>3</v>
      </c>
      <c r="D745" s="60">
        <v>99124</v>
      </c>
      <c r="E745" s="21">
        <v>539.35</v>
      </c>
      <c r="F745" s="19"/>
      <c r="G745" s="21"/>
      <c r="H745" s="19"/>
      <c r="I745" s="20">
        <v>45492</v>
      </c>
    </row>
    <row r="746" spans="1:9">
      <c r="A746" s="18">
        <v>3077</v>
      </c>
      <c r="B746" s="19" t="str">
        <f>IFERROR(VLOOKUP(A746,CLIENTES!A:E,2,0),"CADASTRAR CLIENTE")</f>
        <v>CBI ANALISES CLINICAS S/S LTDA</v>
      </c>
      <c r="C746" s="60" t="s">
        <v>3</v>
      </c>
      <c r="D746" s="60">
        <v>76052</v>
      </c>
      <c r="E746" s="21">
        <v>628.15</v>
      </c>
      <c r="F746" s="19"/>
      <c r="G746" s="21"/>
      <c r="H746" s="19"/>
      <c r="I746" s="20">
        <v>45492</v>
      </c>
    </row>
    <row r="747" spans="1:9">
      <c r="A747" s="18">
        <v>3077</v>
      </c>
      <c r="B747" s="19" t="str">
        <f>IFERROR(VLOOKUP(A747,CLIENTES!A:E,2,0),"CADASTRAR CLIENTE")</f>
        <v>CBI ANALISES CLINICAS S/S LTDA</v>
      </c>
      <c r="C747" s="60" t="s">
        <v>3</v>
      </c>
      <c r="D747" s="60">
        <v>99103</v>
      </c>
      <c r="E747" s="21">
        <v>84.5</v>
      </c>
      <c r="F747" s="19"/>
      <c r="G747" s="21"/>
      <c r="H747" s="19"/>
      <c r="I747" s="20">
        <v>45492</v>
      </c>
    </row>
    <row r="748" spans="1:9">
      <c r="A748" s="18">
        <v>9063</v>
      </c>
      <c r="B748" s="19" t="str">
        <f>IFERROR(VLOOKUP(A748,CLIENTES!A:E,2,0),"CADASTRAR CLIENTE")</f>
        <v>LABORATORIO SAMIA LTDA</v>
      </c>
      <c r="C748" s="60" t="s">
        <v>3</v>
      </c>
      <c r="D748" s="60">
        <v>76217</v>
      </c>
      <c r="E748" s="21">
        <v>664.3</v>
      </c>
      <c r="F748" s="19"/>
      <c r="G748" s="21"/>
      <c r="H748" s="19"/>
      <c r="I748" s="20">
        <v>45492</v>
      </c>
    </row>
    <row r="749" spans="1:9">
      <c r="A749" s="18">
        <v>761</v>
      </c>
      <c r="B749" s="19" t="str">
        <f>IFERROR(VLOOKUP(A749,CLIENTES!A:E,2,0),"CADASTRAR CLIENTE")</f>
        <v>EXAME CENTRO DIAG.M.ARACATUBA SC LTDA.</v>
      </c>
      <c r="C749" s="60" t="s">
        <v>3</v>
      </c>
      <c r="D749" s="60">
        <v>76233</v>
      </c>
      <c r="E749" s="21">
        <v>2566</v>
      </c>
      <c r="F749" s="19"/>
      <c r="G749" s="21"/>
      <c r="H749" s="19"/>
      <c r="I749" s="20">
        <v>45495</v>
      </c>
    </row>
    <row r="750" spans="1:9">
      <c r="A750" s="18">
        <v>761</v>
      </c>
      <c r="B750" s="19" t="str">
        <f>IFERROR(VLOOKUP(A750,CLIENTES!A:E,2,0),"CADASTRAR CLIENTE")</f>
        <v>EXAME CENTRO DIAG.M.ARACATUBA SC LTDA.</v>
      </c>
      <c r="C750" s="60" t="s">
        <v>3</v>
      </c>
      <c r="D750" s="60">
        <v>99127</v>
      </c>
      <c r="E750" s="21">
        <v>337.9</v>
      </c>
      <c r="F750" s="19"/>
      <c r="G750" s="21"/>
      <c r="H750" s="19"/>
      <c r="I750" s="20">
        <v>45495</v>
      </c>
    </row>
    <row r="751" spans="1:9">
      <c r="A751" s="18">
        <v>705</v>
      </c>
      <c r="B751" s="19" t="str">
        <f>IFERROR(VLOOKUP(A751,CLIENTES!A:E,2,0),"CADASTRAR CLIENTE")</f>
        <v>JOAO JOSE SCHIAVUZZO ME</v>
      </c>
      <c r="C751" s="60" t="s">
        <v>328</v>
      </c>
      <c r="D751" s="60">
        <v>75926</v>
      </c>
      <c r="E751" s="21">
        <v>426</v>
      </c>
      <c r="F751" s="19"/>
      <c r="G751" s="21"/>
      <c r="H751" s="19"/>
      <c r="I751" s="20">
        <v>45495</v>
      </c>
    </row>
    <row r="752" spans="1:9">
      <c r="A752" s="18">
        <v>1016</v>
      </c>
      <c r="B752" s="19" t="str">
        <f>IFERROR(VLOOKUP(A752,CLIENTES!A:E,2,0),"CADASTRAR CLIENTE")</f>
        <v>LAB.ANAL.CLIN. SAO LUCAS SC LTDA.</v>
      </c>
      <c r="C752" s="60" t="s">
        <v>328</v>
      </c>
      <c r="D752" s="60">
        <v>76244</v>
      </c>
      <c r="E752" s="21">
        <v>509.56</v>
      </c>
      <c r="F752" s="19"/>
      <c r="G752" s="21"/>
      <c r="H752" s="19"/>
      <c r="I752" s="20">
        <v>45495</v>
      </c>
    </row>
    <row r="753" spans="1:9">
      <c r="A753" s="18">
        <v>3017</v>
      </c>
      <c r="B753" s="19" t="str">
        <f>IFERROR(VLOOKUP(A753,CLIENTES!A:E,2,0),"CADASTRAR CLIENTE")</f>
        <v>IMUNOLAB LABORATORIO DE ANALISES CLINICAS LTDA ME</v>
      </c>
      <c r="C753" s="60" t="s">
        <v>3</v>
      </c>
      <c r="D753" s="60">
        <v>76249</v>
      </c>
      <c r="E753" s="21">
        <v>1320.16</v>
      </c>
      <c r="F753" s="19"/>
      <c r="G753" s="21"/>
      <c r="H753" s="19"/>
      <c r="I753" s="20">
        <v>45495</v>
      </c>
    </row>
    <row r="754" spans="1:9">
      <c r="A754" s="18">
        <v>822</v>
      </c>
      <c r="B754" s="19" t="str">
        <f>IFERROR(VLOOKUP(A754,CLIENTES!A:E,2,0),"CADASTRAR CLIENTE")</f>
        <v>SAO LUCAS LABORATORIO ANAL. CLIN. S/C LTDA</v>
      </c>
      <c r="C754" s="60" t="s">
        <v>3</v>
      </c>
      <c r="D754" s="60">
        <v>75906</v>
      </c>
      <c r="E754" s="21">
        <v>343</v>
      </c>
      <c r="F754" s="19"/>
      <c r="G754" s="21"/>
      <c r="H754" s="19"/>
      <c r="I754" s="20">
        <v>45495</v>
      </c>
    </row>
    <row r="755" spans="1:9">
      <c r="A755" s="18">
        <v>3240</v>
      </c>
      <c r="B755" s="19" t="str">
        <f>IFERROR(VLOOKUP(A755,CLIENTES!A:E,2,0),"CADASTRAR CLIENTE")</f>
        <v>LABORLOPES LABORATORIO DE  ANALISES CLINICAS LTDA</v>
      </c>
      <c r="C755" s="60" t="s">
        <v>3</v>
      </c>
      <c r="D755" s="60">
        <v>99132</v>
      </c>
      <c r="E755" s="21">
        <v>66.569999999999993</v>
      </c>
      <c r="F755" s="19"/>
      <c r="G755" s="21"/>
      <c r="H755" s="19"/>
      <c r="I755" s="20">
        <v>45495</v>
      </c>
    </row>
    <row r="756" spans="1:9">
      <c r="A756" s="18">
        <v>3240</v>
      </c>
      <c r="B756" s="19" t="str">
        <f>IFERROR(VLOOKUP(A756,CLIENTES!A:E,2,0),"CADASTRAR CLIENTE")</f>
        <v>LABORLOPES LABORATORIO DE  ANALISES CLINICAS LTDA</v>
      </c>
      <c r="C756" s="60" t="s">
        <v>3</v>
      </c>
      <c r="D756" s="60">
        <v>76252</v>
      </c>
      <c r="E756" s="21">
        <v>908.6</v>
      </c>
      <c r="F756" s="19"/>
      <c r="G756" s="21"/>
      <c r="H756" s="19"/>
      <c r="I756" s="20">
        <v>45495</v>
      </c>
    </row>
    <row r="757" spans="1:9">
      <c r="A757" s="18">
        <v>756</v>
      </c>
      <c r="B757" s="19" t="str">
        <f>IFERROR(VLOOKUP(A757,CLIENTES!A:E,2,0),"CADASTRAR CLIENTE")</f>
        <v>LAB.TRIANON DE ANAL.CLIN.SC LTDA.</v>
      </c>
      <c r="C757" s="60" t="s">
        <v>3</v>
      </c>
      <c r="D757" s="60">
        <v>76270</v>
      </c>
      <c r="E757" s="21">
        <v>2781.72</v>
      </c>
      <c r="F757" s="19"/>
      <c r="G757" s="21"/>
      <c r="H757" s="19"/>
      <c r="I757" s="20">
        <v>45496</v>
      </c>
    </row>
    <row r="758" spans="1:9">
      <c r="A758" s="18">
        <v>756</v>
      </c>
      <c r="B758" s="19" t="str">
        <f>IFERROR(VLOOKUP(A758,CLIENTES!A:E,2,0),"CADASTRAR CLIENTE")</f>
        <v>LAB.TRIANON DE ANAL.CLIN.SC LTDA.</v>
      </c>
      <c r="C758" s="60" t="s">
        <v>3</v>
      </c>
      <c r="D758" s="60">
        <v>99031</v>
      </c>
      <c r="E758" s="21">
        <v>246.96</v>
      </c>
      <c r="F758" s="19"/>
      <c r="G758" s="21"/>
      <c r="H758" s="19"/>
      <c r="I758" s="20">
        <v>45496</v>
      </c>
    </row>
    <row r="759" spans="1:9">
      <c r="A759" s="18">
        <v>2163</v>
      </c>
      <c r="B759" s="19" t="str">
        <f>IFERROR(VLOOKUP(A759,CLIENTES!A:E,2,0),"CADASTRAR CLIENTE")</f>
        <v>BIO-LAB SAO JUDAS TADEU S/C LTDA - ME</v>
      </c>
      <c r="C759" s="60" t="s">
        <v>328</v>
      </c>
      <c r="D759" s="60">
        <v>76276</v>
      </c>
      <c r="E759" s="21">
        <v>1944.39</v>
      </c>
      <c r="F759" s="19"/>
      <c r="G759" s="21"/>
      <c r="H759" s="19"/>
      <c r="I759" s="20">
        <v>45496</v>
      </c>
    </row>
    <row r="760" spans="1:9">
      <c r="A760" s="18">
        <v>500242</v>
      </c>
      <c r="B760" s="19" t="str">
        <f>IFERROR(VLOOKUP(A760,CLIENTES!A:E,2,0),"CADASTRAR CLIENTE")</f>
        <v>CADASTRAR CLIENTE</v>
      </c>
      <c r="C760" s="60" t="s">
        <v>3</v>
      </c>
      <c r="D760" s="60">
        <v>74981</v>
      </c>
      <c r="E760" s="21">
        <v>456.06</v>
      </c>
      <c r="F760" s="19"/>
      <c r="G760" s="21"/>
      <c r="H760" s="19"/>
      <c r="I760" s="20">
        <v>45496</v>
      </c>
    </row>
    <row r="761" spans="1:9">
      <c r="A761" s="18">
        <v>1122</v>
      </c>
      <c r="B761" s="19" t="str">
        <f>IFERROR(VLOOKUP(A761,CLIENTES!A:E,2,0),"CADASTRAR CLIENTE")</f>
        <v>FUNDEPAG</v>
      </c>
      <c r="C761" s="60" t="s">
        <v>2</v>
      </c>
      <c r="D761" s="60">
        <v>76291</v>
      </c>
      <c r="E761" s="21">
        <v>1340</v>
      </c>
      <c r="F761" s="19"/>
      <c r="G761" s="21"/>
      <c r="H761" s="19"/>
      <c r="I761" s="20">
        <v>45496</v>
      </c>
    </row>
    <row r="762" spans="1:9">
      <c r="A762" s="18">
        <v>50310</v>
      </c>
      <c r="B762" s="19" t="str">
        <f>IFERROR(VLOOKUP(A762,CLIENTES!A:E,2,0),"CADASTRAR CLIENTE")</f>
        <v>ANSELMO EDUARDO BIANCO</v>
      </c>
      <c r="C762" s="60" t="s">
        <v>3</v>
      </c>
      <c r="D762" s="60">
        <v>99141</v>
      </c>
      <c r="E762" s="21">
        <v>311.2</v>
      </c>
      <c r="F762" s="19"/>
      <c r="G762" s="21"/>
      <c r="H762" s="19"/>
      <c r="I762" s="20">
        <v>45497</v>
      </c>
    </row>
    <row r="763" spans="1:9">
      <c r="A763" s="18">
        <v>906</v>
      </c>
      <c r="B763" s="19" t="str">
        <f>IFERROR(VLOOKUP(A763,CLIENTES!A:E,2,0),"CADASTRAR CLIENTE")</f>
        <v>LABORATORIO ANAL. CLIN. DESCALVADO LTDA</v>
      </c>
      <c r="C763" s="60" t="s">
        <v>3</v>
      </c>
      <c r="D763" s="60">
        <v>76263</v>
      </c>
      <c r="E763" s="21">
        <v>751</v>
      </c>
      <c r="F763" s="19"/>
      <c r="G763" s="21"/>
      <c r="H763" s="19"/>
      <c r="I763" s="20">
        <v>45497</v>
      </c>
    </row>
    <row r="764" spans="1:9">
      <c r="A764" s="18">
        <v>906</v>
      </c>
      <c r="B764" s="19" t="str">
        <f>IFERROR(VLOOKUP(A764,CLIENTES!A:E,2,0),"CADASTRAR CLIENTE")</f>
        <v>LABORATORIO ANAL. CLIN. DESCALVADO LTDA</v>
      </c>
      <c r="C764" s="60" t="s">
        <v>3</v>
      </c>
      <c r="D764" s="60">
        <v>12345</v>
      </c>
      <c r="E764" s="21">
        <v>410</v>
      </c>
      <c r="F764" s="19"/>
      <c r="G764" s="21"/>
      <c r="H764" s="19"/>
      <c r="I764" s="20">
        <v>45497</v>
      </c>
    </row>
    <row r="765" spans="1:9">
      <c r="A765" s="18">
        <v>2702</v>
      </c>
      <c r="B765" s="19" t="str">
        <f>IFERROR(VLOOKUP(A765,CLIENTES!A:E,2,0),"CADASTRAR CLIENTE")</f>
        <v>SANTA CASA DE MISER. DE TAQUARITUBA</v>
      </c>
      <c r="C765" s="60" t="s">
        <v>3</v>
      </c>
      <c r="D765" s="60">
        <v>76298</v>
      </c>
      <c r="E765" s="21">
        <v>883</v>
      </c>
      <c r="F765" s="19"/>
      <c r="G765" s="21"/>
      <c r="H765" s="19"/>
      <c r="I765" s="20">
        <v>45497</v>
      </c>
    </row>
    <row r="766" spans="1:9">
      <c r="A766" s="18">
        <v>708</v>
      </c>
      <c r="B766" s="19" t="str">
        <f>IFERROR(VLOOKUP(A766,CLIENTES!A:E,2,0),"CADASTRAR CLIENTE")</f>
        <v>IMEDI INST.MEDICO DE PAT.E DIAGNOSTICO SC LTDA.</v>
      </c>
      <c r="C766" s="60" t="s">
        <v>3</v>
      </c>
      <c r="D766" s="60">
        <v>76308</v>
      </c>
      <c r="E766" s="21">
        <v>2275.5</v>
      </c>
      <c r="F766" s="19"/>
      <c r="G766" s="21"/>
      <c r="H766" s="19"/>
      <c r="I766" s="20">
        <v>45497</v>
      </c>
    </row>
    <row r="767" spans="1:9">
      <c r="A767" s="18">
        <v>50576</v>
      </c>
      <c r="B767" s="19" t="str">
        <f>IFERROR(VLOOKUP(A767,CLIENTES!A:E,2,0),"CADASTRAR CLIENTE")</f>
        <v>ANDRIAO CANEPPA E SILVA LTDA ME</v>
      </c>
      <c r="C767" s="60" t="s">
        <v>3</v>
      </c>
      <c r="D767" s="60">
        <v>76343</v>
      </c>
      <c r="E767" s="21">
        <v>54</v>
      </c>
      <c r="F767" s="19"/>
      <c r="G767" s="21"/>
      <c r="H767" s="19"/>
      <c r="I767" s="20">
        <v>45498</v>
      </c>
    </row>
    <row r="768" spans="1:9">
      <c r="A768" s="18">
        <v>705</v>
      </c>
      <c r="B768" s="19" t="str">
        <f>IFERROR(VLOOKUP(A768,CLIENTES!A:E,2,0),"CADASTRAR CLIENTE")</f>
        <v>JOAO JOSE SCHIAVUZZO ME</v>
      </c>
      <c r="C768" s="60" t="s">
        <v>3</v>
      </c>
      <c r="D768" s="60">
        <v>76357</v>
      </c>
      <c r="E768" s="21">
        <v>88</v>
      </c>
      <c r="F768" s="19"/>
      <c r="G768" s="21"/>
      <c r="H768" s="19"/>
      <c r="I768" s="20">
        <v>45498</v>
      </c>
    </row>
    <row r="769" spans="1:9">
      <c r="A769" s="18">
        <v>50219</v>
      </c>
      <c r="B769" s="19" t="str">
        <f>IFERROR(VLOOKUP(A769,CLIENTES!A:E,2,0),"CADASTRAR CLIENTE")</f>
        <v>UNIPREV LAB DE ANALISES LOCACAO DE BENS E REPAROS LTDA EPP</v>
      </c>
      <c r="C769" s="60" t="s">
        <v>3</v>
      </c>
      <c r="D769" s="60">
        <v>76355</v>
      </c>
      <c r="E769" s="21">
        <v>638.20000000000005</v>
      </c>
      <c r="F769" s="19"/>
      <c r="G769" s="21"/>
      <c r="H769" s="19"/>
      <c r="I769" s="20">
        <v>45498</v>
      </c>
    </row>
    <row r="770" spans="1:9">
      <c r="A770" s="18">
        <v>2022</v>
      </c>
      <c r="B770" s="19" t="str">
        <f>IFERROR(VLOOKUP(A770,CLIENTES!A:E,2,0),"CADASTRAR CLIENTE")</f>
        <v>LAB. MEDICO DR. MARICONDI S/C LTDA.</v>
      </c>
      <c r="C770" s="60" t="s">
        <v>3</v>
      </c>
      <c r="D770" s="60">
        <v>72415</v>
      </c>
      <c r="E770" s="21">
        <v>810</v>
      </c>
      <c r="F770" s="19"/>
      <c r="G770" s="21"/>
      <c r="H770" s="19"/>
      <c r="I770" s="20">
        <v>45498</v>
      </c>
    </row>
    <row r="771" spans="1:9">
      <c r="A771" s="18">
        <v>50961</v>
      </c>
      <c r="B771" s="19" t="str">
        <f>IFERROR(VLOOKUP(A771,CLIENTES!A:E,2,0),"CADASTRAR CLIENTE")</f>
        <v>SOLUTE MEDICAL GROUP BRAZIL LTDA</v>
      </c>
      <c r="C771" s="60" t="s">
        <v>3</v>
      </c>
      <c r="D771" s="60">
        <v>76365</v>
      </c>
      <c r="E771" s="21">
        <v>1048.8699999999999</v>
      </c>
      <c r="F771" s="19"/>
      <c r="G771" s="21"/>
      <c r="H771" s="19"/>
      <c r="I771" s="20">
        <v>45498</v>
      </c>
    </row>
    <row r="772" spans="1:9">
      <c r="A772" s="18">
        <v>3190</v>
      </c>
      <c r="B772" s="19" t="str">
        <f>IFERROR(VLOOKUP(A772,CLIENTES!A:E,2,0),"CADASTRAR CLIENTE")</f>
        <v>C D A CENTRO DE DIAGNOSTICO VETERINARIO</v>
      </c>
      <c r="C772" s="60" t="s">
        <v>3</v>
      </c>
      <c r="D772" s="60">
        <v>76371</v>
      </c>
      <c r="E772" s="21">
        <v>1656.5</v>
      </c>
      <c r="F772" s="19"/>
      <c r="G772" s="21"/>
      <c r="H772" s="19"/>
      <c r="I772" s="20">
        <v>45499</v>
      </c>
    </row>
    <row r="773" spans="1:9">
      <c r="A773" s="18">
        <v>500243</v>
      </c>
      <c r="B773" s="19" t="str">
        <f>IFERROR(VLOOKUP(A773,CLIENTES!A:E,2,0),"CADASTRAR CLIENTE")</f>
        <v>UNIMED DE IBITINGA COOPERATIVA DE TRABALHO MEDICO</v>
      </c>
      <c r="C773" s="60" t="s">
        <v>3</v>
      </c>
      <c r="D773" s="60">
        <v>76380</v>
      </c>
      <c r="E773" s="21">
        <v>505</v>
      </c>
      <c r="F773" s="19"/>
      <c r="G773" s="21"/>
      <c r="H773" s="19"/>
      <c r="I773" s="20">
        <v>45499</v>
      </c>
    </row>
    <row r="774" spans="1:9">
      <c r="A774" s="18">
        <v>9063</v>
      </c>
      <c r="B774" s="19" t="str">
        <f>IFERROR(VLOOKUP(A774,CLIENTES!A:E,2,0),"CADASTRAR CLIENTE")</f>
        <v>LABORATORIO SAMIA LTDA</v>
      </c>
      <c r="C774" s="60" t="s">
        <v>3</v>
      </c>
      <c r="D774" s="60">
        <v>76217</v>
      </c>
      <c r="E774" s="21">
        <v>754</v>
      </c>
      <c r="F774" s="19"/>
      <c r="G774" s="21"/>
      <c r="H774" s="19"/>
      <c r="I774" s="20">
        <v>45499</v>
      </c>
    </row>
    <row r="775" spans="1:9">
      <c r="A775" s="18">
        <v>725</v>
      </c>
      <c r="B775" s="19" t="str">
        <f>IFERROR(VLOOKUP(A775,CLIENTES!A:E,2,0),"CADASTRAR CLIENTE")</f>
        <v>LAB. ANAL. CLIN. DR. ALUISIO CASELLA</v>
      </c>
      <c r="C775" s="60" t="s">
        <v>3</v>
      </c>
      <c r="D775" s="60">
        <v>75734</v>
      </c>
      <c r="E775" s="21">
        <v>454.45</v>
      </c>
      <c r="F775" s="19"/>
      <c r="G775" s="21"/>
      <c r="H775" s="19"/>
      <c r="I775" s="20">
        <v>45502</v>
      </c>
    </row>
    <row r="776" spans="1:9">
      <c r="A776" s="18">
        <v>2022</v>
      </c>
      <c r="B776" s="19" t="str">
        <f>IFERROR(VLOOKUP(A776,CLIENTES!A:E,2,0),"CADASTRAR CLIENTE")</f>
        <v>LAB. MEDICO DR. MARICONDI S/C LTDA.</v>
      </c>
      <c r="C776" s="60" t="s">
        <v>3</v>
      </c>
      <c r="D776" s="60">
        <v>76399</v>
      </c>
      <c r="E776" s="21">
        <v>2282.29</v>
      </c>
      <c r="F776" s="19"/>
      <c r="G776" s="21"/>
      <c r="H776" s="19"/>
      <c r="I776" s="20">
        <v>45502</v>
      </c>
    </row>
    <row r="777" spans="1:9">
      <c r="A777" s="18">
        <v>772</v>
      </c>
      <c r="B777" s="19" t="str">
        <f>IFERROR(VLOOKUP(A777,CLIENTES!A:E,2,0),"CADASTRAR CLIENTE")</f>
        <v>MEGARON LABORATORIO ANAL.CLIN.SC LTDA.</v>
      </c>
      <c r="C777" s="60" t="s">
        <v>3</v>
      </c>
      <c r="D777" s="60">
        <v>76404</v>
      </c>
      <c r="E777" s="21">
        <v>860.59</v>
      </c>
      <c r="F777" s="19"/>
      <c r="G777" s="21"/>
      <c r="H777" s="19"/>
      <c r="I777" s="20">
        <v>45502</v>
      </c>
    </row>
    <row r="778" spans="1:9">
      <c r="A778" s="18">
        <v>1240</v>
      </c>
      <c r="B778" s="19" t="str">
        <f>IFERROR(VLOOKUP(A778,CLIENTES!A:E,2,0),"CADASTRAR CLIENTE")</f>
        <v>MONICA VIEIRA DE CAMPOS REBELO-ME</v>
      </c>
      <c r="C778" s="60" t="s">
        <v>3</v>
      </c>
      <c r="D778" s="60">
        <v>76396</v>
      </c>
      <c r="E778" s="21">
        <v>1107.92</v>
      </c>
      <c r="F778" s="19"/>
      <c r="G778" s="21"/>
      <c r="H778" s="19"/>
      <c r="I778" s="20">
        <v>45502</v>
      </c>
    </row>
    <row r="779" spans="1:9">
      <c r="A779" s="18">
        <v>572</v>
      </c>
      <c r="B779" s="19" t="str">
        <f>IFERROR(VLOOKUP(A779,CLIENTES!A:E,2,0),"CADASTRAR CLIENTE")</f>
        <v>LABORATORIO MULTIANALISES LTDA-ME</v>
      </c>
      <c r="C779" s="60" t="s">
        <v>3</v>
      </c>
      <c r="D779" s="60">
        <v>76426</v>
      </c>
      <c r="E779" s="21">
        <v>383.05</v>
      </c>
      <c r="F779" s="19"/>
      <c r="G779" s="21"/>
      <c r="H779" s="19"/>
      <c r="I779" s="20">
        <v>45502</v>
      </c>
    </row>
    <row r="780" spans="1:9">
      <c r="A780" s="18">
        <v>474</v>
      </c>
      <c r="B780" s="19" t="str">
        <f>IFERROR(VLOOKUP(A780,CLIENTES!A:E,2,0),"CADASTRAR CLIENTE")</f>
        <v>LABORATI LAB. ANAL. CLIN. TIETE S/C LTDA.</v>
      </c>
      <c r="C780" s="60" t="s">
        <v>3</v>
      </c>
      <c r="D780" s="60">
        <v>99160</v>
      </c>
      <c r="E780" s="21">
        <v>864</v>
      </c>
      <c r="F780" s="19"/>
      <c r="G780" s="21"/>
      <c r="H780" s="19"/>
      <c r="I780" s="20">
        <v>45503</v>
      </c>
    </row>
    <row r="781" spans="1:9">
      <c r="A781" s="18">
        <v>1813</v>
      </c>
      <c r="B781" s="19" t="str">
        <f>IFERROR(VLOOKUP(A781,CLIENTES!A:E,2,0),"CADASTRAR CLIENTE")</f>
        <v>BIOMED LAB.ANAL.CLIN. SC  LTDA</v>
      </c>
      <c r="C781" s="60" t="s">
        <v>3</v>
      </c>
      <c r="D781" s="60">
        <v>76432</v>
      </c>
      <c r="E781" s="21">
        <v>1065</v>
      </c>
      <c r="F781" s="19"/>
      <c r="G781" s="21"/>
      <c r="H781" s="19"/>
      <c r="I781" s="20">
        <v>45503</v>
      </c>
    </row>
    <row r="782" spans="1:9">
      <c r="A782" s="18">
        <v>475</v>
      </c>
      <c r="B782" s="19" t="str">
        <f>IFERROR(VLOOKUP(A782,CLIENTES!A:E,2,0),"CADASTRAR CLIENTE")</f>
        <v>LABORATORIO DE ANALISES CLINICAS SRC LTDA</v>
      </c>
      <c r="C782" s="60" t="s">
        <v>3</v>
      </c>
      <c r="D782" s="60">
        <v>76444</v>
      </c>
      <c r="E782" s="21">
        <v>2132.1799999999998</v>
      </c>
      <c r="F782" s="19"/>
      <c r="G782" s="21"/>
      <c r="H782" s="19"/>
      <c r="I782" s="20">
        <v>45503</v>
      </c>
    </row>
    <row r="783" spans="1:9">
      <c r="A783" s="18">
        <v>2911</v>
      </c>
      <c r="B783" s="19" t="str">
        <f>IFERROR(VLOOKUP(A783,CLIENTES!A:E,2,0),"CADASTRAR CLIENTE")</f>
        <v>BIOLIFE-LABORATORIO DE ANALISES CLINICAS LTDA</v>
      </c>
      <c r="C783" s="60" t="s">
        <v>3</v>
      </c>
      <c r="D783" s="60">
        <v>99164</v>
      </c>
      <c r="E783" s="21">
        <v>211.05</v>
      </c>
      <c r="F783" s="19"/>
      <c r="G783" s="21"/>
      <c r="H783" s="19"/>
      <c r="I783" s="20">
        <v>45503</v>
      </c>
    </row>
    <row r="784" spans="1:9">
      <c r="A784" s="18">
        <v>2911</v>
      </c>
      <c r="B784" s="19" t="str">
        <f>IFERROR(VLOOKUP(A784,CLIENTES!A:E,2,0),"CADASTRAR CLIENTE")</f>
        <v>BIOLIFE-LABORATORIO DE ANALISES CLINICAS LTDA</v>
      </c>
      <c r="C784" s="60" t="s">
        <v>3</v>
      </c>
      <c r="D784" s="60">
        <v>76387</v>
      </c>
      <c r="E784" s="21">
        <v>956.35</v>
      </c>
      <c r="F784" s="19"/>
      <c r="G784" s="21"/>
      <c r="H784" s="19"/>
      <c r="I784" s="20">
        <v>45503</v>
      </c>
    </row>
    <row r="785" spans="1:9">
      <c r="A785" s="18">
        <v>311</v>
      </c>
      <c r="B785" s="19" t="str">
        <f>IFERROR(VLOOKUP(A785,CLIENTES!A:E,2,0),"CADASTRAR CLIENTE")</f>
        <v>CENTRO DE ANAL.CLIN. UNILAB  SC LTDA.</v>
      </c>
      <c r="C785" s="60" t="s">
        <v>3</v>
      </c>
      <c r="D785" s="60">
        <v>99166</v>
      </c>
      <c r="E785" s="21">
        <v>319.95</v>
      </c>
      <c r="F785" s="19"/>
      <c r="G785" s="21"/>
      <c r="H785" s="19"/>
      <c r="I785" s="20">
        <v>45503</v>
      </c>
    </row>
    <row r="786" spans="1:9">
      <c r="A786" s="18">
        <v>311</v>
      </c>
      <c r="B786" s="19" t="str">
        <f>IFERROR(VLOOKUP(A786,CLIENTES!A:E,2,0),"CADASTRAR CLIENTE")</f>
        <v>CENTRO DE ANAL.CLIN. UNILAB  SC LTDA.</v>
      </c>
      <c r="C786" s="60" t="s">
        <v>3</v>
      </c>
      <c r="D786" s="60">
        <v>76466</v>
      </c>
      <c r="E786" s="21">
        <v>327.5</v>
      </c>
      <c r="F786" s="19"/>
      <c r="G786" s="21"/>
      <c r="H786" s="19"/>
      <c r="I786" s="20">
        <v>45503</v>
      </c>
    </row>
    <row r="787" spans="1:9">
      <c r="A787" s="18">
        <v>705</v>
      </c>
      <c r="B787" s="19" t="str">
        <f>IFERROR(VLOOKUP(A787,CLIENTES!A:E,2,0),"CADASTRAR CLIENTE")</f>
        <v>JOAO JOSE SCHIAVUZZO ME</v>
      </c>
      <c r="C787" s="60" t="s">
        <v>3</v>
      </c>
      <c r="D787" s="60">
        <v>99151</v>
      </c>
      <c r="E787" s="21">
        <v>549.9</v>
      </c>
      <c r="F787" s="19"/>
      <c r="G787" s="21"/>
      <c r="H787" s="19"/>
      <c r="I787" s="20">
        <v>45503</v>
      </c>
    </row>
    <row r="788" spans="1:9">
      <c r="A788" s="18">
        <v>51175</v>
      </c>
      <c r="B788" s="19" t="str">
        <f>IFERROR(VLOOKUP(A788,CLIENTES!A:E,2,0),"CADASTRAR CLIENTE")</f>
        <v>CLINICA MEDICA E ODONTOLOGICA AMOR SAUDE TUPA LTDA</v>
      </c>
      <c r="C788" s="60" t="s">
        <v>3</v>
      </c>
      <c r="D788" s="60">
        <v>76492</v>
      </c>
      <c r="E788" s="21">
        <v>176</v>
      </c>
      <c r="F788" s="19"/>
      <c r="G788" s="21"/>
      <c r="H788" s="19"/>
      <c r="I788" s="20">
        <v>45503</v>
      </c>
    </row>
    <row r="789" spans="1:9">
      <c r="A789" s="18">
        <v>575</v>
      </c>
      <c r="B789" s="19" t="str">
        <f>IFERROR(VLOOKUP(A789,CLIENTES!A:E,2,0),"CADASTRAR CLIENTE")</f>
        <v>DR MUNHOZ HOSPITAL VETERINARIO E PET SHOP</v>
      </c>
      <c r="C789" s="60" t="s">
        <v>328</v>
      </c>
      <c r="D789" s="60">
        <v>76496</v>
      </c>
      <c r="E789" s="21">
        <v>860.79</v>
      </c>
      <c r="F789" s="19"/>
      <c r="G789" s="21"/>
      <c r="H789" s="19"/>
      <c r="I789" s="20">
        <v>45504</v>
      </c>
    </row>
    <row r="790" spans="1:9">
      <c r="A790" s="18">
        <v>1971</v>
      </c>
      <c r="B790" s="19" t="str">
        <f>IFERROR(VLOOKUP(A790,CLIENTES!A:E,2,0),"CADASTRAR CLIENTE")</f>
        <v>LABORATORIO POPULAR LAB 7 LTDA</v>
      </c>
      <c r="C790" s="60" t="s">
        <v>3</v>
      </c>
      <c r="D790" s="60">
        <v>76502</v>
      </c>
      <c r="E790" s="21">
        <v>575.77</v>
      </c>
      <c r="F790" s="19"/>
      <c r="G790" s="21"/>
      <c r="H790" s="19"/>
      <c r="I790" s="20">
        <v>45504</v>
      </c>
    </row>
    <row r="791" spans="1:9">
      <c r="A791" s="18">
        <v>311</v>
      </c>
      <c r="B791" s="19" t="str">
        <f>IFERROR(VLOOKUP(A791,CLIENTES!A:E,2,0),"CADASTRAR CLIENTE")</f>
        <v>CENTRO DE ANAL.CLIN. UNILAB  SC LTDA.</v>
      </c>
      <c r="C791" s="60" t="s">
        <v>3</v>
      </c>
      <c r="D791" s="60">
        <v>76498</v>
      </c>
      <c r="E791" s="21">
        <v>525.20000000000005</v>
      </c>
      <c r="F791" s="19"/>
      <c r="G791" s="21"/>
      <c r="H791" s="19"/>
      <c r="I791" s="20">
        <v>45504</v>
      </c>
    </row>
    <row r="792" spans="1:9">
      <c r="A792" s="18">
        <v>2655</v>
      </c>
      <c r="B792" s="19" t="str">
        <f>IFERROR(VLOOKUP(A792,CLIENTES!A:E,2,0),"CADASTRAR CLIENTE")</f>
        <v>LABORATORIO JUNHO TEIXEIRA LTDA</v>
      </c>
      <c r="C792" s="60" t="s">
        <v>3</v>
      </c>
      <c r="D792" s="60">
        <v>76508</v>
      </c>
      <c r="E792" s="21">
        <v>483.00299999999999</v>
      </c>
      <c r="F792" s="19"/>
      <c r="G792" s="21"/>
      <c r="H792" s="19"/>
      <c r="I792" s="20">
        <v>45504</v>
      </c>
    </row>
    <row r="793" spans="1:9">
      <c r="A793" s="18">
        <v>480</v>
      </c>
      <c r="B793" s="19" t="str">
        <f>IFERROR(VLOOKUP(A793,CLIENTES!A:E,2,0),"CADASTRAR CLIENTE")</f>
        <v>LAB SAO LUCAS</v>
      </c>
      <c r="C793" s="60" t="s">
        <v>3</v>
      </c>
      <c r="D793" s="60">
        <v>76538</v>
      </c>
      <c r="E793" s="21">
        <v>485.63</v>
      </c>
      <c r="F793" s="19"/>
      <c r="G793" s="21"/>
      <c r="H793" s="19"/>
      <c r="I793" s="20">
        <v>45505</v>
      </c>
    </row>
    <row r="794" spans="1:9">
      <c r="A794" s="18">
        <v>741</v>
      </c>
      <c r="B794" s="19" t="str">
        <f>IFERROR(VLOOKUP(A794,CLIENTES!A:E,2,0),"CADASTRAR CLIENTE")</f>
        <v>LAB. ANAL. CLIN. DR. HELIO NAKABASHI SC LTDA</v>
      </c>
      <c r="C794" s="60" t="s">
        <v>3</v>
      </c>
      <c r="D794" s="60">
        <v>7652</v>
      </c>
      <c r="E794" s="21">
        <v>480</v>
      </c>
      <c r="F794" s="19"/>
      <c r="G794" s="21"/>
      <c r="H794" s="19"/>
      <c r="I794" s="20">
        <v>45505</v>
      </c>
    </row>
    <row r="795" spans="1:9">
      <c r="A795" s="18">
        <v>784</v>
      </c>
      <c r="B795" s="19" t="str">
        <f>IFERROR(VLOOKUP(A795,CLIENTES!A:E,2,0),"CADASTRAR CLIENTE")</f>
        <v>LAB.ANAL.CLIN. ALBERT SABIN SC LTDA.</v>
      </c>
      <c r="C795" s="60" t="s">
        <v>3</v>
      </c>
      <c r="D795" s="60">
        <v>76532</v>
      </c>
      <c r="E795" s="21">
        <v>3636.9</v>
      </c>
      <c r="F795" s="19"/>
      <c r="G795" s="21"/>
      <c r="H795" s="19"/>
      <c r="I795" s="20">
        <v>45505</v>
      </c>
    </row>
    <row r="796" spans="1:9">
      <c r="A796" s="18">
        <v>3153</v>
      </c>
      <c r="B796" s="19" t="str">
        <f>IFERROR(VLOOKUP(A796,CLIENTES!A:E,2,0),"CADASTRAR CLIENTE")</f>
        <v>UNIMED DE TUPA COOPERATIVA DE TRABALHO MEDICO</v>
      </c>
      <c r="C796" s="60" t="s">
        <v>3</v>
      </c>
      <c r="D796" s="60">
        <v>76567</v>
      </c>
      <c r="E796" s="21">
        <v>2542.6999999999998</v>
      </c>
      <c r="F796" s="19"/>
      <c r="G796" s="21"/>
      <c r="H796" s="19"/>
      <c r="I796" s="20">
        <v>45506</v>
      </c>
    </row>
    <row r="797" spans="1:9">
      <c r="A797" s="18">
        <v>1206</v>
      </c>
      <c r="B797" s="19" t="str">
        <f>IFERROR(VLOOKUP(A797,CLIENTES!A:E,2,0),"CADASTRAR CLIENTE")</f>
        <v>LABORATORIO RIO NEGRO CENTER DE MARILIA  LTDA</v>
      </c>
      <c r="C797" s="60" t="s">
        <v>3</v>
      </c>
      <c r="D797" s="60">
        <v>76593</v>
      </c>
      <c r="E797" s="21">
        <v>1013.4</v>
      </c>
      <c r="F797" s="19"/>
      <c r="G797" s="21"/>
      <c r="H797" s="19"/>
      <c r="I797" s="20">
        <v>45509</v>
      </c>
    </row>
    <row r="798" spans="1:9">
      <c r="A798" s="18">
        <v>746</v>
      </c>
      <c r="B798" s="19" t="str">
        <f>IFERROR(VLOOKUP(A798,CLIENTES!A:E,2,0),"CADASTRAR CLIENTE")</f>
        <v>LAB.ANAL.CLIN.BIOCLIN SC LTDA.</v>
      </c>
      <c r="C798" s="60" t="s">
        <v>328</v>
      </c>
      <c r="D798" s="60">
        <v>99196</v>
      </c>
      <c r="E798" s="21">
        <v>237.25</v>
      </c>
      <c r="F798" s="19"/>
      <c r="G798" s="21"/>
      <c r="H798" s="19"/>
      <c r="I798" s="20">
        <v>45509</v>
      </c>
    </row>
    <row r="799" spans="1:9">
      <c r="A799" s="18">
        <v>746</v>
      </c>
      <c r="B799" s="19" t="str">
        <f>IFERROR(VLOOKUP(A799,CLIENTES!A:E,2,0),"CADASTRAR CLIENTE")</f>
        <v>LAB.ANAL.CLIN.BIOCLIN SC LTDA.</v>
      </c>
      <c r="C799" s="60" t="s">
        <v>328</v>
      </c>
      <c r="D799" s="60">
        <v>76594</v>
      </c>
      <c r="E799" s="21">
        <v>4404.54</v>
      </c>
      <c r="F799" s="19"/>
      <c r="G799" s="21"/>
      <c r="H799" s="19"/>
      <c r="I799" s="20">
        <v>45509</v>
      </c>
    </row>
    <row r="800" spans="1:9">
      <c r="A800" s="18">
        <v>50418</v>
      </c>
      <c r="B800" s="19" t="str">
        <f>IFERROR(VLOOKUP(A800,CLIENTES!A:E,2,0),"CADASTRAR CLIENTE")</f>
        <v>LABORATORIO SAO LUCAS DE BROTAS SS LTDA</v>
      </c>
      <c r="C800" s="60" t="s">
        <v>3</v>
      </c>
      <c r="D800" s="60">
        <v>76592</v>
      </c>
      <c r="E800" s="21">
        <v>1142.95</v>
      </c>
      <c r="F800" s="19"/>
      <c r="G800" s="21"/>
      <c r="H800" s="19"/>
      <c r="I800" s="20">
        <v>45509</v>
      </c>
    </row>
    <row r="801" spans="1:9">
      <c r="A801" s="18">
        <v>761</v>
      </c>
      <c r="B801" s="19" t="str">
        <f>IFERROR(VLOOKUP(A801,CLIENTES!A:E,2,0),"CADASTRAR CLIENTE")</f>
        <v>EXAME CENTRO DIAG.M.ARACATUBA SC LTDA.</v>
      </c>
      <c r="C801" s="60" t="s">
        <v>3</v>
      </c>
      <c r="D801" s="60">
        <v>76599</v>
      </c>
      <c r="E801" s="21">
        <v>282</v>
      </c>
      <c r="F801" s="19"/>
      <c r="G801" s="21"/>
      <c r="H801" s="19"/>
      <c r="I801" s="20">
        <v>45509</v>
      </c>
    </row>
    <row r="802" spans="1:9">
      <c r="A802" s="18">
        <v>761</v>
      </c>
      <c r="B802" s="19" t="str">
        <f>IFERROR(VLOOKUP(A802,CLIENTES!A:E,2,0),"CADASTRAR CLIENTE")</f>
        <v>EXAME CENTRO DIAG.M.ARACATUBA SC LTDA.</v>
      </c>
      <c r="C802" s="60" t="s">
        <v>3</v>
      </c>
      <c r="D802" s="60">
        <v>99201</v>
      </c>
      <c r="E802" s="21">
        <v>172</v>
      </c>
      <c r="F802" s="19"/>
      <c r="G802" s="21"/>
      <c r="H802" s="19"/>
      <c r="I802" s="20">
        <v>45509</v>
      </c>
    </row>
    <row r="803" spans="1:9">
      <c r="A803" s="18">
        <v>2022</v>
      </c>
      <c r="B803" s="19" t="str">
        <f>IFERROR(VLOOKUP(A803,CLIENTES!A:E,2,0),"CADASTRAR CLIENTE")</f>
        <v>LAB. MEDICO DR. MARICONDI S/C LTDA.</v>
      </c>
      <c r="C803" s="60" t="s">
        <v>3</v>
      </c>
      <c r="D803" s="60">
        <v>76573</v>
      </c>
      <c r="E803" s="21">
        <v>953.44</v>
      </c>
      <c r="F803" s="19"/>
      <c r="G803" s="21"/>
      <c r="H803" s="19"/>
      <c r="I803" s="20">
        <v>45509</v>
      </c>
    </row>
    <row r="804" spans="1:9">
      <c r="A804" s="18">
        <v>50418</v>
      </c>
      <c r="B804" s="19" t="str">
        <f>IFERROR(VLOOKUP(A804,CLIENTES!A:E,2,0),"CADASTRAR CLIENTE")</f>
        <v>LABORATORIO SAO LUCAS DE BROTAS SS LTDA</v>
      </c>
      <c r="C804" s="60" t="s">
        <v>3</v>
      </c>
      <c r="D804" s="60">
        <v>76592</v>
      </c>
      <c r="E804" s="21">
        <v>872.95</v>
      </c>
      <c r="F804" s="19"/>
      <c r="G804" s="21"/>
      <c r="H804" s="19"/>
      <c r="I804" s="20">
        <v>45509</v>
      </c>
    </row>
    <row r="805" spans="1:9">
      <c r="A805" s="18">
        <v>762</v>
      </c>
      <c r="B805" s="19" t="str">
        <f>IFERROR(VLOOKUP(A805,CLIENTES!A:E,2,0),"CADASTRAR CLIENTE")</f>
        <v>STA. CASA MISERICORDIA DE ARACATUBA</v>
      </c>
      <c r="C805" s="60" t="s">
        <v>2</v>
      </c>
      <c r="D805" s="60">
        <v>76613</v>
      </c>
      <c r="E805" s="21">
        <v>6325.93</v>
      </c>
      <c r="F805" s="19"/>
      <c r="G805" s="21"/>
      <c r="H805" s="19"/>
      <c r="I805" s="20">
        <v>45509</v>
      </c>
    </row>
    <row r="806" spans="1:9">
      <c r="A806" s="18">
        <v>50005</v>
      </c>
      <c r="B806" s="19" t="str">
        <f>IFERROR(VLOOKUP(A806,CLIENTES!A:E,2,0),"CADASTRAR CLIENTE")</f>
        <v>CADASTRAR CLIENTE</v>
      </c>
      <c r="C806" s="60" t="s">
        <v>3</v>
      </c>
      <c r="D806" s="60">
        <v>76635</v>
      </c>
      <c r="E806" s="21">
        <v>1514.45</v>
      </c>
      <c r="F806" s="19"/>
      <c r="G806" s="21"/>
      <c r="H806" s="19"/>
      <c r="I806" s="20">
        <v>45510</v>
      </c>
    </row>
    <row r="807" spans="1:9">
      <c r="A807" s="18">
        <v>690</v>
      </c>
      <c r="B807" s="19" t="str">
        <f>IFERROR(VLOOKUP(A807,CLIENTES!A:E,2,0),"CADASTRAR CLIENTE")</f>
        <v>SAO ROQUE MEDICINA DIAGNOSTICA LTDA EPP</v>
      </c>
      <c r="C807" s="60" t="s">
        <v>328</v>
      </c>
      <c r="D807" s="60">
        <v>76185</v>
      </c>
      <c r="E807" s="21">
        <v>606.21</v>
      </c>
      <c r="F807" s="19"/>
      <c r="G807" s="21"/>
      <c r="H807" s="19"/>
      <c r="I807" s="20">
        <v>45510</v>
      </c>
    </row>
    <row r="808" spans="1:9">
      <c r="A808" s="18">
        <v>690</v>
      </c>
      <c r="B808" s="19" t="str">
        <f>IFERROR(VLOOKUP(A808,CLIENTES!A:E,2,0),"CADASTRAR CLIENTE")</f>
        <v>SAO ROQUE MEDICINA DIAGNOSTICA LTDA EPP</v>
      </c>
      <c r="C808" s="60" t="s">
        <v>328</v>
      </c>
      <c r="D808" s="60">
        <v>99214</v>
      </c>
      <c r="E808" s="21">
        <v>289.89999999999998</v>
      </c>
      <c r="F808" s="19"/>
      <c r="G808" s="21"/>
      <c r="H808" s="19"/>
      <c r="I808" s="20">
        <v>45510</v>
      </c>
    </row>
    <row r="809" spans="1:9">
      <c r="A809" s="18">
        <v>3194</v>
      </c>
      <c r="B809" s="19" t="str">
        <f>IFERROR(VLOOKUP(A809,CLIENTES!A:E,2,0),"CADASTRAR CLIENTE")</f>
        <v>CENTRO DE DIAGNOSTICOS CONTROLE LTDA</v>
      </c>
      <c r="C809" s="60" t="s">
        <v>328</v>
      </c>
      <c r="D809" s="60">
        <v>76646</v>
      </c>
      <c r="E809" s="21">
        <v>209</v>
      </c>
      <c r="F809" s="19"/>
      <c r="G809" s="21"/>
      <c r="H809" s="19"/>
      <c r="I809" s="20">
        <v>45510</v>
      </c>
    </row>
    <row r="810" spans="1:9">
      <c r="A810" s="18">
        <v>50554</v>
      </c>
      <c r="B810" s="19" t="str">
        <f>IFERROR(VLOOKUP(A810,CLIENTES!A:E,2,0),"CADASTRAR CLIENTE")</f>
        <v>SAO ROQUE MEDICINA DIAGNOSTICA</v>
      </c>
      <c r="C810" s="60" t="s">
        <v>328</v>
      </c>
      <c r="D810" s="60">
        <v>76644</v>
      </c>
      <c r="E810" s="21">
        <v>3225.7</v>
      </c>
      <c r="F810" s="19"/>
      <c r="G810" s="21"/>
      <c r="H810" s="19"/>
      <c r="I810" s="20">
        <v>45510</v>
      </c>
    </row>
    <row r="811" spans="1:9">
      <c r="A811" s="18">
        <v>50497</v>
      </c>
      <c r="B811" s="19" t="str">
        <f>IFERROR(VLOOKUP(A811,CLIENTES!A:E,2,0),"CADASTRAR CLIENTE")</f>
        <v>DIAGNOSTIKA-UNIDADE DIAGNOSTICA EM PATOLOGIA CIRURGICA E CITOLOGIA LTDA</v>
      </c>
      <c r="C811" s="60" t="s">
        <v>328</v>
      </c>
      <c r="D811" s="60">
        <v>99216</v>
      </c>
      <c r="E811" s="21">
        <v>527.20000000000005</v>
      </c>
      <c r="F811" s="19"/>
      <c r="G811" s="21"/>
      <c r="H811" s="19"/>
      <c r="I811" s="20">
        <v>45510</v>
      </c>
    </row>
    <row r="812" spans="1:9">
      <c r="A812" s="18">
        <v>50219</v>
      </c>
      <c r="B812" s="19" t="str">
        <f>IFERROR(VLOOKUP(A812,CLIENTES!A:E,2,0),"CADASTRAR CLIENTE")</f>
        <v>UNIPREV LAB DE ANALISES LOCACAO DE BENS E REPAROS LTDA EPP</v>
      </c>
      <c r="C812" s="60" t="s">
        <v>3</v>
      </c>
      <c r="D812" s="60">
        <v>76577</v>
      </c>
      <c r="E812" s="21">
        <v>1193.47</v>
      </c>
      <c r="F812" s="19"/>
      <c r="G812" s="21"/>
      <c r="H812" s="19"/>
      <c r="I812" s="20">
        <v>45510</v>
      </c>
    </row>
    <row r="813" spans="1:9">
      <c r="A813" s="18">
        <v>50222</v>
      </c>
      <c r="B813" s="19" t="str">
        <f>IFERROR(VLOOKUP(A813,CLIENTES!A:E,2,0),"CADASTRAR CLIENTE")</f>
        <v>HOSPITAL REGIONAL DR VIVALDO MARTINS SIMOES</v>
      </c>
      <c r="C813" s="60" t="s">
        <v>3</v>
      </c>
      <c r="D813" s="60">
        <v>99220</v>
      </c>
      <c r="E813" s="21">
        <v>82.95</v>
      </c>
      <c r="F813" s="19"/>
      <c r="G813" s="21"/>
      <c r="H813" s="19"/>
      <c r="I813" s="20">
        <v>45510</v>
      </c>
    </row>
    <row r="814" spans="1:9">
      <c r="A814" s="18">
        <v>2980</v>
      </c>
      <c r="B814" s="19" t="str">
        <f>IFERROR(VLOOKUP(A814,CLIENTES!A:E,2,0),"CADASTRAR CLIENTE")</f>
        <v>ALMEIDA &amp; FLAITT LABORATORIOS DE ANALISES CLINICAS LTDA</v>
      </c>
      <c r="C814" s="60" t="s">
        <v>3</v>
      </c>
      <c r="D814" s="60">
        <v>76664</v>
      </c>
      <c r="E814" s="21">
        <v>1661.4</v>
      </c>
      <c r="F814" s="19"/>
      <c r="G814" s="21"/>
      <c r="H814" s="19"/>
      <c r="I814" s="20">
        <v>45510</v>
      </c>
    </row>
    <row r="815" spans="1:9">
      <c r="A815" s="18">
        <v>756</v>
      </c>
      <c r="B815" s="19" t="str">
        <f>IFERROR(VLOOKUP(A815,CLIENTES!A:E,2,0),"CADASTRAR CLIENTE")</f>
        <v>LAB.TRIANON DE ANAL.CLIN.SC LTDA.</v>
      </c>
      <c r="C815" s="60" t="s">
        <v>3</v>
      </c>
      <c r="D815" s="60">
        <v>76673</v>
      </c>
      <c r="E815" s="21">
        <v>615</v>
      </c>
      <c r="F815" s="19"/>
      <c r="G815" s="21"/>
      <c r="H815" s="19"/>
      <c r="I815" s="20">
        <v>45510</v>
      </c>
    </row>
    <row r="816" spans="1:9">
      <c r="A816" s="18">
        <v>1164</v>
      </c>
      <c r="B816" s="19" t="str">
        <f>IFERROR(VLOOKUP(A816,CLIENTES!A:E,2,0),"CADASTRAR CLIENTE")</f>
        <v>LAB. ANAL. CLIN. SAO LOURENCO S/C LTDA</v>
      </c>
      <c r="C816" s="60" t="s">
        <v>328</v>
      </c>
      <c r="D816" s="60">
        <v>76698</v>
      </c>
      <c r="E816" s="21">
        <v>1839.92</v>
      </c>
      <c r="F816" s="19"/>
      <c r="G816" s="21"/>
      <c r="H816" s="19"/>
      <c r="I816" s="20">
        <v>45511</v>
      </c>
    </row>
    <row r="817" spans="1:9">
      <c r="A817" s="18">
        <v>762</v>
      </c>
      <c r="B817" s="19" t="str">
        <f>IFERROR(VLOOKUP(A817,CLIENTES!A:E,2,0),"CADASTRAR CLIENTE")</f>
        <v>STA. CASA MISERICORDIA DE ARACATUBA</v>
      </c>
      <c r="C817" s="60" t="s">
        <v>2</v>
      </c>
      <c r="D817" s="60">
        <v>76722</v>
      </c>
      <c r="E817" s="21">
        <v>6602.85</v>
      </c>
      <c r="F817" s="19"/>
      <c r="G817" s="21"/>
      <c r="H817" s="19"/>
      <c r="I817" s="20">
        <v>45511</v>
      </c>
    </row>
    <row r="818" spans="1:9">
      <c r="A818" s="18">
        <v>1905</v>
      </c>
      <c r="B818" s="19" t="str">
        <f>IFERROR(VLOOKUP(A818,CLIENTES!A:E,2,0),"CADASTRAR CLIENTE")</f>
        <v>A.C. CORREA DE OLIVEIRA LABORATORIO CLÍNICO</v>
      </c>
      <c r="C818" s="60" t="s">
        <v>3</v>
      </c>
      <c r="D818" s="60">
        <v>76221</v>
      </c>
      <c r="E818" s="21">
        <v>4331.6000000000004</v>
      </c>
      <c r="F818" s="19"/>
      <c r="G818" s="21"/>
      <c r="H818" s="19"/>
      <c r="I818" s="20">
        <v>45511</v>
      </c>
    </row>
    <row r="819" spans="1:9">
      <c r="A819" s="18">
        <v>50544</v>
      </c>
      <c r="B819" s="19" t="str">
        <f>IFERROR(VLOOKUP(A819,CLIENTES!A:E,2,0),"CADASTRAR CLIENTE")</f>
        <v>CADASTRAR CLIENTE</v>
      </c>
      <c r="C819" s="60" t="s">
        <v>3</v>
      </c>
      <c r="D819" s="60">
        <v>76623</v>
      </c>
      <c r="E819" s="21">
        <v>586.44000000000005</v>
      </c>
      <c r="F819" s="19"/>
      <c r="G819" s="21"/>
      <c r="H819" s="19"/>
      <c r="I819" s="20">
        <v>45511</v>
      </c>
    </row>
    <row r="820" spans="1:9">
      <c r="A820" s="18">
        <v>3018</v>
      </c>
      <c r="B820" s="19" t="str">
        <f>IFERROR(VLOOKUP(A820,CLIENTES!A:E,2,0),"CADASTRAR CLIENTE")</f>
        <v>NP- LABORATORIO DE ANALISES CLINICAS LTDA</v>
      </c>
      <c r="C820" s="60" t="s">
        <v>3</v>
      </c>
      <c r="D820" s="60">
        <v>99237</v>
      </c>
      <c r="E820" s="21">
        <v>71.099999999999994</v>
      </c>
      <c r="F820" s="19"/>
      <c r="G820" s="21"/>
      <c r="H820" s="19"/>
      <c r="I820" s="20">
        <v>45511</v>
      </c>
    </row>
    <row r="821" spans="1:9">
      <c r="A821" s="18">
        <v>3018</v>
      </c>
      <c r="B821" s="19" t="str">
        <f>IFERROR(VLOOKUP(A821,CLIENTES!A:E,2,0),"CADASTRAR CLIENTE")</f>
        <v>NP- LABORATORIO DE ANALISES CLINICAS LTDA</v>
      </c>
      <c r="C821" s="60" t="s">
        <v>3</v>
      </c>
      <c r="D821" s="60">
        <v>93309</v>
      </c>
      <c r="E821" s="21">
        <v>591.32000000000005</v>
      </c>
      <c r="F821" s="19"/>
      <c r="G821" s="21"/>
      <c r="H821" s="19"/>
      <c r="I821" s="20">
        <v>45511</v>
      </c>
    </row>
    <row r="822" spans="1:9">
      <c r="A822" s="18">
        <v>690</v>
      </c>
      <c r="B822" s="19" t="str">
        <f>IFERROR(VLOOKUP(A822,CLIENTES!A:E,2,0),"CADASTRAR CLIENTE")</f>
        <v>SAO ROQUE MEDICINA DIAGNOSTICA LTDA EPP</v>
      </c>
      <c r="C822" s="60" t="s">
        <v>328</v>
      </c>
      <c r="D822" s="60">
        <v>99240</v>
      </c>
      <c r="E822" s="21">
        <v>68.59</v>
      </c>
      <c r="F822" s="19"/>
      <c r="G822" s="21"/>
      <c r="H822" s="19"/>
      <c r="I822" s="20">
        <v>45512</v>
      </c>
    </row>
    <row r="823" spans="1:9">
      <c r="A823" s="18">
        <v>500149</v>
      </c>
      <c r="B823" s="19" t="str">
        <f>IFERROR(VLOOKUP(A823,CLIENTES!A:E,2,0),"CADASTRAR CLIENTE")</f>
        <v>SAO ROQUE MEDICINA DIAGNOSTICA LTDA</v>
      </c>
      <c r="C823" s="60" t="s">
        <v>328</v>
      </c>
      <c r="D823" s="60">
        <v>76757</v>
      </c>
      <c r="E823" s="21">
        <v>744</v>
      </c>
      <c r="F823" s="19"/>
      <c r="G823" s="21"/>
      <c r="H823" s="19"/>
      <c r="I823" s="20">
        <v>45512</v>
      </c>
    </row>
    <row r="824" spans="1:9">
      <c r="A824" s="18">
        <v>50497</v>
      </c>
      <c r="B824" s="19" t="str">
        <f>IFERROR(VLOOKUP(A824,CLIENTES!A:E,2,0),"CADASTRAR CLIENTE")</f>
        <v>DIAGNOSTIKA-UNIDADE DIAGNOSTICA EM PATOLOGIA CIRURGICA E CITOLOGIA LTDA</v>
      </c>
      <c r="C824" s="60" t="s">
        <v>328</v>
      </c>
      <c r="D824" s="60">
        <v>99241</v>
      </c>
      <c r="E824" s="21">
        <v>26.1</v>
      </c>
      <c r="F824" s="19"/>
      <c r="G824" s="21"/>
      <c r="H824" s="19"/>
      <c r="I824" s="20">
        <v>45512</v>
      </c>
    </row>
    <row r="825" spans="1:9">
      <c r="A825" s="18">
        <v>1726</v>
      </c>
      <c r="B825" s="19" t="str">
        <f>IFERROR(VLOOKUP(A825,CLIENTES!A:E,2,0),"CADASTRAR CLIENTE")</f>
        <v>IRMANDADE DA SANTA CASA DE MISERIC. DE MOGI MIRIM</v>
      </c>
      <c r="C825" s="60" t="s">
        <v>2</v>
      </c>
      <c r="D825" s="60">
        <v>76765</v>
      </c>
      <c r="E825" s="21">
        <v>506.5</v>
      </c>
      <c r="F825" s="19"/>
      <c r="G825" s="21"/>
      <c r="H825" s="19"/>
      <c r="I825" s="20">
        <v>45512</v>
      </c>
    </row>
    <row r="826" spans="1:9">
      <c r="A826" s="18">
        <v>1122</v>
      </c>
      <c r="B826" s="19" t="str">
        <f>IFERROR(VLOOKUP(A826,CLIENTES!A:E,2,0),"CADASTRAR CLIENTE")</f>
        <v>FUNDEPAG</v>
      </c>
      <c r="C826" s="60" t="s">
        <v>2</v>
      </c>
      <c r="D826" s="60">
        <v>76766</v>
      </c>
      <c r="E826" s="21">
        <v>2649.5</v>
      </c>
      <c r="F826" s="19"/>
      <c r="G826" s="21"/>
      <c r="H826" s="19"/>
      <c r="I826" s="20">
        <v>45512</v>
      </c>
    </row>
    <row r="827" spans="1:9">
      <c r="A827" s="18">
        <v>1989</v>
      </c>
      <c r="B827" s="19" t="str">
        <f>IFERROR(VLOOKUP(A827,CLIENTES!A:E,2,0),"CADASTRAR CLIENTE")</f>
        <v>SAO FRANCISCO ANAL. CLIN.</v>
      </c>
      <c r="C827" s="60" t="s">
        <v>3</v>
      </c>
      <c r="D827" s="60">
        <v>76771</v>
      </c>
      <c r="E827" s="21">
        <v>652.14</v>
      </c>
      <c r="F827" s="19"/>
      <c r="G827" s="21"/>
      <c r="H827" s="19"/>
      <c r="I827" s="20">
        <v>45512</v>
      </c>
    </row>
    <row r="828" spans="1:9">
      <c r="A828" s="18">
        <v>1623</v>
      </c>
      <c r="B828" s="19" t="str">
        <f>IFERROR(VLOOKUP(A828,CLIENTES!A:E,2,0),"CADASTRAR CLIENTE")</f>
        <v>LAB.ANAL.CLIN. E REP. BADY BASSIT LTDA</v>
      </c>
      <c r="C828" s="60" t="s">
        <v>328</v>
      </c>
      <c r="D828" s="60">
        <v>76777</v>
      </c>
      <c r="E828" s="21">
        <v>546.65</v>
      </c>
      <c r="F828" s="19"/>
      <c r="G828" s="21"/>
      <c r="H828" s="19"/>
      <c r="I828" s="20">
        <v>45512</v>
      </c>
    </row>
    <row r="829" spans="1:9">
      <c r="A829" s="18">
        <v>50576</v>
      </c>
      <c r="B829" s="19" t="str">
        <f>IFERROR(VLOOKUP(A829,CLIENTES!A:E,2,0),"CADASTRAR CLIENTE")</f>
        <v>ANDRIAO CANEPPA E SILVA LTDA ME</v>
      </c>
      <c r="C829" s="60" t="s">
        <v>3</v>
      </c>
      <c r="D829" s="60">
        <v>76788</v>
      </c>
      <c r="E829" s="21">
        <v>1546.1</v>
      </c>
      <c r="F829" s="19"/>
      <c r="G829" s="21"/>
      <c r="H829" s="19"/>
      <c r="I829" s="20">
        <v>45513</v>
      </c>
    </row>
    <row r="830" spans="1:9">
      <c r="A830" s="18">
        <v>572</v>
      </c>
      <c r="B830" s="19" t="str">
        <f>IFERROR(VLOOKUP(A830,CLIENTES!A:E,2,0),"CADASTRAR CLIENTE")</f>
        <v>LABORATORIO MULTIANALISES LTDA-ME</v>
      </c>
      <c r="C830" s="60" t="s">
        <v>3</v>
      </c>
      <c r="D830" s="60">
        <v>76792</v>
      </c>
      <c r="E830" s="21">
        <v>165.4</v>
      </c>
      <c r="F830" s="19"/>
      <c r="G830" s="21"/>
      <c r="H830" s="19"/>
      <c r="I830" s="20">
        <v>45513</v>
      </c>
    </row>
    <row r="831" spans="1:9">
      <c r="A831" s="18">
        <v>50936</v>
      </c>
      <c r="B831" s="19" t="str">
        <f>IFERROR(VLOOKUP(A831,CLIENTES!A:E,2,0),"CADASTRAR CLIENTE")</f>
        <v>LABORATORIO DE ANALISES CLINICAS SAO JOSE LTDA</v>
      </c>
      <c r="C831" s="60" t="s">
        <v>3</v>
      </c>
      <c r="D831" s="60">
        <v>76793</v>
      </c>
      <c r="E831" s="21">
        <v>327.3</v>
      </c>
      <c r="F831" s="19"/>
      <c r="G831" s="21"/>
      <c r="H831" s="19"/>
      <c r="I831" s="20">
        <v>45513</v>
      </c>
    </row>
    <row r="832" spans="1:9">
      <c r="A832" s="18">
        <v>2980</v>
      </c>
      <c r="B832" s="19" t="str">
        <f>IFERROR(VLOOKUP(A832,CLIENTES!A:E,2,0),"CADASTRAR CLIENTE")</f>
        <v>ALMEIDA &amp; FLAITT LABORATORIOS DE ANALISES CLINICAS LTDA</v>
      </c>
      <c r="C832" s="60" t="s">
        <v>3</v>
      </c>
      <c r="D832" s="60">
        <v>99248</v>
      </c>
      <c r="E832" s="21">
        <v>228</v>
      </c>
      <c r="F832" s="19"/>
      <c r="G832" s="21"/>
      <c r="H832" s="19"/>
      <c r="I832" s="20">
        <v>45513</v>
      </c>
    </row>
    <row r="833" spans="1:9">
      <c r="A833" s="18">
        <v>708</v>
      </c>
      <c r="B833" s="19" t="str">
        <f>IFERROR(VLOOKUP(A833,CLIENTES!A:E,2,0),"CADASTRAR CLIENTE")</f>
        <v>IMEDI INST.MEDICO DE PAT.E DIAGNOSTICO SC LTDA.</v>
      </c>
      <c r="C833" s="60" t="s">
        <v>3</v>
      </c>
      <c r="D833" s="60">
        <v>76804</v>
      </c>
      <c r="E833" s="21">
        <v>132.5</v>
      </c>
      <c r="F833" s="19"/>
      <c r="G833" s="21"/>
      <c r="H833" s="19"/>
      <c r="I833" s="20">
        <v>45513</v>
      </c>
    </row>
    <row r="834" spans="1:9">
      <c r="A834" s="18">
        <v>1533</v>
      </c>
      <c r="B834" s="19" t="str">
        <f>IFERROR(VLOOKUP(A834,CLIENTES!A:E,2,0),"CADASTRAR CLIENTE")</f>
        <v>LABORATORIO BIOANALISE DIAGNOSTICO LTDA</v>
      </c>
      <c r="C834" s="60" t="s">
        <v>3</v>
      </c>
      <c r="D834" s="60">
        <v>76669</v>
      </c>
      <c r="E834" s="21">
        <v>1225.9000000000001</v>
      </c>
      <c r="F834" s="19"/>
      <c r="G834" s="21"/>
      <c r="H834" s="19"/>
      <c r="I834" s="20">
        <v>45513</v>
      </c>
    </row>
    <row r="835" spans="1:9">
      <c r="A835" s="18">
        <v>2192</v>
      </c>
      <c r="B835" s="19" t="str">
        <f>IFERROR(VLOOKUP(A835,CLIENTES!A:E,2,0),"CADASTRAR CLIENTE")</f>
        <v>CADASTRAR CLIENTE</v>
      </c>
      <c r="C835" s="60" t="s">
        <v>3</v>
      </c>
      <c r="D835" s="60">
        <v>75967</v>
      </c>
      <c r="E835" s="21">
        <v>2295.58</v>
      </c>
      <c r="F835" s="19"/>
      <c r="G835" s="21"/>
      <c r="H835" s="19"/>
      <c r="I835" s="20">
        <v>45513</v>
      </c>
    </row>
    <row r="836" spans="1:9">
      <c r="A836" s="18">
        <v>50558</v>
      </c>
      <c r="B836" s="19" t="str">
        <f>IFERROR(VLOOKUP(A836,CLIENTES!A:E,2,0),"CADASTRAR CLIENTE")</f>
        <v>FUNDACAO PAULISTA DE TECNOLOGIA E EDUCACAO</v>
      </c>
      <c r="C836" s="60" t="s">
        <v>3</v>
      </c>
      <c r="D836" s="60">
        <v>76810</v>
      </c>
      <c r="E836" s="21">
        <v>3087.53</v>
      </c>
      <c r="F836" s="19"/>
      <c r="G836" s="21"/>
      <c r="H836" s="19"/>
      <c r="I836" s="20">
        <v>45513</v>
      </c>
    </row>
    <row r="837" spans="1:9">
      <c r="A837" s="18">
        <v>2022</v>
      </c>
      <c r="B837" s="19" t="str">
        <f>IFERROR(VLOOKUP(A837,CLIENTES!A:E,2,0),"CADASTRAR CLIENTE")</f>
        <v>LAB. MEDICO DR. MARICONDI S/C LTDA.</v>
      </c>
      <c r="C837" s="60" t="s">
        <v>3</v>
      </c>
      <c r="D837" s="60">
        <v>76751</v>
      </c>
      <c r="E837" s="21">
        <v>258</v>
      </c>
      <c r="F837" s="19"/>
      <c r="G837" s="21"/>
      <c r="H837" s="19"/>
      <c r="I837" s="20">
        <v>45513</v>
      </c>
    </row>
    <row r="838" spans="1:9">
      <c r="A838" s="18">
        <v>690</v>
      </c>
      <c r="B838" s="19" t="str">
        <f>IFERROR(VLOOKUP(A838,CLIENTES!A:E,2,0),"CADASTRAR CLIENTE")</f>
        <v>SAO ROQUE MEDICINA DIAGNOSTICA LTDA EPP</v>
      </c>
      <c r="C838" s="60" t="s">
        <v>3</v>
      </c>
      <c r="D838" s="60">
        <v>76814</v>
      </c>
      <c r="E838" s="21">
        <v>100.8</v>
      </c>
      <c r="F838" s="19"/>
      <c r="G838" s="21"/>
      <c r="H838" s="19"/>
      <c r="I838" s="20">
        <v>45513</v>
      </c>
    </row>
    <row r="839" spans="1:9">
      <c r="A839" s="18">
        <v>50219</v>
      </c>
      <c r="B839" s="19" t="str">
        <f>IFERROR(VLOOKUP(A839,CLIENTES!A:E,2,0),"CADASTRAR CLIENTE")</f>
        <v>UNIPREV LAB DE ANALISES LOCACAO DE BENS E REPAROS LTDA EPP</v>
      </c>
      <c r="C839" s="60" t="s">
        <v>3</v>
      </c>
      <c r="D839" s="60">
        <v>76821</v>
      </c>
      <c r="E839" s="21">
        <v>36.200000000000003</v>
      </c>
      <c r="F839" s="19"/>
      <c r="G839" s="21"/>
      <c r="H839" s="19"/>
      <c r="I839" s="20">
        <v>45516</v>
      </c>
    </row>
    <row r="840" spans="1:9">
      <c r="A840" s="18">
        <v>704</v>
      </c>
      <c r="B840" s="19" t="str">
        <f>IFERROR(VLOOKUP(A840,CLIENTES!A:E,2,0),"CADASTRAR CLIENTE")</f>
        <v>LAB. ONUMA E BASILIO S/C LTDA</v>
      </c>
      <c r="C840" s="60" t="s">
        <v>328</v>
      </c>
      <c r="D840" s="60">
        <v>76428</v>
      </c>
      <c r="E840" s="21">
        <v>593.6</v>
      </c>
      <c r="F840" s="19"/>
      <c r="G840" s="21"/>
      <c r="H840" s="19"/>
      <c r="I840" s="20">
        <v>45516</v>
      </c>
    </row>
    <row r="841" spans="1:9">
      <c r="A841" s="18">
        <v>704</v>
      </c>
      <c r="B841" s="19" t="str">
        <f>IFERROR(VLOOKUP(A841,CLIENTES!A:E,2,0),"CADASTRAR CLIENTE")</f>
        <v>LAB. ONUMA E BASILIO S/C LTDA</v>
      </c>
      <c r="C841" s="60" t="s">
        <v>328</v>
      </c>
      <c r="D841" s="60">
        <v>99254</v>
      </c>
      <c r="E841" s="21">
        <v>245.35</v>
      </c>
      <c r="F841" s="19"/>
      <c r="G841" s="21"/>
      <c r="H841" s="19"/>
      <c r="I841" s="20">
        <v>45516</v>
      </c>
    </row>
    <row r="842" spans="1:9">
      <c r="A842" s="18">
        <v>516</v>
      </c>
      <c r="B842" s="19" t="str">
        <f>IFERROR(VLOOKUP(A842,CLIENTES!A:E,2,0),"CADASTRAR CLIENTE")</f>
        <v>TECNOLAB PATOLOGIA CLINICA S/C LTDA</v>
      </c>
      <c r="C842" s="60" t="s">
        <v>3</v>
      </c>
      <c r="D842" s="60">
        <v>76509</v>
      </c>
      <c r="E842" s="21">
        <v>463</v>
      </c>
      <c r="F842" s="19"/>
      <c r="G842" s="21"/>
      <c r="H842" s="19"/>
      <c r="I842" s="20">
        <v>45516</v>
      </c>
    </row>
    <row r="843" spans="1:9">
      <c r="A843" s="18">
        <v>432</v>
      </c>
      <c r="B843" s="19" t="str">
        <f>IFERROR(VLOOKUP(A843,CLIENTES!A:E,2,0),"CADASTRAR CLIENTE")</f>
        <v>LABORATORIO PASTEUR HEMATOLOGIA E MICROBIOLOGIA S/S LTDA</v>
      </c>
      <c r="C843" s="60" t="s">
        <v>3</v>
      </c>
      <c r="D843" s="60">
        <v>76841</v>
      </c>
      <c r="E843" s="21">
        <v>2891.27</v>
      </c>
      <c r="F843" s="19"/>
      <c r="G843" s="21"/>
      <c r="H843" s="19"/>
      <c r="I843" s="20">
        <v>45516</v>
      </c>
    </row>
    <row r="844" spans="1:9">
      <c r="A844" s="18">
        <v>3240</v>
      </c>
      <c r="B844" s="19" t="str">
        <f>IFERROR(VLOOKUP(A844,CLIENTES!A:E,2,0),"CADASTRAR CLIENTE")</f>
        <v>LABORLOPES LABORATORIO DE  ANALISES CLINICAS LTDA</v>
      </c>
      <c r="C844" s="60" t="s">
        <v>3</v>
      </c>
      <c r="D844" s="60">
        <v>76857</v>
      </c>
      <c r="E844" s="21">
        <v>1214.0999999999999</v>
      </c>
      <c r="F844" s="19"/>
      <c r="G844" s="21"/>
      <c r="H844" s="19"/>
      <c r="I844" s="20">
        <v>45516</v>
      </c>
    </row>
    <row r="845" spans="1:9">
      <c r="A845" s="18">
        <v>1240</v>
      </c>
      <c r="B845" s="19" t="str">
        <f>IFERROR(VLOOKUP(A845,CLIENTES!A:E,2,0),"CADASTRAR CLIENTE")</f>
        <v>MONICA VIEIRA DE CAMPOS REBELO-ME</v>
      </c>
      <c r="C845" s="60" t="s">
        <v>3</v>
      </c>
      <c r="D845" s="60">
        <v>76865</v>
      </c>
      <c r="E845" s="21">
        <v>830.95</v>
      </c>
      <c r="F845" s="19"/>
      <c r="G845" s="21"/>
      <c r="H845" s="19"/>
      <c r="I845" s="20">
        <v>45517</v>
      </c>
    </row>
    <row r="846" spans="1:9">
      <c r="A846" s="18">
        <v>50576</v>
      </c>
      <c r="B846" s="19" t="str">
        <f>IFERROR(VLOOKUP(A846,CLIENTES!A:E,2,0),"CADASTRAR CLIENTE")</f>
        <v>ANDRIAO CANEPPA E SILVA LTDA ME</v>
      </c>
      <c r="C846" s="60" t="s">
        <v>3</v>
      </c>
      <c r="D846" s="60">
        <v>99209</v>
      </c>
      <c r="E846" s="21">
        <v>391.8</v>
      </c>
      <c r="F846" s="19"/>
      <c r="G846" s="21"/>
      <c r="H846" s="19"/>
      <c r="I846" s="20">
        <v>45517</v>
      </c>
    </row>
    <row r="847" spans="1:9">
      <c r="A847" s="18">
        <v>581</v>
      </c>
      <c r="B847" s="19" t="str">
        <f>IFERROR(VLOOKUP(A847,CLIENTES!A:E,2,0),"CADASTRAR CLIENTE")</f>
        <v>CLINILAB LABORAT. ANAL. CLIN SC LTDA</v>
      </c>
      <c r="C847" s="60" t="s">
        <v>3</v>
      </c>
      <c r="D847" s="60">
        <v>99261</v>
      </c>
      <c r="E847" s="21">
        <v>800.01</v>
      </c>
      <c r="F847" s="19"/>
      <c r="G847" s="21"/>
      <c r="H847" s="19"/>
      <c r="I847" s="20">
        <v>45517</v>
      </c>
    </row>
    <row r="848" spans="1:9">
      <c r="A848" s="18">
        <v>3245</v>
      </c>
      <c r="B848" s="19" t="str">
        <f>IFERROR(VLOOKUP(A848,CLIENTES!A:E,2,0),"CADASTRAR CLIENTE")</f>
        <v>LABORATORIO DE ANALISES CLINICAS ROSSETO &amp; BARROS LTDA</v>
      </c>
      <c r="C848" s="60" t="s">
        <v>3</v>
      </c>
      <c r="D848" s="60">
        <v>76874</v>
      </c>
      <c r="E848" s="21">
        <v>2068.4</v>
      </c>
      <c r="F848" s="19"/>
      <c r="G848" s="21"/>
      <c r="H848" s="19"/>
      <c r="I848" s="20">
        <v>45517</v>
      </c>
    </row>
    <row r="849" spans="1:9">
      <c r="A849" s="18">
        <v>2415</v>
      </c>
      <c r="B849" s="19" t="str">
        <f>IFERROR(VLOOKUP(A849,CLIENTES!A:E,2,0),"CADASTRAR CLIENTE")</f>
        <v>ROSSETTO E BARROS LABORATORIO DE ANALISES CLINICAS LTDA</v>
      </c>
      <c r="C849" s="60" t="s">
        <v>3</v>
      </c>
      <c r="D849" s="60">
        <v>76880</v>
      </c>
      <c r="E849" s="21">
        <v>5156</v>
      </c>
      <c r="F849" s="19"/>
      <c r="G849" s="21"/>
      <c r="H849" s="19"/>
      <c r="I849" s="20">
        <v>45517</v>
      </c>
    </row>
    <row r="850" spans="1:9">
      <c r="A850" s="18">
        <v>335</v>
      </c>
      <c r="B850" s="19" t="str">
        <f>IFERROR(VLOOKUP(A850,CLIENTES!A:E,2,0),"CADASTRAR CLIENTE")</f>
        <v>LABORATORIO VIDA  S/S LTDA</v>
      </c>
      <c r="C850" s="60" t="s">
        <v>328</v>
      </c>
      <c r="D850" s="60">
        <v>76884</v>
      </c>
      <c r="E850" s="21">
        <v>559.26</v>
      </c>
      <c r="F850" s="19"/>
      <c r="G850" s="21"/>
      <c r="H850" s="19"/>
      <c r="I850" s="20">
        <v>45517</v>
      </c>
    </row>
    <row r="851" spans="1:9">
      <c r="A851" s="18">
        <v>335</v>
      </c>
      <c r="B851" s="19" t="str">
        <f>IFERROR(VLOOKUP(A851,CLIENTES!A:E,2,0),"CADASTRAR CLIENTE")</f>
        <v>LABORATORIO VIDA  S/S LTDA</v>
      </c>
      <c r="C851" s="60" t="s">
        <v>328</v>
      </c>
      <c r="D851" s="60">
        <v>99265</v>
      </c>
      <c r="E851" s="21">
        <v>184.9</v>
      </c>
      <c r="F851" s="19"/>
      <c r="G851" s="21"/>
      <c r="H851" s="19"/>
      <c r="I851" s="20">
        <v>45517</v>
      </c>
    </row>
    <row r="852" spans="1:9">
      <c r="A852" s="18">
        <v>1164</v>
      </c>
      <c r="B852" s="19" t="str">
        <f>IFERROR(VLOOKUP(A852,CLIENTES!A:E,2,0),"CADASTRAR CLIENTE")</f>
        <v>LAB. ANAL. CLIN. SAO LOURENCO S/C LTDA</v>
      </c>
      <c r="C852" s="60" t="s">
        <v>3</v>
      </c>
      <c r="D852" s="60">
        <v>76888</v>
      </c>
      <c r="E852" s="21">
        <v>367</v>
      </c>
      <c r="F852" s="19"/>
      <c r="G852" s="21"/>
      <c r="H852" s="19"/>
      <c r="I852" s="20">
        <v>45517</v>
      </c>
    </row>
    <row r="853" spans="1:9">
      <c r="A853" s="18">
        <v>1164</v>
      </c>
      <c r="B853" s="19" t="str">
        <f>IFERROR(VLOOKUP(A853,CLIENTES!A:E,2,0),"CADASTRAR CLIENTE")</f>
        <v>LAB. ANAL. CLIN. SAO LOURENCO S/C LTDA</v>
      </c>
      <c r="C853" s="60" t="s">
        <v>3</v>
      </c>
      <c r="D853" s="60">
        <v>99267</v>
      </c>
      <c r="E853" s="21">
        <v>71.099999999999994</v>
      </c>
      <c r="F853" s="19"/>
      <c r="G853" s="21"/>
      <c r="H853" s="19"/>
      <c r="I853" s="20">
        <v>45517</v>
      </c>
    </row>
    <row r="854" spans="1:9">
      <c r="A854" s="18">
        <v>1842</v>
      </c>
      <c r="B854" s="19" t="str">
        <f>IFERROR(VLOOKUP(A854,CLIENTES!A:E,2,0),"CADASTRAR CLIENTE")</f>
        <v>LABORATORIO UNILABVET EIRELI</v>
      </c>
      <c r="C854" s="60" t="s">
        <v>3</v>
      </c>
      <c r="D854" s="60">
        <v>76876</v>
      </c>
      <c r="E854" s="21">
        <v>634.92999999999995</v>
      </c>
      <c r="F854" s="19"/>
      <c r="G854" s="21"/>
      <c r="H854" s="19"/>
      <c r="I854" s="20">
        <v>45517</v>
      </c>
    </row>
    <row r="855" spans="1:9">
      <c r="A855" s="18">
        <v>1989</v>
      </c>
      <c r="B855" s="19" t="str">
        <f>IFERROR(VLOOKUP(A855,CLIENTES!A:E,2,0),"CADASTRAR CLIENTE")</f>
        <v>SAO FRANCISCO ANAL. CLIN.</v>
      </c>
      <c r="C855" s="60" t="s">
        <v>3</v>
      </c>
      <c r="D855" s="60">
        <v>76227</v>
      </c>
      <c r="E855" s="21">
        <v>606.13</v>
      </c>
      <c r="F855" s="19"/>
      <c r="G855" s="21"/>
      <c r="H855" s="19"/>
      <c r="I855" s="20">
        <v>45517</v>
      </c>
    </row>
    <row r="856" spans="1:9">
      <c r="A856" s="18">
        <v>690</v>
      </c>
      <c r="B856" s="19" t="str">
        <f>IFERROR(VLOOKUP(A856,CLIENTES!A:E,2,0),"CADASTRAR CLIENTE")</f>
        <v>SAO ROQUE MEDICINA DIAGNOSTICA LTDA EPP</v>
      </c>
      <c r="C856" s="60" t="s">
        <v>3</v>
      </c>
      <c r="D856" s="60">
        <v>76226</v>
      </c>
      <c r="E856" s="21">
        <v>189</v>
      </c>
      <c r="F856" s="19"/>
      <c r="G856" s="21"/>
      <c r="H856" s="19"/>
      <c r="I856" s="20">
        <v>45517</v>
      </c>
    </row>
    <row r="857" spans="1:9">
      <c r="A857" s="18">
        <v>50554</v>
      </c>
      <c r="B857" s="19" t="str">
        <f>IFERROR(VLOOKUP(A857,CLIENTES!A:E,2,0),"CADASTRAR CLIENTE")</f>
        <v>SAO ROQUE MEDICINA DIAGNOSTICA</v>
      </c>
      <c r="C857" s="60" t="s">
        <v>3</v>
      </c>
      <c r="D857" s="60">
        <v>76225</v>
      </c>
      <c r="E857" s="21">
        <v>189</v>
      </c>
      <c r="F857" s="19"/>
      <c r="G857" s="21"/>
      <c r="H857" s="19"/>
      <c r="I857" s="20">
        <v>45517</v>
      </c>
    </row>
    <row r="858" spans="1:9">
      <c r="A858" s="18">
        <v>1842</v>
      </c>
      <c r="B858" s="19" t="str">
        <f>IFERROR(VLOOKUP(A858,CLIENTES!A:E,2,0),"CADASTRAR CLIENTE")</f>
        <v>LABORATORIO UNILABVET EIRELI</v>
      </c>
      <c r="C858" s="60" t="s">
        <v>3</v>
      </c>
      <c r="D858" s="60">
        <v>99268</v>
      </c>
      <c r="E858" s="21">
        <v>231.15</v>
      </c>
      <c r="F858" s="19"/>
      <c r="G858" s="21"/>
      <c r="H858" s="19"/>
      <c r="I858" s="20">
        <v>45517</v>
      </c>
    </row>
    <row r="859" spans="1:9">
      <c r="A859" s="18">
        <v>1533</v>
      </c>
      <c r="B859" s="19" t="str">
        <f>IFERROR(VLOOKUP(A859,CLIENTES!A:E,2,0),"CADASTRAR CLIENTE")</f>
        <v>LABORATORIO BIOANALISE DIAGNOSTICO LTDA</v>
      </c>
      <c r="C859" s="60" t="s">
        <v>3</v>
      </c>
      <c r="D859" s="60">
        <v>76913</v>
      </c>
      <c r="E859" s="21">
        <v>1258.2</v>
      </c>
      <c r="F859" s="19"/>
      <c r="G859" s="21"/>
      <c r="H859" s="19"/>
      <c r="I859" s="20">
        <v>45518</v>
      </c>
    </row>
    <row r="860" spans="1:9">
      <c r="A860" s="18">
        <v>762</v>
      </c>
      <c r="B860" s="19" t="str">
        <f>IFERROR(VLOOKUP(A860,CLIENTES!A:E,2,0),"CADASTRAR CLIENTE")</f>
        <v>STA. CASA MISERICORDIA DE ARACATUBA</v>
      </c>
      <c r="C860" s="60" t="s">
        <v>3</v>
      </c>
      <c r="D860" s="60">
        <v>76925</v>
      </c>
      <c r="E860" s="21">
        <v>80</v>
      </c>
      <c r="F860" s="19"/>
      <c r="G860" s="21"/>
      <c r="H860" s="19"/>
      <c r="I860" s="20">
        <v>45518</v>
      </c>
    </row>
    <row r="861" spans="1:9">
      <c r="A861" s="18">
        <v>463</v>
      </c>
      <c r="B861" s="19" t="str">
        <f>IFERROR(VLOOKUP(A861,CLIENTES!A:E,2,0),"CADASTRAR CLIENTE")</f>
        <v>MASUDA &amp; MASUDA LABORATORIO CLINICO LTDA</v>
      </c>
      <c r="C861" s="60" t="s">
        <v>3</v>
      </c>
      <c r="D861" s="60">
        <v>76952</v>
      </c>
      <c r="E861" s="21">
        <v>1071.6500000000001</v>
      </c>
      <c r="F861" s="19"/>
      <c r="G861" s="21"/>
      <c r="H861" s="19"/>
      <c r="I861" s="20">
        <v>45519</v>
      </c>
    </row>
    <row r="862" spans="1:9">
      <c r="A862" s="18">
        <v>725</v>
      </c>
      <c r="B862" s="19" t="str">
        <f>IFERROR(VLOOKUP(A862,CLIENTES!A:E,2,0),"CADASTRAR CLIENTE")</f>
        <v>LAB. ANAL. CLIN. DR. ALUISIO CASELLA</v>
      </c>
      <c r="C862" s="60" t="s">
        <v>3</v>
      </c>
      <c r="D862" s="60">
        <v>76933</v>
      </c>
      <c r="E862" s="21">
        <v>714.34</v>
      </c>
      <c r="F862" s="19"/>
      <c r="G862" s="21"/>
      <c r="H862" s="19"/>
      <c r="I862" s="20">
        <v>45519</v>
      </c>
    </row>
    <row r="863" spans="1:9">
      <c r="A863" s="18">
        <v>1493</v>
      </c>
      <c r="B863" s="19" t="str">
        <f>IFERROR(VLOOKUP(A863,CLIENTES!A:E,2,0),"CADASTRAR CLIENTE")</f>
        <v>CEDIMA  CENTRO DE DIAG MONTE AZUL ANAL CLIN E CIT</v>
      </c>
      <c r="C863" s="60" t="s">
        <v>3</v>
      </c>
      <c r="D863" s="60">
        <v>76977</v>
      </c>
      <c r="E863" s="21">
        <v>856.7</v>
      </c>
      <c r="F863" s="19"/>
      <c r="G863" s="21"/>
      <c r="H863" s="19"/>
      <c r="I863" s="20">
        <v>45519</v>
      </c>
    </row>
    <row r="864" spans="1:9">
      <c r="A864" s="18">
        <v>741</v>
      </c>
      <c r="B864" s="19" t="str">
        <f>IFERROR(VLOOKUP(A864,CLIENTES!A:E,2,0),"CADASTRAR CLIENTE")</f>
        <v>LAB. ANAL. CLIN. DR. HELIO NAKABASHI SC LTDA</v>
      </c>
      <c r="C864" s="60" t="s">
        <v>3</v>
      </c>
      <c r="D864" s="60">
        <v>76978</v>
      </c>
      <c r="E864" s="21">
        <v>7400</v>
      </c>
      <c r="F864" s="19">
        <v>1</v>
      </c>
      <c r="G864" s="21">
        <v>7400</v>
      </c>
      <c r="H864" s="19"/>
      <c r="I864" s="20">
        <v>45519</v>
      </c>
    </row>
    <row r="865" spans="1:9">
      <c r="A865" s="18">
        <v>741</v>
      </c>
      <c r="B865" s="19" t="str">
        <f>IFERROR(VLOOKUP(A865,CLIENTES!A:E,2,0),"CADASTRAR CLIENTE")</f>
        <v>LAB. ANAL. CLIN. DR. HELIO NAKABASHI SC LTDA</v>
      </c>
      <c r="C865" s="60" t="s">
        <v>3</v>
      </c>
      <c r="D865" s="60">
        <v>76981</v>
      </c>
      <c r="E865" s="21">
        <v>1897.2</v>
      </c>
      <c r="F865" s="19"/>
      <c r="G865" s="21"/>
      <c r="H865" s="19"/>
      <c r="I865" s="20">
        <v>45519</v>
      </c>
    </row>
    <row r="866" spans="1:9">
      <c r="A866" s="18">
        <v>687</v>
      </c>
      <c r="B866" s="19" t="str">
        <f>IFERROR(VLOOKUP(A866,CLIENTES!A:E,2,0),"CADASTRAR CLIENTE")</f>
        <v>LAB ANAL CLIN VENDRAMINI S/S LTDA</v>
      </c>
      <c r="C866" s="60" t="s">
        <v>3</v>
      </c>
      <c r="D866" s="60">
        <v>76958</v>
      </c>
      <c r="E866" s="21">
        <v>453.5</v>
      </c>
      <c r="F866" s="19"/>
      <c r="G866" s="21"/>
      <c r="H866" s="19"/>
      <c r="I866" s="20">
        <v>45519</v>
      </c>
    </row>
    <row r="867" spans="1:9">
      <c r="A867" s="18">
        <v>687</v>
      </c>
      <c r="B867" s="19" t="str">
        <f>IFERROR(VLOOKUP(A867,CLIENTES!A:E,2,0),"CADASTRAR CLIENTE")</f>
        <v>LAB ANAL CLIN VENDRAMINI S/S LTDA</v>
      </c>
      <c r="C867" s="60" t="s">
        <v>3</v>
      </c>
      <c r="D867" s="60">
        <v>99278</v>
      </c>
      <c r="E867" s="21">
        <v>235.27</v>
      </c>
      <c r="F867" s="19"/>
      <c r="G867" s="21"/>
      <c r="H867" s="19"/>
      <c r="I867" s="20">
        <v>45519</v>
      </c>
    </row>
    <row r="868" spans="1:9">
      <c r="A868" s="18">
        <v>1026</v>
      </c>
      <c r="B868" s="19" t="str">
        <f>IFERROR(VLOOKUP(A868,CLIENTES!A:E,2,0),"CADASTRAR CLIENTE")</f>
        <v>LABSC SERVICOS LABORATORIAIS LTDA</v>
      </c>
      <c r="C868" s="60" t="s">
        <v>3</v>
      </c>
      <c r="D868" s="60">
        <v>76997</v>
      </c>
      <c r="E868" s="21">
        <v>1771.44</v>
      </c>
      <c r="F868" s="19"/>
      <c r="G868" s="21"/>
      <c r="H868" s="19"/>
      <c r="I868" s="20">
        <v>45520</v>
      </c>
    </row>
    <row r="869" spans="1:9">
      <c r="A869" s="18">
        <v>475</v>
      </c>
      <c r="B869" s="19" t="str">
        <f>IFERROR(VLOOKUP(A869,CLIENTES!A:E,2,0),"CADASTRAR CLIENTE")</f>
        <v>LABORATORIO DE ANALISES CLINICAS SRC LTDA</v>
      </c>
      <c r="C869" s="60" t="s">
        <v>2</v>
      </c>
      <c r="D869" s="60">
        <v>99287</v>
      </c>
      <c r="E869" s="21">
        <v>1104.06</v>
      </c>
      <c r="F869" s="19"/>
      <c r="G869" s="21"/>
      <c r="H869" s="19"/>
      <c r="I869" s="20">
        <v>45520</v>
      </c>
    </row>
    <row r="870" spans="1:9">
      <c r="A870" s="18">
        <v>475</v>
      </c>
      <c r="B870" s="19" t="str">
        <f>IFERROR(VLOOKUP(A870,CLIENTES!A:E,2,0),"CADASTRAR CLIENTE")</f>
        <v>LABORATORIO DE ANALISES CLINICAS SRC LTDA</v>
      </c>
      <c r="C870" s="60" t="s">
        <v>2</v>
      </c>
      <c r="D870" s="60">
        <v>76904</v>
      </c>
      <c r="E870" s="21">
        <v>11898.59</v>
      </c>
      <c r="F870" s="19"/>
      <c r="G870" s="21"/>
      <c r="H870" s="19"/>
      <c r="I870" s="20">
        <v>45520</v>
      </c>
    </row>
    <row r="871" spans="1:9">
      <c r="A871" s="18">
        <v>690</v>
      </c>
      <c r="B871" s="19" t="str">
        <f>IFERROR(VLOOKUP(A871,CLIENTES!A:E,2,0),"CADASTRAR CLIENTE")</f>
        <v>SAO ROQUE MEDICINA DIAGNOSTICA LTDA EPP</v>
      </c>
      <c r="C871" s="60" t="s">
        <v>3</v>
      </c>
      <c r="D871" s="60">
        <v>77017</v>
      </c>
      <c r="E871" s="21">
        <v>31</v>
      </c>
      <c r="F871" s="19"/>
      <c r="G871" s="21"/>
      <c r="H871" s="19"/>
      <c r="I871" s="20">
        <v>45520</v>
      </c>
    </row>
    <row r="872" spans="1:9">
      <c r="A872" s="18">
        <v>325</v>
      </c>
      <c r="B872" s="19" t="str">
        <f>IFERROR(VLOOKUP(A872,CLIENTES!A:E,2,0),"CADASTRAR CLIENTE")</f>
        <v>EXAME-LABORAT. DE ANAL. CLIN. CITODIAGNOSTICO S/S LTDA</v>
      </c>
      <c r="C872" s="60" t="s">
        <v>3</v>
      </c>
      <c r="D872" s="60">
        <v>77025</v>
      </c>
      <c r="E872" s="21">
        <v>317.39999999999998</v>
      </c>
      <c r="F872" s="19"/>
      <c r="G872" s="21"/>
      <c r="H872" s="19"/>
      <c r="I872" s="20">
        <v>45520</v>
      </c>
    </row>
    <row r="873" spans="1:9">
      <c r="A873" s="18">
        <v>325</v>
      </c>
      <c r="B873" s="19" t="str">
        <f>IFERROR(VLOOKUP(A873,CLIENTES!A:E,2,0),"CADASTRAR CLIENTE")</f>
        <v>EXAME-LABORAT. DE ANAL. CLIN. CITODIAGNOSTICO S/S LTDA</v>
      </c>
      <c r="C873" s="60" t="s">
        <v>3</v>
      </c>
      <c r="D873" s="60">
        <v>99291</v>
      </c>
      <c r="E873" s="21">
        <v>325.7</v>
      </c>
      <c r="F873" s="19"/>
      <c r="G873" s="21"/>
      <c r="H873" s="19"/>
      <c r="I873" s="20">
        <v>45520</v>
      </c>
    </row>
    <row r="874" spans="1:9">
      <c r="A874" s="18">
        <v>3190</v>
      </c>
      <c r="B874" s="19" t="str">
        <f>IFERROR(VLOOKUP(A874,CLIENTES!A:E,2,0),"CADASTRAR CLIENTE")</f>
        <v>C D A CENTRO DE DIAGNOSTICO VETERINARIO</v>
      </c>
      <c r="C874" s="60" t="s">
        <v>3</v>
      </c>
      <c r="D874" s="60">
        <v>77027</v>
      </c>
      <c r="E874" s="21">
        <v>1955.22</v>
      </c>
      <c r="F874" s="19"/>
      <c r="G874" s="21"/>
      <c r="H874" s="19"/>
      <c r="I874" s="20">
        <v>45523</v>
      </c>
    </row>
    <row r="875" spans="1:9">
      <c r="A875" s="18">
        <v>432</v>
      </c>
      <c r="B875" s="19" t="str">
        <f>IFERROR(VLOOKUP(A875,CLIENTES!A:E,2,0),"CADASTRAR CLIENTE")</f>
        <v>LABORATORIO PASTEUR HEMATOLOGIA E MICROBIOLOGIA S/S LTDA</v>
      </c>
      <c r="C875" s="60" t="s">
        <v>3</v>
      </c>
      <c r="D875" s="60">
        <v>77034</v>
      </c>
      <c r="E875" s="21">
        <v>901.61</v>
      </c>
      <c r="F875" s="19"/>
      <c r="G875" s="21"/>
      <c r="H875" s="19"/>
      <c r="I875" s="20">
        <v>45523</v>
      </c>
    </row>
    <row r="876" spans="1:9">
      <c r="A876" s="18">
        <v>432</v>
      </c>
      <c r="B876" s="19" t="str">
        <f>IFERROR(VLOOKUP(A876,CLIENTES!A:E,2,0),"CADASTRAR CLIENTE")</f>
        <v>LABORATORIO PASTEUR HEMATOLOGIA E MICROBIOLOGIA S/S LTDA</v>
      </c>
      <c r="C876" s="60" t="s">
        <v>3</v>
      </c>
      <c r="D876" s="60">
        <v>99292</v>
      </c>
      <c r="E876" s="21">
        <v>107.15</v>
      </c>
      <c r="F876" s="19"/>
      <c r="G876" s="21"/>
      <c r="H876" s="19"/>
      <c r="I876" s="20">
        <v>45523</v>
      </c>
    </row>
    <row r="877" spans="1:9">
      <c r="A877" s="18">
        <v>1533</v>
      </c>
      <c r="B877" s="19" t="str">
        <f>IFERROR(VLOOKUP(A877,CLIENTES!A:E,2,0),"CADASTRAR CLIENTE")</f>
        <v>LABORATORIO BIOANALISE DIAGNOSTICO LTDA</v>
      </c>
      <c r="C877" s="60" t="s">
        <v>3</v>
      </c>
      <c r="D877" s="60">
        <v>99295</v>
      </c>
      <c r="E877" s="21">
        <v>222</v>
      </c>
      <c r="F877" s="19"/>
      <c r="G877" s="21"/>
      <c r="H877" s="19"/>
      <c r="I877" s="20">
        <v>45523</v>
      </c>
    </row>
    <row r="878" spans="1:9">
      <c r="A878" s="18">
        <v>1533</v>
      </c>
      <c r="B878" s="19" t="str">
        <f>IFERROR(VLOOKUP(A878,CLIENTES!A:E,2,0),"CADASTRAR CLIENTE")</f>
        <v>LABORATORIO BIOANALISE DIAGNOSTICO LTDA</v>
      </c>
      <c r="C878" s="60" t="s">
        <v>3</v>
      </c>
      <c r="D878" s="60">
        <v>77039</v>
      </c>
      <c r="E878" s="21">
        <v>294</v>
      </c>
      <c r="F878" s="19"/>
      <c r="G878" s="21"/>
      <c r="H878" s="19"/>
      <c r="I878" s="20">
        <v>45523</v>
      </c>
    </row>
    <row r="879" spans="1:9">
      <c r="A879" s="18">
        <v>480</v>
      </c>
      <c r="B879" s="19" t="str">
        <f>IFERROR(VLOOKUP(A879,CLIENTES!A:E,2,0),"CADASTRAR CLIENTE")</f>
        <v>LAB SAO LUCAS</v>
      </c>
      <c r="C879" s="60" t="s">
        <v>3</v>
      </c>
      <c r="D879" s="60">
        <v>77040</v>
      </c>
      <c r="E879" s="21">
        <v>899.6</v>
      </c>
      <c r="F879" s="19"/>
      <c r="G879" s="21"/>
      <c r="H879" s="19"/>
      <c r="I879" s="20">
        <v>45523</v>
      </c>
    </row>
    <row r="880" spans="1:9">
      <c r="A880" s="18">
        <v>50961</v>
      </c>
      <c r="B880" s="19" t="str">
        <f>IFERROR(VLOOKUP(A880,CLIENTES!A:E,2,0),"CADASTRAR CLIENTE")</f>
        <v>SOLUTE MEDICAL GROUP BRAZIL LTDA</v>
      </c>
      <c r="C880" s="60" t="s">
        <v>3</v>
      </c>
      <c r="D880" s="60">
        <v>76554</v>
      </c>
      <c r="E880" s="21">
        <v>988.83</v>
      </c>
      <c r="F880" s="19"/>
      <c r="G880" s="21"/>
      <c r="H880" s="19"/>
      <c r="I880" s="20">
        <v>45523</v>
      </c>
    </row>
    <row r="881" spans="1:9">
      <c r="A881" s="18">
        <v>761</v>
      </c>
      <c r="B881" s="19" t="str">
        <f>IFERROR(VLOOKUP(A881,CLIENTES!A:E,2,0),"CADASTRAR CLIENTE")</f>
        <v>EXAME CENTRO DIAG.M.ARACATUBA SC LTDA.</v>
      </c>
      <c r="C881" s="60" t="s">
        <v>3</v>
      </c>
      <c r="D881" s="60">
        <v>77073</v>
      </c>
      <c r="E881" s="21">
        <v>360.55</v>
      </c>
      <c r="F881" s="19"/>
      <c r="G881" s="21"/>
      <c r="H881" s="19"/>
      <c r="I881" s="20">
        <v>45524</v>
      </c>
    </row>
    <row r="882" spans="1:9">
      <c r="A882" s="18">
        <v>1240</v>
      </c>
      <c r="B882" s="19" t="str">
        <f>IFERROR(VLOOKUP(A882,CLIENTES!A:E,2,0),"CADASTRAR CLIENTE")</f>
        <v>MONICA VIEIRA DE CAMPOS REBELO-ME</v>
      </c>
      <c r="C882" s="60" t="s">
        <v>3</v>
      </c>
      <c r="D882" s="60">
        <v>77069</v>
      </c>
      <c r="E882" s="21">
        <v>461.57</v>
      </c>
      <c r="F882" s="19"/>
      <c r="G882" s="21"/>
      <c r="H882" s="19"/>
      <c r="I882" s="20">
        <v>45524</v>
      </c>
    </row>
    <row r="883" spans="1:9">
      <c r="A883" s="18">
        <v>1726</v>
      </c>
      <c r="B883" s="19" t="str">
        <f>IFERROR(VLOOKUP(A883,CLIENTES!A:E,2,0),"CADASTRAR CLIENTE")</f>
        <v>IRMANDADE DA SANTA CASA DE MISERIC. DE MOGI MIRIM</v>
      </c>
      <c r="C883" s="60" t="s">
        <v>2</v>
      </c>
      <c r="D883" s="60">
        <v>77077</v>
      </c>
      <c r="E883" s="21">
        <v>2411.4</v>
      </c>
      <c r="F883" s="19">
        <v>1</v>
      </c>
      <c r="G883" s="21">
        <v>2362.1</v>
      </c>
      <c r="H883" s="19"/>
      <c r="I883" s="20">
        <v>45524</v>
      </c>
    </row>
    <row r="884" spans="1:9">
      <c r="A884" s="18">
        <v>50418</v>
      </c>
      <c r="B884" s="19" t="str">
        <f>IFERROR(VLOOKUP(A884,CLIENTES!A:E,2,0),"CADASTRAR CLIENTE")</f>
        <v>LABORATORIO SAO LUCAS DE BROTAS SS LTDA</v>
      </c>
      <c r="C884" s="60" t="s">
        <v>3</v>
      </c>
      <c r="D884" s="60">
        <v>76887</v>
      </c>
      <c r="E884" s="21">
        <v>126</v>
      </c>
      <c r="F884" s="19"/>
      <c r="G884" s="21"/>
      <c r="H884" s="19"/>
      <c r="I884" s="20">
        <v>45524</v>
      </c>
    </row>
    <row r="885" spans="1:9">
      <c r="A885" s="18">
        <v>50418</v>
      </c>
      <c r="B885" s="19" t="str">
        <f>IFERROR(VLOOKUP(A885,CLIENTES!A:E,2,0),"CADASTRAR CLIENTE")</f>
        <v>LABORATORIO SAO LUCAS DE BROTAS SS LTDA</v>
      </c>
      <c r="C885" s="60" t="s">
        <v>3</v>
      </c>
      <c r="D885" s="60">
        <v>1234</v>
      </c>
      <c r="E885" s="21">
        <v>410</v>
      </c>
      <c r="F885" s="19"/>
      <c r="G885" s="21"/>
      <c r="H885" s="19"/>
      <c r="I885" s="20">
        <v>45524</v>
      </c>
    </row>
    <row r="886" spans="1:9">
      <c r="A886" s="18">
        <v>741</v>
      </c>
      <c r="B886" s="19" t="str">
        <f>IFERROR(VLOOKUP(A886,CLIENTES!A:E,2,0),"CADASTRAR CLIENTE")</f>
        <v>LAB. ANAL. CLIN. DR. HELIO NAKABASHI SC LTDA</v>
      </c>
      <c r="C886" s="60" t="s">
        <v>3</v>
      </c>
      <c r="D886" s="60">
        <v>77026</v>
      </c>
      <c r="E886" s="21">
        <v>89</v>
      </c>
      <c r="F886" s="19"/>
      <c r="G886" s="21"/>
      <c r="H886" s="19"/>
      <c r="I886" s="20">
        <v>45524</v>
      </c>
    </row>
    <row r="887" spans="1:9">
      <c r="A887" s="18">
        <v>618</v>
      </c>
      <c r="B887" s="19" t="str">
        <f>IFERROR(VLOOKUP(A887,CLIENTES!A:E,2,0),"CADASTRAR CLIENTE")</f>
        <v>LAB. ANAL. CLIN. POMPEIA</v>
      </c>
      <c r="C887" s="60" t="s">
        <v>3</v>
      </c>
      <c r="D887" s="60">
        <v>77099</v>
      </c>
      <c r="E887" s="21">
        <v>2969.5</v>
      </c>
      <c r="F887" s="19"/>
      <c r="G887" s="21"/>
      <c r="H887" s="19"/>
      <c r="I887" s="20">
        <v>45524</v>
      </c>
    </row>
    <row r="888" spans="1:9">
      <c r="A888" s="18">
        <v>1813</v>
      </c>
      <c r="B888" s="19" t="str">
        <f>IFERROR(VLOOKUP(A888,CLIENTES!A:E,2,0),"CADASTRAR CLIENTE")</f>
        <v>BIOMED LAB.ANAL.CLIN. SC  LTDA</v>
      </c>
      <c r="C888" s="60" t="s">
        <v>3</v>
      </c>
      <c r="D888" s="60">
        <v>77116</v>
      </c>
      <c r="E888" s="21">
        <v>1283.1500000000001</v>
      </c>
      <c r="F888" s="19"/>
      <c r="G888" s="21"/>
      <c r="H888" s="19"/>
      <c r="I888" s="20">
        <v>45525</v>
      </c>
    </row>
    <row r="889" spans="1:9">
      <c r="A889" s="18">
        <v>1164</v>
      </c>
      <c r="B889" s="19" t="str">
        <f>IFERROR(VLOOKUP(A889,CLIENTES!A:E,2,0),"CADASTRAR CLIENTE")</f>
        <v>LAB. ANAL. CLIN. SAO LOURENCO S/C LTDA</v>
      </c>
      <c r="C889" s="60" t="s">
        <v>3</v>
      </c>
      <c r="D889" s="60">
        <v>77118</v>
      </c>
      <c r="E889" s="21">
        <v>383.35</v>
      </c>
      <c r="F889" s="19"/>
      <c r="G889" s="21"/>
      <c r="H889" s="19"/>
      <c r="I889" s="20">
        <v>45525</v>
      </c>
    </row>
    <row r="890" spans="1:9">
      <c r="A890" s="18">
        <v>1164</v>
      </c>
      <c r="B890" s="19" t="str">
        <f>IFERROR(VLOOKUP(A890,CLIENTES!A:E,2,0),"CADASTRAR CLIENTE")</f>
        <v>LAB. ANAL. CLIN. SAO LOURENCO S/C LTDA</v>
      </c>
      <c r="C890" s="60" t="s">
        <v>3</v>
      </c>
      <c r="D890" s="60">
        <v>99306</v>
      </c>
      <c r="E890" s="21">
        <v>88.89</v>
      </c>
      <c r="F890" s="19"/>
      <c r="G890" s="21"/>
      <c r="H890" s="19"/>
      <c r="I890" s="20">
        <v>45525</v>
      </c>
    </row>
    <row r="891" spans="1:9">
      <c r="A891" s="18">
        <v>874</v>
      </c>
      <c r="B891" s="19" t="str">
        <f>IFERROR(VLOOKUP(A891,CLIENTES!A:E,2,0),"CADASTRAR CLIENTE")</f>
        <v>LAB.ANAL.CLIN ABI JAUDI SC LTDA.</v>
      </c>
      <c r="C891" s="60" t="s">
        <v>3</v>
      </c>
      <c r="D891" s="60">
        <v>77135</v>
      </c>
      <c r="E891" s="21">
        <v>377.6</v>
      </c>
      <c r="F891" s="19"/>
      <c r="G891" s="21"/>
      <c r="H891" s="19"/>
      <c r="I891" s="20">
        <v>45525</v>
      </c>
    </row>
    <row r="892" spans="1:9">
      <c r="A892" s="18">
        <v>475</v>
      </c>
      <c r="B892" s="19" t="str">
        <f>IFERROR(VLOOKUP(A892,CLIENTES!A:E,2,0),"CADASTRAR CLIENTE")</f>
        <v>LABORATORIO DE ANALISES CLINICAS SRC LTDA</v>
      </c>
      <c r="C892" s="60" t="s">
        <v>3</v>
      </c>
      <c r="D892" s="60">
        <v>77138</v>
      </c>
      <c r="E892" s="21">
        <v>5506.75</v>
      </c>
      <c r="F892" s="19"/>
      <c r="G892" s="21"/>
      <c r="H892" s="19"/>
      <c r="I892" s="20">
        <v>45525</v>
      </c>
    </row>
    <row r="893" spans="1:9">
      <c r="A893" s="18">
        <v>475</v>
      </c>
      <c r="B893" s="19" t="str">
        <f>IFERROR(VLOOKUP(A893,CLIENTES!A:E,2,0),"CADASTRAR CLIENTE")</f>
        <v>LABORATORIO DE ANALISES CLINICAS SRC LTDA</v>
      </c>
      <c r="C893" s="60" t="s">
        <v>3</v>
      </c>
      <c r="D893" s="60">
        <v>99316</v>
      </c>
      <c r="E893" s="21">
        <v>94.8</v>
      </c>
      <c r="F893" s="19"/>
      <c r="G893" s="21"/>
      <c r="H893" s="19"/>
      <c r="I893" s="20">
        <v>45526</v>
      </c>
    </row>
    <row r="894" spans="1:9">
      <c r="A894" s="18">
        <v>2397</v>
      </c>
      <c r="B894" s="19" t="str">
        <f>IFERROR(VLOOKUP(A894,CLIENTES!A:E,2,0),"CADASTRAR CLIENTE")</f>
        <v>LAB ANAL CLINICAS SANTA RITA S/C LTDA</v>
      </c>
      <c r="C894" s="60" t="s">
        <v>3</v>
      </c>
      <c r="D894" s="60">
        <v>77016</v>
      </c>
      <c r="E894" s="21">
        <v>1042.3</v>
      </c>
      <c r="F894" s="19"/>
      <c r="G894" s="21"/>
      <c r="H894" s="19"/>
      <c r="I894" s="20">
        <v>45526</v>
      </c>
    </row>
    <row r="895" spans="1:9">
      <c r="A895" s="18">
        <v>50576</v>
      </c>
      <c r="B895" s="19" t="str">
        <f>IFERROR(VLOOKUP(A895,CLIENTES!A:E,2,0),"CADASTRAR CLIENTE")</f>
        <v>ANDRIAO CANEPPA E SILVA LTDA ME</v>
      </c>
      <c r="C895" s="60" t="s">
        <v>329</v>
      </c>
      <c r="D895" s="60">
        <v>77155</v>
      </c>
      <c r="E895" s="21">
        <v>2343.1</v>
      </c>
      <c r="F895" s="19"/>
      <c r="G895" s="21"/>
      <c r="H895" s="19"/>
      <c r="I895" s="20">
        <v>45526</v>
      </c>
    </row>
    <row r="896" spans="1:9">
      <c r="A896" s="18">
        <v>784</v>
      </c>
      <c r="B896" s="19" t="str">
        <f>IFERROR(VLOOKUP(A896,CLIENTES!A:E,2,0),"CADASTRAR CLIENTE")</f>
        <v>LAB.ANAL.CLIN. ALBERT SABIN SC LTDA.</v>
      </c>
      <c r="C896" s="60" t="s">
        <v>3</v>
      </c>
      <c r="D896" s="60">
        <v>77158</v>
      </c>
      <c r="E896" s="21">
        <v>96</v>
      </c>
      <c r="F896" s="19"/>
      <c r="G896" s="21"/>
      <c r="H896" s="19"/>
      <c r="I896" s="20">
        <v>45526</v>
      </c>
    </row>
    <row r="897" spans="1:9">
      <c r="A897" s="18">
        <v>1493</v>
      </c>
      <c r="B897" s="19" t="str">
        <f>IFERROR(VLOOKUP(A897,CLIENTES!A:E,2,0),"CADASTRAR CLIENTE")</f>
        <v>CEDIMA  CENTRO DE DIAG MONTE AZUL ANAL CLIN E CIT</v>
      </c>
      <c r="C897" s="60" t="s">
        <v>328</v>
      </c>
      <c r="D897" s="60">
        <v>77086</v>
      </c>
      <c r="E897" s="21">
        <v>807.7</v>
      </c>
      <c r="F897" s="19"/>
      <c r="G897" s="21"/>
      <c r="H897" s="19"/>
      <c r="I897" s="20">
        <v>45526</v>
      </c>
    </row>
    <row r="898" spans="1:9">
      <c r="A898" s="18">
        <v>960</v>
      </c>
      <c r="B898" s="19" t="str">
        <f>IFERROR(VLOOKUP(A898,CLIENTES!A:E,2,0),"CADASTRAR CLIENTE")</f>
        <v>LUIS VALERIO FILHO-ME</v>
      </c>
      <c r="C898" s="60" t="s">
        <v>3</v>
      </c>
      <c r="D898" s="60">
        <v>99279</v>
      </c>
      <c r="E898" s="21">
        <v>299.48</v>
      </c>
      <c r="F898" s="19"/>
      <c r="G898" s="21"/>
      <c r="H898" s="19"/>
      <c r="I898" s="20">
        <v>45526</v>
      </c>
    </row>
    <row r="899" spans="1:9">
      <c r="A899" s="18">
        <v>960</v>
      </c>
      <c r="B899" s="19" t="str">
        <f>IFERROR(VLOOKUP(A899,CLIENTES!A:E,2,0),"CADASTRAR CLIENTE")</f>
        <v>LUIS VALERIO FILHO-ME</v>
      </c>
      <c r="C899" s="60" t="s">
        <v>3</v>
      </c>
      <c r="D899" s="60">
        <v>76972</v>
      </c>
      <c r="E899" s="21">
        <v>181</v>
      </c>
      <c r="F899" s="19"/>
      <c r="G899" s="21"/>
      <c r="H899" s="19"/>
      <c r="I899" s="20">
        <v>45526</v>
      </c>
    </row>
    <row r="900" spans="1:9">
      <c r="A900" s="18">
        <v>516</v>
      </c>
      <c r="B900" s="19" t="str">
        <f>IFERROR(VLOOKUP(A900,CLIENTES!A:E,2,0),"CADASTRAR CLIENTE")</f>
        <v>TECNOLAB PATOLOGIA CLINICA S/C LTDA</v>
      </c>
      <c r="C900" s="60" t="s">
        <v>3</v>
      </c>
      <c r="D900" s="60">
        <v>77182</v>
      </c>
      <c r="E900" s="21">
        <v>3546.55</v>
      </c>
      <c r="F900" s="19"/>
      <c r="G900" s="21"/>
      <c r="H900" s="19"/>
      <c r="I900" s="20">
        <v>45526</v>
      </c>
    </row>
    <row r="901" spans="1:9">
      <c r="A901" s="18">
        <v>906</v>
      </c>
      <c r="B901" s="19" t="str">
        <f>IFERROR(VLOOKUP(A901,CLIENTES!A:E,2,0),"CADASTRAR CLIENTE")</f>
        <v>LABORATORIO ANAL. CLIN. DESCALVADO LTDA</v>
      </c>
      <c r="C901" s="60" t="s">
        <v>3</v>
      </c>
      <c r="D901" s="60">
        <v>99321</v>
      </c>
      <c r="E901" s="21">
        <v>853.23</v>
      </c>
      <c r="F901" s="19"/>
      <c r="G901" s="21"/>
      <c r="H901" s="19"/>
      <c r="I901" s="20">
        <v>45527</v>
      </c>
    </row>
    <row r="902" spans="1:9">
      <c r="A902" s="18">
        <v>50728</v>
      </c>
      <c r="B902" s="19" t="str">
        <f>IFERROR(VLOOKUP(A902,CLIENTES!A:E,2,0),"CADASTRAR CLIENTE")</f>
        <v>SESTITO &amp; TORRES CLINICA MEDICA</v>
      </c>
      <c r="C902" s="60" t="s">
        <v>3</v>
      </c>
      <c r="D902" s="60">
        <v>42316</v>
      </c>
      <c r="E902" s="21">
        <v>720</v>
      </c>
      <c r="F902" s="19"/>
      <c r="G902" s="21"/>
      <c r="H902" s="19"/>
      <c r="I902" s="20">
        <v>45527</v>
      </c>
    </row>
    <row r="903" spans="1:9">
      <c r="A903" s="18">
        <v>761</v>
      </c>
      <c r="B903" s="19" t="str">
        <f>IFERROR(VLOOKUP(A903,CLIENTES!A:E,2,0),"CADASTRAR CLIENTE")</f>
        <v>EXAME CENTRO DIAG.M.ARACATUBA SC LTDA.</v>
      </c>
      <c r="C903" s="60" t="s">
        <v>3</v>
      </c>
      <c r="D903" s="60">
        <v>77241</v>
      </c>
      <c r="E903" s="21">
        <v>57.4</v>
      </c>
      <c r="F903" s="19"/>
      <c r="G903" s="21"/>
      <c r="H903" s="19"/>
      <c r="I903" s="20">
        <v>45530</v>
      </c>
    </row>
    <row r="904" spans="1:9">
      <c r="A904" s="18">
        <v>761</v>
      </c>
      <c r="B904" s="19" t="str">
        <f>IFERROR(VLOOKUP(A904,CLIENTES!A:E,2,0),"CADASTRAR CLIENTE")</f>
        <v>EXAME CENTRO DIAG.M.ARACATUBA SC LTDA.</v>
      </c>
      <c r="C904" s="60" t="s">
        <v>3</v>
      </c>
      <c r="D904" s="60">
        <v>99300</v>
      </c>
      <c r="E904" s="21">
        <v>413.4</v>
      </c>
      <c r="F904" s="19"/>
      <c r="G904" s="21"/>
      <c r="H904" s="19"/>
      <c r="I904" s="20">
        <v>45530</v>
      </c>
    </row>
    <row r="905" spans="1:9">
      <c r="A905" s="18">
        <v>905</v>
      </c>
      <c r="B905" s="19" t="str">
        <f>IFERROR(VLOOKUP(A905,CLIENTES!A:E,2,0),"CADASTRAR CLIENTE")</f>
        <v>LAB AN CLIN DR NESTOR FERRAREZZI FILHO  SC LTDA</v>
      </c>
      <c r="C905" s="60" t="s">
        <v>328</v>
      </c>
      <c r="D905" s="60">
        <v>76586</v>
      </c>
      <c r="E905" s="21">
        <v>796.8</v>
      </c>
      <c r="F905" s="19"/>
      <c r="G905" s="21"/>
      <c r="H905" s="19"/>
      <c r="I905" s="20">
        <v>45530</v>
      </c>
    </row>
    <row r="906" spans="1:9">
      <c r="A906" s="18">
        <v>905</v>
      </c>
      <c r="B906" s="19" t="str">
        <f>IFERROR(VLOOKUP(A906,CLIENTES!A:E,2,0),"CADASTRAR CLIENTE")</f>
        <v>LAB AN CLIN DR NESTOR FERRAREZZI FILHO  SC LTDA</v>
      </c>
      <c r="C906" s="60" t="s">
        <v>328</v>
      </c>
      <c r="D906" s="60">
        <v>99334</v>
      </c>
      <c r="E906" s="21">
        <v>206.37</v>
      </c>
      <c r="F906" s="19"/>
      <c r="G906" s="21"/>
      <c r="H906" s="19"/>
      <c r="I906" s="20">
        <v>45530</v>
      </c>
    </row>
    <row r="907" spans="1:9">
      <c r="A907" s="18">
        <v>572</v>
      </c>
      <c r="B907" s="19" t="str">
        <f>IFERROR(VLOOKUP(A907,CLIENTES!A:E,2,0),"CADASTRAR CLIENTE")</f>
        <v>LABORATORIO MULTIANALISES LTDA-ME</v>
      </c>
      <c r="C907" s="60" t="s">
        <v>3</v>
      </c>
      <c r="D907" s="60">
        <v>77287</v>
      </c>
      <c r="E907" s="21">
        <v>1126.28</v>
      </c>
      <c r="F907" s="19"/>
      <c r="G907" s="21"/>
      <c r="H907" s="19"/>
      <c r="I907" s="20">
        <v>45530</v>
      </c>
    </row>
    <row r="908" spans="1:9">
      <c r="A908" s="18">
        <v>823</v>
      </c>
      <c r="B908" s="19" t="str">
        <f>IFERROR(VLOOKUP(A908,CLIENTES!A:E,2,0),"CADASTRAR CLIENTE")</f>
        <v>SANCHES x SANCHES S/C LTDA</v>
      </c>
      <c r="C908" s="60" t="s">
        <v>3</v>
      </c>
      <c r="D908" s="60">
        <v>77286</v>
      </c>
      <c r="E908" s="21">
        <v>3267.5</v>
      </c>
      <c r="F908" s="19"/>
      <c r="G908" s="21"/>
      <c r="H908" s="19"/>
      <c r="I908" s="20">
        <v>45530</v>
      </c>
    </row>
    <row r="909" spans="1:9">
      <c r="A909" s="18">
        <v>823</v>
      </c>
      <c r="B909" s="19" t="str">
        <f>IFERROR(VLOOKUP(A909,CLIENTES!A:E,2,0),"CADASTRAR CLIENTE")</f>
        <v>SANCHES x SANCHES S/C LTDA</v>
      </c>
      <c r="C909" s="60" t="s">
        <v>3</v>
      </c>
      <c r="D909" s="60">
        <v>99158</v>
      </c>
      <c r="E909" s="21">
        <v>774.6</v>
      </c>
      <c r="F909" s="19"/>
      <c r="G909" s="21"/>
      <c r="H909" s="19"/>
      <c r="I909" s="20">
        <v>45530</v>
      </c>
    </row>
    <row r="910" spans="1:9">
      <c r="A910" s="18">
        <v>1262</v>
      </c>
      <c r="B910" s="19" t="str">
        <f>IFERROR(VLOOKUP(A910,CLIENTES!A:E,2,0),"CADASTRAR CLIENTE")</f>
        <v>CADASTRAR CLIENTE</v>
      </c>
      <c r="C910" s="60" t="s">
        <v>3</v>
      </c>
      <c r="D910" s="60">
        <v>77290</v>
      </c>
      <c r="E910" s="21">
        <v>1260.2</v>
      </c>
      <c r="F910" s="19"/>
      <c r="G910" s="21"/>
      <c r="H910" s="19"/>
      <c r="I910" s="20">
        <v>45530</v>
      </c>
    </row>
    <row r="911" spans="1:9">
      <c r="A911" s="18">
        <v>1652</v>
      </c>
      <c r="B911" s="19" t="str">
        <f>IFERROR(VLOOKUP(A911,CLIENTES!A:E,2,0),"CADASTRAR CLIENTE")</f>
        <v>LAB. SANTA CLARA ANAL.CLIN.</v>
      </c>
      <c r="C911" s="60" t="s">
        <v>328</v>
      </c>
      <c r="D911" s="60">
        <v>99339</v>
      </c>
      <c r="E911" s="21">
        <v>359.6</v>
      </c>
      <c r="F911" s="19"/>
      <c r="G911" s="21"/>
      <c r="H911" s="19"/>
      <c r="I911" s="20">
        <v>45530</v>
      </c>
    </row>
    <row r="912" spans="1:9">
      <c r="A912" s="18">
        <v>1652</v>
      </c>
      <c r="B912" s="19" t="str">
        <f>IFERROR(VLOOKUP(A912,CLIENTES!A:E,2,0),"CADASTRAR CLIENTE")</f>
        <v>LAB. SANTA CLARA ANAL.CLIN.</v>
      </c>
      <c r="C912" s="60" t="s">
        <v>328</v>
      </c>
      <c r="D912" s="60">
        <v>77295</v>
      </c>
      <c r="E912" s="21">
        <v>907.9</v>
      </c>
      <c r="F912" s="19"/>
      <c r="G912" s="21"/>
      <c r="H912" s="19"/>
      <c r="I912" s="20">
        <v>45530</v>
      </c>
    </row>
    <row r="913" spans="1:9">
      <c r="A913" s="18">
        <v>2702</v>
      </c>
      <c r="B913" s="19" t="str">
        <f>IFERROR(VLOOKUP(A913,CLIENTES!A:E,2,0),"CADASTRAR CLIENTE")</f>
        <v>SANTA CASA DE MISER. DE TAQUARITUBA</v>
      </c>
      <c r="C913" s="60" t="s">
        <v>3</v>
      </c>
      <c r="D913" s="60">
        <v>77299</v>
      </c>
      <c r="E913" s="21">
        <v>1499.25</v>
      </c>
      <c r="F913" s="19"/>
      <c r="G913" s="21"/>
      <c r="H913" s="19"/>
      <c r="I913" s="20">
        <v>45530</v>
      </c>
    </row>
    <row r="914" spans="1:9">
      <c r="A914" s="18">
        <v>2022</v>
      </c>
      <c r="B914" s="19" t="str">
        <f>IFERROR(VLOOKUP(A914,CLIENTES!A:E,2,0),"CADASTRAR CLIENTE")</f>
        <v>LAB. MEDICO DR. MARICONDI S/C LTDA.</v>
      </c>
      <c r="C914" s="60" t="s">
        <v>3</v>
      </c>
      <c r="D914" s="60">
        <v>77144</v>
      </c>
      <c r="E914" s="21">
        <v>1399.69</v>
      </c>
      <c r="F914" s="19"/>
      <c r="G914" s="21"/>
      <c r="H914" s="19"/>
      <c r="I914" s="20">
        <v>45530</v>
      </c>
    </row>
    <row r="915" spans="1:9">
      <c r="A915" s="18">
        <v>2022</v>
      </c>
      <c r="B915" s="19" t="str">
        <f>IFERROR(VLOOKUP(A915,CLIENTES!A:E,2,0),"CADASTRAR CLIENTE")</f>
        <v>LAB. MEDICO DR. MARICONDI S/C LTDA.</v>
      </c>
      <c r="C915" s="60" t="s">
        <v>3</v>
      </c>
      <c r="D915" s="60">
        <v>99343</v>
      </c>
      <c r="E915" s="21">
        <v>215</v>
      </c>
      <c r="F915" s="19"/>
      <c r="G915" s="21"/>
      <c r="H915" s="19"/>
      <c r="I915" s="20">
        <v>45530</v>
      </c>
    </row>
    <row r="916" spans="1:9">
      <c r="A916" s="18">
        <v>2911</v>
      </c>
      <c r="B916" s="19" t="str">
        <f>IFERROR(VLOOKUP(A916,CLIENTES!A:E,2,0),"CADASTRAR CLIENTE")</f>
        <v>BIOLIFE-LABORATORIO DE ANALISES CLINICAS LTDA</v>
      </c>
      <c r="C916" s="60" t="s">
        <v>3</v>
      </c>
      <c r="D916" s="60">
        <v>77310</v>
      </c>
      <c r="E916" s="21">
        <v>1621.83</v>
      </c>
      <c r="F916" s="19"/>
      <c r="G916" s="21"/>
      <c r="H916" s="19"/>
      <c r="I916" s="20">
        <v>45530</v>
      </c>
    </row>
    <row r="917" spans="1:9">
      <c r="A917" s="18">
        <v>3405</v>
      </c>
      <c r="B917" s="19" t="str">
        <f>IFERROR(VLOOKUP(A917,CLIENTES!A:E,2,0),"CADASTRAR CLIENTE")</f>
        <v>CONSORCIO INTERMUNICIPAL DE SAUDE</v>
      </c>
      <c r="C917" s="60" t="s">
        <v>2</v>
      </c>
      <c r="D917" s="60">
        <v>77316</v>
      </c>
      <c r="E917" s="21">
        <v>555.30999999999995</v>
      </c>
      <c r="F917" s="19"/>
      <c r="G917" s="21"/>
      <c r="H917" s="19"/>
      <c r="I917" s="20">
        <v>45530</v>
      </c>
    </row>
    <row r="918" spans="1:9">
      <c r="A918" s="18">
        <v>822</v>
      </c>
      <c r="B918" s="19" t="str">
        <f>IFERROR(VLOOKUP(A918,CLIENTES!A:E,2,0),"CADASTRAR CLIENTE")</f>
        <v>SAO LUCAS LABORATORIO ANAL. CLIN. S/C LTDA</v>
      </c>
      <c r="C918" s="60" t="s">
        <v>3</v>
      </c>
      <c r="D918" s="60">
        <v>77321</v>
      </c>
      <c r="E918" s="21">
        <v>651.66</v>
      </c>
      <c r="F918" s="19"/>
      <c r="G918" s="21"/>
      <c r="H918" s="19"/>
      <c r="I918" s="20">
        <v>45530</v>
      </c>
    </row>
    <row r="919" spans="1:9">
      <c r="A919" s="18">
        <v>822</v>
      </c>
      <c r="B919" s="19" t="str">
        <f>IFERROR(VLOOKUP(A919,CLIENTES!A:E,2,0),"CADASTRAR CLIENTE")</f>
        <v>SAO LUCAS LABORATORIO ANAL. CLIN. S/C LTDA</v>
      </c>
      <c r="C919" s="60" t="s">
        <v>3</v>
      </c>
      <c r="D919" s="60">
        <v>99349</v>
      </c>
      <c r="E919" s="21">
        <v>1508.36</v>
      </c>
      <c r="F919" s="19"/>
      <c r="G919" s="21"/>
      <c r="H919" s="19"/>
      <c r="I919" s="20">
        <v>45530</v>
      </c>
    </row>
    <row r="920" spans="1:9">
      <c r="A920" s="18">
        <v>1533</v>
      </c>
      <c r="B920" s="19" t="str">
        <f>IFERROR(VLOOKUP(A920,CLIENTES!A:E,2,0),"CADASTRAR CLIENTE")</f>
        <v>LABORATORIO BIOANALISE DIAGNOSTICO LTDA</v>
      </c>
      <c r="C920" s="60" t="s">
        <v>3</v>
      </c>
      <c r="D920" s="60">
        <v>77335</v>
      </c>
      <c r="E920" s="21">
        <v>1892.45</v>
      </c>
      <c r="F920" s="19"/>
      <c r="G920" s="21"/>
      <c r="H920" s="19"/>
      <c r="I920" s="20">
        <v>45531</v>
      </c>
    </row>
    <row r="921" spans="1:9">
      <c r="A921" s="18">
        <v>2415</v>
      </c>
      <c r="B921" s="19" t="str">
        <f>IFERROR(VLOOKUP(A921,CLIENTES!A:E,2,0),"CADASTRAR CLIENTE")</f>
        <v>ROSSETTO E BARROS LABORATORIO DE ANALISES CLINICAS LTDA</v>
      </c>
      <c r="C921" s="60" t="s">
        <v>3</v>
      </c>
      <c r="D921" s="60">
        <v>77338</v>
      </c>
      <c r="E921" s="21">
        <v>2074.5</v>
      </c>
      <c r="F921" s="19"/>
      <c r="G921" s="21"/>
      <c r="H921" s="19"/>
      <c r="I921" s="20">
        <v>45531</v>
      </c>
    </row>
    <row r="922" spans="1:9">
      <c r="A922" s="18">
        <v>1616</v>
      </c>
      <c r="B922" s="19" t="str">
        <f>IFERROR(VLOOKUP(A922,CLIENTES!A:E,2,0),"CADASTRAR CLIENTE")</f>
        <v>NOVO HORIZONTE LAB.ANAL.CLIN.S/C LTDA.</v>
      </c>
      <c r="C922" s="60" t="s">
        <v>3</v>
      </c>
      <c r="D922" s="60">
        <v>77337</v>
      </c>
      <c r="E922" s="21">
        <v>854.2</v>
      </c>
      <c r="F922" s="19"/>
      <c r="G922" s="21"/>
      <c r="H922" s="19"/>
      <c r="I922" s="20">
        <v>45531</v>
      </c>
    </row>
    <row r="923" spans="1:9">
      <c r="A923" s="18">
        <v>741</v>
      </c>
      <c r="B923" s="19" t="str">
        <f>IFERROR(VLOOKUP(A923,CLIENTES!A:E,2,0),"CADASTRAR CLIENTE")</f>
        <v>LAB. ANAL. CLIN. DR. HELIO NAKABASHI SC LTDA</v>
      </c>
      <c r="C923" s="60" t="s">
        <v>3</v>
      </c>
      <c r="D923" s="60">
        <v>99347</v>
      </c>
      <c r="E923" s="21">
        <v>86</v>
      </c>
      <c r="F923" s="19"/>
      <c r="G923" s="21"/>
      <c r="H923" s="19"/>
      <c r="I923" s="20">
        <v>45532</v>
      </c>
    </row>
    <row r="924" spans="1:9">
      <c r="A924" s="18">
        <v>741</v>
      </c>
      <c r="B924" s="19" t="str">
        <f>IFERROR(VLOOKUP(A924,CLIENTES!A:E,2,0),"CADASTRAR CLIENTE")</f>
        <v>LAB. ANAL. CLIN. DR. HELIO NAKABASHI SC LTDA</v>
      </c>
      <c r="C924" s="60" t="s">
        <v>3</v>
      </c>
      <c r="D924" s="60">
        <v>77327</v>
      </c>
      <c r="E924" s="21">
        <v>1701.1</v>
      </c>
      <c r="F924" s="19"/>
      <c r="G924" s="21"/>
      <c r="H924" s="19"/>
      <c r="I924" s="20">
        <v>45532</v>
      </c>
    </row>
    <row r="925" spans="1:9">
      <c r="A925" s="18">
        <v>50816</v>
      </c>
      <c r="B925" s="19" t="str">
        <f>IFERROR(VLOOKUP(A925,CLIENTES!A:E,2,0),"CADASTRAR CLIENTE")</f>
        <v>RALO &amp; DORNELLES CLINICA VETERINARIA LTDA ME</v>
      </c>
      <c r="C925" s="60" t="s">
        <v>3</v>
      </c>
      <c r="D925" s="60">
        <v>77369</v>
      </c>
      <c r="E925" s="21">
        <v>1029.8</v>
      </c>
      <c r="F925" s="19"/>
      <c r="G925" s="21"/>
      <c r="H925" s="19"/>
      <c r="I925" s="20">
        <v>45533</v>
      </c>
    </row>
    <row r="926" spans="1:9">
      <c r="A926" s="18">
        <v>885</v>
      </c>
      <c r="B926" s="19" t="str">
        <f>IFERROR(VLOOKUP(A926,CLIENTES!A:E,2,0),"CADASTRAR CLIENTE")</f>
        <v>MEDCLINICA MORATENSE SC LTDA ME</v>
      </c>
      <c r="C926" s="60" t="s">
        <v>3</v>
      </c>
      <c r="D926" s="60">
        <v>77380</v>
      </c>
      <c r="E926" s="21">
        <v>1934.42</v>
      </c>
      <c r="F926" s="19"/>
      <c r="G926" s="21"/>
      <c r="H926" s="19"/>
      <c r="I926" s="20">
        <v>45533</v>
      </c>
    </row>
    <row r="927" spans="1:9">
      <c r="A927" s="18">
        <v>1971</v>
      </c>
      <c r="B927" s="19" t="str">
        <f>IFERROR(VLOOKUP(A927,CLIENTES!A:E,2,0),"CADASTRAR CLIENTE")</f>
        <v>LABORATORIO POPULAR LAB 7 LTDA</v>
      </c>
      <c r="C927" s="60" t="s">
        <v>3</v>
      </c>
      <c r="D927" s="60">
        <v>77382</v>
      </c>
      <c r="E927" s="21">
        <v>629</v>
      </c>
      <c r="F927" s="19"/>
      <c r="G927" s="21"/>
      <c r="H927" s="19"/>
      <c r="I927" s="20">
        <v>45533</v>
      </c>
    </row>
    <row r="928" spans="1:9">
      <c r="A928" s="18">
        <v>3077</v>
      </c>
      <c r="B928" s="19" t="str">
        <f>IFERROR(VLOOKUP(A928,CLIENTES!A:E,2,0),"CADASTRAR CLIENTE")</f>
        <v>CBI ANALISES CLINICAS S/S LTDA</v>
      </c>
      <c r="C928" s="60" t="s">
        <v>328</v>
      </c>
      <c r="D928" s="60">
        <v>77413</v>
      </c>
      <c r="E928" s="21">
        <v>779.94</v>
      </c>
      <c r="F928" s="19"/>
      <c r="G928" s="21"/>
      <c r="H928" s="19"/>
      <c r="I928" s="20">
        <v>45534</v>
      </c>
    </row>
    <row r="929" spans="1:9">
      <c r="A929" s="18">
        <v>3077</v>
      </c>
      <c r="B929" s="19" t="str">
        <f>IFERROR(VLOOKUP(A929,CLIENTES!A:E,2,0),"CADASTRAR CLIENTE")</f>
        <v>CBI ANALISES CLINICAS S/S LTDA</v>
      </c>
      <c r="C929" s="60" t="s">
        <v>328</v>
      </c>
      <c r="D929" s="60">
        <v>99371</v>
      </c>
      <c r="E929" s="21">
        <v>88.89</v>
      </c>
      <c r="F929" s="19"/>
      <c r="G929" s="21"/>
      <c r="H929" s="19"/>
      <c r="I929" s="20">
        <v>45534</v>
      </c>
    </row>
    <row r="930" spans="1:9">
      <c r="A930" s="18">
        <v>2702</v>
      </c>
      <c r="B930" s="19" t="str">
        <f>IFERROR(VLOOKUP(A930,CLIENTES!A:E,2,0),"CADASTRAR CLIENTE")</f>
        <v>SANTA CASA DE MISER. DE TAQUARITUBA</v>
      </c>
      <c r="C930" s="60" t="s">
        <v>3</v>
      </c>
      <c r="D930" s="60">
        <v>77414</v>
      </c>
      <c r="E930" s="21">
        <v>514.20000000000005</v>
      </c>
      <c r="F930" s="19"/>
      <c r="G930" s="21"/>
      <c r="H930" s="19"/>
      <c r="I930" s="20">
        <v>45534</v>
      </c>
    </row>
    <row r="931" spans="1:9">
      <c r="A931" s="18">
        <v>756</v>
      </c>
      <c r="B931" s="19" t="str">
        <f>IFERROR(VLOOKUP(A931,CLIENTES!A:E,2,0),"CADASTRAR CLIENTE")</f>
        <v>LAB.TRIANON DE ANAL.CLIN.SC LTDA.</v>
      </c>
      <c r="C931" s="60" t="s">
        <v>3</v>
      </c>
      <c r="D931" s="60">
        <v>77411</v>
      </c>
      <c r="E931" s="21">
        <v>1615.16</v>
      </c>
      <c r="F931" s="19"/>
      <c r="G931" s="21"/>
      <c r="H931" s="19"/>
      <c r="I931" s="20">
        <v>45534</v>
      </c>
    </row>
    <row r="932" spans="1:9">
      <c r="A932" s="18">
        <v>756</v>
      </c>
      <c r="B932" s="19" t="str">
        <f>IFERROR(VLOOKUP(A932,CLIENTES!A:E,2,0),"CADASTRAR CLIENTE")</f>
        <v>LAB.TRIANON DE ANAL.CLIN.SC LTDA.</v>
      </c>
      <c r="C932" s="60" t="s">
        <v>3</v>
      </c>
      <c r="D932" s="60">
        <v>99369</v>
      </c>
      <c r="E932" s="21">
        <v>206.47</v>
      </c>
      <c r="F932" s="19"/>
      <c r="G932" s="21"/>
      <c r="H932" s="19"/>
      <c r="I932" s="20">
        <v>45534</v>
      </c>
    </row>
    <row r="933" spans="1:9">
      <c r="A933" s="18">
        <v>1905</v>
      </c>
      <c r="B933" s="19" t="str">
        <f>IFERROR(VLOOKUP(A933,CLIENTES!A:E,2,0),"CADASTRAR CLIENTE")</f>
        <v>A.C. CORREA DE OLIVEIRA LABORATORIO CLÍNICO</v>
      </c>
      <c r="C933" s="60" t="s">
        <v>3</v>
      </c>
      <c r="D933" s="60">
        <v>77393</v>
      </c>
      <c r="E933" s="21">
        <v>12400</v>
      </c>
      <c r="F933" s="19"/>
      <c r="G933" s="21"/>
      <c r="H933" s="19"/>
      <c r="I933" s="20">
        <v>45537</v>
      </c>
    </row>
    <row r="934" spans="1:9">
      <c r="A934" s="18">
        <v>1905</v>
      </c>
      <c r="B934" s="19" t="str">
        <f>IFERROR(VLOOKUP(A934,CLIENTES!A:E,2,0),"CADASTRAR CLIENTE")</f>
        <v>A.C. CORREA DE OLIVEIRA LABORATORIO CLÍNICO</v>
      </c>
      <c r="C934" s="60" t="s">
        <v>3</v>
      </c>
      <c r="D934" s="60">
        <v>77428</v>
      </c>
      <c r="E934" s="21">
        <v>1188</v>
      </c>
      <c r="F934" s="19"/>
      <c r="G934" s="21"/>
      <c r="H934" s="19"/>
      <c r="I934" s="20">
        <v>45537</v>
      </c>
    </row>
    <row r="935" spans="1:9">
      <c r="A935" s="18">
        <v>761</v>
      </c>
      <c r="B935" s="19" t="str">
        <f>IFERROR(VLOOKUP(A935,CLIENTES!A:E,2,0),"CADASTRAR CLIENTE")</f>
        <v>EXAME CENTRO DIAG.M.ARACATUBA SC LTDA.</v>
      </c>
      <c r="C935" s="60" t="s">
        <v>3</v>
      </c>
      <c r="D935" s="60">
        <v>77443</v>
      </c>
      <c r="E935" s="21">
        <v>164.5</v>
      </c>
      <c r="F935" s="19"/>
      <c r="G935" s="21"/>
      <c r="H935" s="19"/>
      <c r="I935" s="20">
        <v>45537</v>
      </c>
    </row>
    <row r="936" spans="1:9">
      <c r="A936" s="18">
        <v>761</v>
      </c>
      <c r="B936" s="19" t="str">
        <f>IFERROR(VLOOKUP(A936,CLIENTES!A:E,2,0),"CADASTRAR CLIENTE")</f>
        <v>EXAME CENTRO DIAG.M.ARACATUBA SC LTDA.</v>
      </c>
      <c r="C936" s="60" t="s">
        <v>3</v>
      </c>
      <c r="D936" s="60">
        <v>99377</v>
      </c>
      <c r="E936" s="21">
        <v>211.2</v>
      </c>
      <c r="F936" s="19"/>
      <c r="G936" s="21"/>
      <c r="H936" s="19"/>
      <c r="I936" s="20">
        <v>45537</v>
      </c>
    </row>
    <row r="937" spans="1:9">
      <c r="A937" s="18">
        <v>690</v>
      </c>
      <c r="B937" s="19" t="str">
        <f>IFERROR(VLOOKUP(A937,CLIENTES!A:E,2,0),"CADASTRAR CLIENTE")</f>
        <v>SAO ROQUE MEDICINA DIAGNOSTICA LTDA EPP</v>
      </c>
      <c r="C937" s="60" t="s">
        <v>328</v>
      </c>
      <c r="D937" s="60">
        <v>77484</v>
      </c>
      <c r="E937" s="21">
        <v>1607.25</v>
      </c>
      <c r="F937" s="19"/>
      <c r="G937" s="21"/>
      <c r="H937" s="19"/>
      <c r="I937" s="20">
        <v>45537</v>
      </c>
    </row>
    <row r="938" spans="1:9">
      <c r="A938" s="18">
        <v>690</v>
      </c>
      <c r="B938" s="19" t="str">
        <f>IFERROR(VLOOKUP(A938,CLIENTES!A:E,2,0),"CADASTRAR CLIENTE")</f>
        <v>SAO ROQUE MEDICINA DIAGNOSTICA LTDA EPP</v>
      </c>
      <c r="C938" s="60" t="s">
        <v>328</v>
      </c>
      <c r="D938" s="60">
        <v>99382</v>
      </c>
      <c r="E938" s="21">
        <v>790.2</v>
      </c>
      <c r="F938" s="19"/>
      <c r="G938" s="21"/>
      <c r="H938" s="19"/>
      <c r="I938" s="20">
        <v>45537</v>
      </c>
    </row>
    <row r="939" spans="1:9">
      <c r="A939" s="18">
        <v>708</v>
      </c>
      <c r="B939" s="19" t="str">
        <f>IFERROR(VLOOKUP(A939,CLIENTES!A:E,2,0),"CADASTRAR CLIENTE")</f>
        <v>IMEDI INST.MEDICO DE PAT.E DIAGNOSTICO SC LTDA.</v>
      </c>
      <c r="C939" s="60" t="s">
        <v>3</v>
      </c>
      <c r="D939" s="60">
        <v>77502</v>
      </c>
      <c r="E939" s="21">
        <v>2030</v>
      </c>
      <c r="F939" s="19"/>
      <c r="G939" s="21"/>
      <c r="H939" s="19"/>
      <c r="I939" s="20">
        <v>45538</v>
      </c>
    </row>
    <row r="940" spans="1:9">
      <c r="A940" s="18">
        <v>1206</v>
      </c>
      <c r="B940" s="19" t="str">
        <f>IFERROR(VLOOKUP(A940,CLIENTES!A:E,2,0),"CADASTRAR CLIENTE")</f>
        <v>LABORATORIO RIO NEGRO CENTER DE MARILIA  LTDA</v>
      </c>
      <c r="C940" s="60" t="s">
        <v>3</v>
      </c>
      <c r="D940" s="60">
        <v>77509</v>
      </c>
      <c r="E940" s="21">
        <v>2684.04</v>
      </c>
      <c r="F940" s="19"/>
      <c r="G940" s="21"/>
      <c r="H940" s="19"/>
      <c r="I940" s="20">
        <v>45538</v>
      </c>
    </row>
    <row r="941" spans="1:9">
      <c r="A941" s="18">
        <v>1788</v>
      </c>
      <c r="B941" s="19" t="str">
        <f>IFERROR(VLOOKUP(A941,CLIENTES!A:E,2,0),"CADASTRAR CLIENTE")</f>
        <v>ZANATA &amp; REIS LABORCLINICA LTDA</v>
      </c>
      <c r="C941" s="60" t="s">
        <v>3</v>
      </c>
      <c r="D941" s="60">
        <v>77513</v>
      </c>
      <c r="E941" s="21">
        <v>555.5</v>
      </c>
      <c r="F941" s="19"/>
      <c r="G941" s="21"/>
      <c r="H941" s="19"/>
      <c r="I941" s="20">
        <v>45538</v>
      </c>
    </row>
    <row r="942" spans="1:9">
      <c r="A942" s="18">
        <v>50554</v>
      </c>
      <c r="B942" s="19" t="str">
        <f>IFERROR(VLOOKUP(A942,CLIENTES!A:E,2,0),"CADASTRAR CLIENTE")</f>
        <v>SAO ROQUE MEDICINA DIAGNOSTICA</v>
      </c>
      <c r="C942" s="60" t="s">
        <v>328</v>
      </c>
      <c r="D942" s="60">
        <v>77522</v>
      </c>
      <c r="E942" s="21">
        <v>5063.5200000000004</v>
      </c>
      <c r="F942" s="19"/>
      <c r="G942" s="21"/>
      <c r="H942" s="19"/>
      <c r="I942" s="20">
        <v>45538</v>
      </c>
    </row>
    <row r="943" spans="1:9">
      <c r="A943" s="18">
        <v>20554</v>
      </c>
      <c r="B943" s="19" t="str">
        <f>IFERROR(VLOOKUP(A943,CLIENTES!A:E,2,0),"CADASTRAR CLIENTE")</f>
        <v>CADASTRAR CLIENTE</v>
      </c>
      <c r="C943" s="60" t="s">
        <v>328</v>
      </c>
      <c r="D943" s="60">
        <v>99385</v>
      </c>
      <c r="E943" s="21">
        <v>1025.9000000000001</v>
      </c>
      <c r="F943" s="19"/>
      <c r="G943" s="21"/>
      <c r="H943" s="19"/>
      <c r="I943" s="20">
        <v>45538</v>
      </c>
    </row>
    <row r="944" spans="1:9">
      <c r="A944" s="18">
        <v>784</v>
      </c>
      <c r="B944" s="19" t="str">
        <f>IFERROR(VLOOKUP(A944,CLIENTES!A:E,2,0),"CADASTRAR CLIENTE")</f>
        <v>LAB.ANAL.CLIN. ALBERT SABIN SC LTDA.</v>
      </c>
      <c r="C944" s="60" t="s">
        <v>2</v>
      </c>
      <c r="D944" s="60">
        <v>77533</v>
      </c>
      <c r="E944" s="21">
        <v>2604.4499999999998</v>
      </c>
      <c r="F944" s="19"/>
      <c r="G944" s="21"/>
      <c r="H944" s="19"/>
      <c r="I944" s="20">
        <v>45538</v>
      </c>
    </row>
    <row r="945" spans="1:9">
      <c r="A945" s="18">
        <v>50219</v>
      </c>
      <c r="B945" s="19" t="str">
        <f>IFERROR(VLOOKUP(A945,CLIENTES!A:E,2,0),"CADASTRAR CLIENTE")</f>
        <v>UNIPREV LAB DE ANALISES LOCACAO DE BENS E REPAROS LTDA EPP</v>
      </c>
      <c r="C945" s="60" t="s">
        <v>3</v>
      </c>
      <c r="D945" s="60">
        <v>77539</v>
      </c>
      <c r="E945" s="21">
        <v>1016.89</v>
      </c>
      <c r="F945" s="19"/>
      <c r="G945" s="21"/>
      <c r="H945" s="19"/>
      <c r="I945" s="20">
        <v>45538</v>
      </c>
    </row>
    <row r="946" spans="1:9">
      <c r="A946" s="18">
        <v>50222</v>
      </c>
      <c r="B946" s="19" t="str">
        <f>IFERROR(VLOOKUP(A946,CLIENTES!A:E,2,0),"CADASTRAR CLIENTE")</f>
        <v>HOSPITAL REGIONAL DR VIVALDO MARTINS SIMOES</v>
      </c>
      <c r="C946" s="60" t="s">
        <v>3</v>
      </c>
      <c r="D946" s="60">
        <v>99388</v>
      </c>
      <c r="E946" s="21">
        <v>71.099999999999994</v>
      </c>
      <c r="F946" s="19"/>
      <c r="G946" s="21"/>
      <c r="H946" s="19"/>
      <c r="I946" s="20">
        <v>45538</v>
      </c>
    </row>
    <row r="947" spans="1:9">
      <c r="A947" s="18">
        <v>432</v>
      </c>
      <c r="B947" s="19" t="str">
        <f>IFERROR(VLOOKUP(A947,CLIENTES!A:E,2,0),"CADASTRAR CLIENTE")</f>
        <v>LABORATORIO PASTEUR HEMATOLOGIA E MICROBIOLOGIA S/S LTDA</v>
      </c>
      <c r="C947" s="60" t="s">
        <v>3</v>
      </c>
      <c r="D947" s="60">
        <v>99389</v>
      </c>
      <c r="E947" s="21">
        <v>195</v>
      </c>
      <c r="F947" s="19"/>
      <c r="G947" s="21"/>
      <c r="H947" s="19"/>
      <c r="I947" s="20">
        <v>45538</v>
      </c>
    </row>
    <row r="948" spans="1:9">
      <c r="A948" s="18">
        <v>432</v>
      </c>
      <c r="B948" s="19" t="str">
        <f>IFERROR(VLOOKUP(A948,CLIENTES!A:E,2,0),"CADASTRAR CLIENTE")</f>
        <v>LABORATORIO PASTEUR HEMATOLOGIA E MICROBIOLOGIA S/S LTDA</v>
      </c>
      <c r="C948" s="60" t="s">
        <v>3</v>
      </c>
      <c r="D948" s="60">
        <v>77550</v>
      </c>
      <c r="E948" s="21">
        <v>2084.63</v>
      </c>
      <c r="F948" s="19"/>
      <c r="G948" s="21"/>
      <c r="H948" s="19"/>
      <c r="I948" s="20">
        <v>45538</v>
      </c>
    </row>
    <row r="949" spans="1:9">
      <c r="A949" s="18">
        <v>572</v>
      </c>
      <c r="B949" s="19" t="str">
        <f>IFERROR(VLOOKUP(A949,CLIENTES!A:E,2,0),"CADASTRAR CLIENTE")</f>
        <v>LABORATORIO MULTIANALISES LTDA-ME</v>
      </c>
      <c r="C949" s="60" t="s">
        <v>3</v>
      </c>
      <c r="D949" s="60">
        <v>77547</v>
      </c>
      <c r="E949" s="21">
        <v>71.55</v>
      </c>
      <c r="F949" s="19"/>
      <c r="G949" s="21"/>
      <c r="H949" s="19"/>
      <c r="I949" s="20">
        <v>45538</v>
      </c>
    </row>
    <row r="950" spans="1:9">
      <c r="A950" s="18">
        <v>412</v>
      </c>
      <c r="B950" s="19" t="str">
        <f>IFERROR(VLOOKUP(A950,CLIENTES!A:E,2,0),"CADASTRAR CLIENTE")</f>
        <v>LAB.ANAL.CLIN.SAO MANUEL SC LTDA.</v>
      </c>
      <c r="C950" s="60" t="s">
        <v>3</v>
      </c>
      <c r="D950" s="60">
        <v>77563</v>
      </c>
      <c r="E950" s="21">
        <v>253.7</v>
      </c>
      <c r="F950" s="19"/>
      <c r="G950" s="21"/>
      <c r="H950" s="19"/>
      <c r="I950" s="20">
        <v>45538</v>
      </c>
    </row>
    <row r="951" spans="1:9">
      <c r="A951" s="18">
        <v>463</v>
      </c>
      <c r="B951" s="19" t="str">
        <f>IFERROR(VLOOKUP(A951,CLIENTES!A:E,2,0),"CADASTRAR CLIENTE")</f>
        <v>MASUDA &amp; MASUDA LABORATORIO CLINICO LTDA</v>
      </c>
      <c r="C951" s="60" t="s">
        <v>3</v>
      </c>
      <c r="D951" s="60">
        <v>77555</v>
      </c>
      <c r="E951" s="21">
        <v>888.4</v>
      </c>
      <c r="F951" s="19"/>
      <c r="G951" s="21"/>
      <c r="H951" s="19"/>
      <c r="I951" s="20">
        <v>45538</v>
      </c>
    </row>
    <row r="952" spans="1:9">
      <c r="A952" s="18">
        <v>746</v>
      </c>
      <c r="B952" s="19" t="str">
        <f>IFERROR(VLOOKUP(A952,CLIENTES!A:E,2,0),"CADASTRAR CLIENTE")</f>
        <v>LAB.ANAL.CLIN.BIOCLIN SC LTDA.</v>
      </c>
      <c r="C952" s="60" t="s">
        <v>328</v>
      </c>
      <c r="D952" s="60">
        <v>77565</v>
      </c>
      <c r="E952" s="21">
        <v>5555.83</v>
      </c>
      <c r="F952" s="19"/>
      <c r="G952" s="21"/>
      <c r="H952" s="19"/>
      <c r="I952" s="20">
        <v>45539</v>
      </c>
    </row>
    <row r="953" spans="1:9">
      <c r="A953" s="18">
        <v>746</v>
      </c>
      <c r="B953" s="19" t="str">
        <f>IFERROR(VLOOKUP(A953,CLIENTES!A:E,2,0),"CADASTRAR CLIENTE")</f>
        <v>LAB.ANAL.CLIN.BIOCLIN SC LTDA.</v>
      </c>
      <c r="C953" s="60" t="s">
        <v>328</v>
      </c>
      <c r="D953" s="60">
        <v>99391</v>
      </c>
      <c r="E953" s="21">
        <v>71.099999999999994</v>
      </c>
      <c r="F953" s="19"/>
      <c r="G953" s="21"/>
      <c r="H953" s="19"/>
      <c r="I953" s="20">
        <v>45539</v>
      </c>
    </row>
    <row r="954" spans="1:9">
      <c r="A954" s="18">
        <v>1122</v>
      </c>
      <c r="B954" s="19" t="str">
        <f>IFERROR(VLOOKUP(A954,CLIENTES!A:E,2,0),"CADASTRAR CLIENTE")</f>
        <v>FUNDEPAG</v>
      </c>
      <c r="C954" s="60" t="s">
        <v>2</v>
      </c>
      <c r="D954" s="60">
        <v>77519</v>
      </c>
      <c r="E954" s="21">
        <v>1949.39</v>
      </c>
      <c r="F954" s="19"/>
      <c r="G954" s="21"/>
      <c r="H954" s="19"/>
      <c r="I954" s="20">
        <v>45539</v>
      </c>
    </row>
    <row r="955" spans="1:9">
      <c r="A955" s="18">
        <v>3194</v>
      </c>
      <c r="B955" s="19" t="str">
        <f>IFERROR(VLOOKUP(A955,CLIENTES!A:E,2,0),"CADASTRAR CLIENTE")</f>
        <v>CENTRO DE DIAGNOSTICOS CONTROLE LTDA</v>
      </c>
      <c r="C955" s="60" t="s">
        <v>2</v>
      </c>
      <c r="D955" s="60">
        <v>77611</v>
      </c>
      <c r="E955" s="21">
        <v>853.1</v>
      </c>
      <c r="F955" s="19"/>
      <c r="G955" s="21"/>
      <c r="H955" s="19"/>
      <c r="I955" s="20">
        <v>45539</v>
      </c>
    </row>
    <row r="956" spans="1:9">
      <c r="A956" s="18">
        <v>3194</v>
      </c>
      <c r="B956" s="19" t="str">
        <f>IFERROR(VLOOKUP(A956,CLIENTES!A:E,2,0),"CADASTRAR CLIENTE")</f>
        <v>CENTRO DE DIAGNOSTICOS CONTROLE LTDA</v>
      </c>
      <c r="C956" s="60" t="s">
        <v>328</v>
      </c>
      <c r="D956" s="60">
        <v>99398</v>
      </c>
      <c r="E956" s="21">
        <v>324.7</v>
      </c>
      <c r="F956" s="19"/>
      <c r="G956" s="21"/>
      <c r="H956" s="19"/>
      <c r="I956" s="20">
        <v>45539</v>
      </c>
    </row>
    <row r="957" spans="1:9">
      <c r="A957" s="18">
        <v>20</v>
      </c>
      <c r="B957" s="19" t="str">
        <f>IFERROR(VLOOKUP(A957,CLIENTES!A:E,2,0),"CADASTRAR CLIENTE")</f>
        <v>DR BACCILI SERVICOS MEDICO HOSPITALARES S/S</v>
      </c>
      <c r="C957" s="60" t="s">
        <v>2</v>
      </c>
      <c r="D957" s="60">
        <v>77616</v>
      </c>
      <c r="E957" s="21">
        <v>146.19999999999999</v>
      </c>
      <c r="F957" s="19"/>
      <c r="G957" s="21"/>
      <c r="H957" s="19"/>
      <c r="I957" s="20">
        <v>45540</v>
      </c>
    </row>
    <row r="958" spans="1:9">
      <c r="A958" s="18">
        <v>3018</v>
      </c>
      <c r="B958" s="19" t="str">
        <f>IFERROR(VLOOKUP(A958,CLIENTES!A:E,2,0),"CADASTRAR CLIENTE")</f>
        <v>NP- LABORATORIO DE ANALISES CLINICAS LTDA</v>
      </c>
      <c r="C958" s="60" t="s">
        <v>3</v>
      </c>
      <c r="D958" s="60">
        <v>77630</v>
      </c>
      <c r="E958" s="21">
        <v>549</v>
      </c>
      <c r="F958" s="19"/>
      <c r="G958" s="21"/>
      <c r="H958" s="19"/>
      <c r="I958" s="20">
        <v>45540</v>
      </c>
    </row>
    <row r="959" spans="1:9">
      <c r="A959" s="18">
        <v>1726</v>
      </c>
      <c r="B959" s="19" t="str">
        <f>IFERROR(VLOOKUP(A959,CLIENTES!A:E,2,0),"CADASTRAR CLIENTE")</f>
        <v>IRMANDADE DA SANTA CASA DE MISERIC. DE MOGI MIRIM</v>
      </c>
      <c r="C959" s="60" t="s">
        <v>2</v>
      </c>
      <c r="D959" s="60">
        <v>77631</v>
      </c>
      <c r="E959" s="21">
        <v>432</v>
      </c>
      <c r="F959" s="19"/>
      <c r="G959" s="21"/>
      <c r="H959" s="19"/>
      <c r="I959" s="20">
        <v>45540</v>
      </c>
    </row>
    <row r="960" spans="1:9">
      <c r="A960" s="18">
        <v>50185</v>
      </c>
      <c r="B960" s="19" t="str">
        <f>IFERROR(VLOOKUP(A960,CLIENTES!A:E,2,0),"CADASTRAR CLIENTE")</f>
        <v>ANIMALAB SS LTDA</v>
      </c>
      <c r="C960" s="60" t="s">
        <v>3</v>
      </c>
      <c r="D960" s="60">
        <v>77637</v>
      </c>
      <c r="E960" s="21">
        <v>546</v>
      </c>
      <c r="F960" s="19"/>
      <c r="G960" s="21"/>
      <c r="H960" s="19"/>
      <c r="I960" s="20">
        <v>45540</v>
      </c>
    </row>
    <row r="961" spans="1:9">
      <c r="A961" s="18">
        <v>2795</v>
      </c>
      <c r="B961" s="19" t="str">
        <f>IFERROR(VLOOKUP(A961,CLIENTES!A:E,2,0),"CADASTRAR CLIENTE")</f>
        <v>INSTITUICAO DOM BOSCO DE ENSINO E CULTURA</v>
      </c>
      <c r="C961" s="60" t="s">
        <v>3</v>
      </c>
      <c r="D961" s="60">
        <v>77654</v>
      </c>
      <c r="E961" s="21">
        <v>5321.04</v>
      </c>
      <c r="F961" s="19"/>
      <c r="G961" s="21"/>
      <c r="H961" s="19"/>
      <c r="I961" s="20">
        <v>45540</v>
      </c>
    </row>
    <row r="962" spans="1:9">
      <c r="A962" s="18">
        <v>335</v>
      </c>
      <c r="B962" s="19" t="str">
        <f>IFERROR(VLOOKUP(A962,CLIENTES!A:E,2,0),"CADASTRAR CLIENTE")</f>
        <v>LABORATORIO VIDA  S/S LTDA</v>
      </c>
      <c r="C962" s="60" t="s">
        <v>3</v>
      </c>
      <c r="D962" s="60">
        <v>99409</v>
      </c>
      <c r="E962" s="21">
        <v>615.20000000000005</v>
      </c>
      <c r="F962" s="19"/>
      <c r="G962" s="21"/>
      <c r="H962" s="19"/>
      <c r="I962" s="20">
        <v>45540</v>
      </c>
    </row>
    <row r="963" spans="1:9">
      <c r="A963" s="18">
        <v>335</v>
      </c>
      <c r="B963" s="19" t="str">
        <f>IFERROR(VLOOKUP(A963,CLIENTES!A:E,2,0),"CADASTRAR CLIENTE")</f>
        <v>LABORATORIO VIDA  S/S LTDA</v>
      </c>
      <c r="C963" s="60" t="s">
        <v>3</v>
      </c>
      <c r="D963" s="60">
        <v>77663</v>
      </c>
      <c r="E963" s="21">
        <v>741.07</v>
      </c>
      <c r="F963" s="19"/>
      <c r="G963" s="21"/>
      <c r="H963" s="19"/>
      <c r="I963" s="20">
        <v>45540</v>
      </c>
    </row>
    <row r="964" spans="1:9">
      <c r="A964" s="18">
        <v>311</v>
      </c>
      <c r="B964" s="19" t="str">
        <f>IFERROR(VLOOKUP(A964,CLIENTES!A:E,2,0),"CADASTRAR CLIENTE")</f>
        <v>CENTRO DE ANAL.CLIN. UNILAB  SC LTDA.</v>
      </c>
      <c r="C964" s="60" t="s">
        <v>3</v>
      </c>
      <c r="D964" s="60">
        <v>77724</v>
      </c>
      <c r="E964" s="21">
        <v>1556.5</v>
      </c>
      <c r="F964" s="19"/>
      <c r="G964" s="21"/>
      <c r="H964" s="19"/>
      <c r="I964" s="20">
        <v>45544</v>
      </c>
    </row>
    <row r="965" spans="1:9">
      <c r="A965" s="18">
        <v>1164</v>
      </c>
      <c r="B965" s="19" t="str">
        <f>IFERROR(VLOOKUP(A965,CLIENTES!A:E,2,0),"CADASTRAR CLIENTE")</f>
        <v>LAB. ANAL. CLIN. SAO LOURENCO S/C LTDA</v>
      </c>
      <c r="C965" s="60" t="s">
        <v>3</v>
      </c>
      <c r="D965" s="60">
        <v>77728</v>
      </c>
      <c r="E965" s="21">
        <v>1850.1</v>
      </c>
      <c r="F965" s="19"/>
      <c r="G965" s="21"/>
      <c r="H965" s="19"/>
      <c r="I965" s="20">
        <v>45544</v>
      </c>
    </row>
    <row r="966" spans="1:9">
      <c r="A966" s="18">
        <v>1164</v>
      </c>
      <c r="B966" s="19" t="str">
        <f>IFERROR(VLOOKUP(A966,CLIENTES!A:E,2,0),"CADASTRAR CLIENTE")</f>
        <v>LAB. ANAL. CLIN. SAO LOURENCO S/C LTDA</v>
      </c>
      <c r="C966" s="60" t="s">
        <v>3</v>
      </c>
      <c r="D966" s="60">
        <v>99418</v>
      </c>
      <c r="E966" s="21">
        <v>59.5</v>
      </c>
      <c r="F966" s="19"/>
      <c r="G966" s="21"/>
      <c r="H966" s="19"/>
      <c r="I966" s="20">
        <v>45544</v>
      </c>
    </row>
    <row r="967" spans="1:9">
      <c r="A967" s="18">
        <v>311</v>
      </c>
      <c r="B967" s="19" t="str">
        <f>IFERROR(VLOOKUP(A967,CLIENTES!A:E,2,0),"CADASTRAR CLIENTE")</f>
        <v>CENTRO DE ANAL.CLIN. UNILAB  SC LTDA.</v>
      </c>
      <c r="C967" s="60" t="s">
        <v>3</v>
      </c>
      <c r="D967" s="60">
        <v>77724</v>
      </c>
      <c r="E967" s="21">
        <v>1035.72</v>
      </c>
      <c r="F967" s="19"/>
      <c r="G967" s="21"/>
      <c r="H967" s="19"/>
      <c r="I967" s="20">
        <v>45544</v>
      </c>
    </row>
    <row r="968" spans="1:9">
      <c r="A968" s="18">
        <v>311</v>
      </c>
      <c r="B968" s="19" t="str">
        <f>IFERROR(VLOOKUP(A968,CLIENTES!A:E,2,0),"CADASTRAR CLIENTE")</f>
        <v>CENTRO DE ANAL.CLIN. UNILAB  SC LTDA.</v>
      </c>
      <c r="C968" s="60" t="s">
        <v>3</v>
      </c>
      <c r="D968" s="60">
        <v>99420</v>
      </c>
      <c r="E968" s="21">
        <v>316</v>
      </c>
      <c r="F968" s="19"/>
      <c r="G968" s="21"/>
      <c r="H968" s="19"/>
      <c r="I968" s="20">
        <v>45544</v>
      </c>
    </row>
    <row r="969" spans="1:9">
      <c r="A969" s="18">
        <v>762</v>
      </c>
      <c r="B969" s="19" t="str">
        <f>IFERROR(VLOOKUP(A969,CLIENTES!A:E,2,0),"CADASTRAR CLIENTE")</f>
        <v>STA. CASA MISERICORDIA DE ARACATUBA</v>
      </c>
      <c r="C969" s="60" t="s">
        <v>2</v>
      </c>
      <c r="D969" s="60">
        <v>77752</v>
      </c>
      <c r="E969" s="21">
        <v>7431.18</v>
      </c>
      <c r="F969" s="19"/>
      <c r="G969" s="21"/>
      <c r="H969" s="19"/>
      <c r="I969" s="20">
        <v>45545</v>
      </c>
    </row>
    <row r="970" spans="1:9">
      <c r="A970" s="18">
        <v>762</v>
      </c>
      <c r="B970" s="19" t="str">
        <f>IFERROR(VLOOKUP(A970,CLIENTES!A:E,2,0),"CADASTRAR CLIENTE")</f>
        <v>STA. CASA MISERICORDIA DE ARACATUBA</v>
      </c>
      <c r="C970" s="60" t="s">
        <v>2</v>
      </c>
      <c r="D970" s="60">
        <v>77751</v>
      </c>
      <c r="E970" s="21">
        <v>4426.5</v>
      </c>
      <c r="F970" s="19"/>
      <c r="G970" s="21"/>
      <c r="H970" s="19"/>
      <c r="I970" s="20">
        <v>45545</v>
      </c>
    </row>
    <row r="971" spans="1:9">
      <c r="A971" s="18">
        <v>784</v>
      </c>
      <c r="B971" s="19" t="str">
        <f>IFERROR(VLOOKUP(A971,CLIENTES!A:E,2,0),"CADASTRAR CLIENTE")</f>
        <v>LAB.ANAL.CLIN. ALBERT SABIN SC LTDA.</v>
      </c>
      <c r="C971" s="60" t="s">
        <v>3</v>
      </c>
      <c r="D971" s="60">
        <v>77762</v>
      </c>
      <c r="E971" s="21">
        <v>72.62</v>
      </c>
      <c r="F971" s="19"/>
      <c r="G971" s="21"/>
      <c r="H971" s="19"/>
      <c r="I971" s="20">
        <v>45545</v>
      </c>
    </row>
    <row r="972" spans="1:9">
      <c r="A972" s="18">
        <v>3017</v>
      </c>
      <c r="B972" s="19" t="str">
        <f>IFERROR(VLOOKUP(A972,CLIENTES!A:E,2,0),"CADASTRAR CLIENTE")</f>
        <v>IMUNOLAB LABORATORIO DE ANALISES CLINICAS LTDA ME</v>
      </c>
      <c r="C972" s="60" t="s">
        <v>3</v>
      </c>
      <c r="D972" s="60">
        <v>77779</v>
      </c>
      <c r="E972" s="21">
        <v>1137.96</v>
      </c>
      <c r="F972" s="19"/>
      <c r="G972" s="21"/>
      <c r="H972" s="19"/>
      <c r="I972" s="20">
        <v>45545</v>
      </c>
    </row>
    <row r="973" spans="1:9">
      <c r="A973" s="18">
        <v>480</v>
      </c>
      <c r="B973" s="19" t="str">
        <f>IFERROR(VLOOKUP(A973,CLIENTES!A:E,2,0),"CADASTRAR CLIENTE")</f>
        <v>LAB SAO LUCAS</v>
      </c>
      <c r="C973" s="60" t="s">
        <v>3</v>
      </c>
      <c r="D973" s="60">
        <v>77783</v>
      </c>
      <c r="E973" s="21">
        <v>2273.8000000000002</v>
      </c>
      <c r="F973" s="19"/>
      <c r="G973" s="21"/>
      <c r="H973" s="19"/>
      <c r="I973" s="20">
        <v>45545</v>
      </c>
    </row>
    <row r="974" spans="1:9">
      <c r="A974" s="18">
        <v>480</v>
      </c>
      <c r="B974" s="19" t="str">
        <f>IFERROR(VLOOKUP(A974,CLIENTES!A:E,2,0),"CADASTRAR CLIENTE")</f>
        <v>LAB SAO LUCAS</v>
      </c>
      <c r="C974" s="60" t="s">
        <v>3</v>
      </c>
      <c r="D974" s="60">
        <v>99434</v>
      </c>
      <c r="E974" s="21">
        <v>83.2</v>
      </c>
      <c r="F974" s="19"/>
      <c r="G974" s="21"/>
      <c r="H974" s="19"/>
      <c r="I974" s="20">
        <v>45545</v>
      </c>
    </row>
    <row r="975" spans="1:9">
      <c r="A975" s="18">
        <v>50728</v>
      </c>
      <c r="B975" s="19" t="str">
        <f>IFERROR(VLOOKUP(A975,CLIENTES!A:E,2,0),"CADASTRAR CLIENTE")</f>
        <v>SESTITO &amp; TORRES CLINICA MEDICA</v>
      </c>
      <c r="C975" s="60" t="s">
        <v>3</v>
      </c>
      <c r="D975" s="60">
        <v>77785</v>
      </c>
      <c r="E975" s="21">
        <v>720</v>
      </c>
      <c r="F975" s="19"/>
      <c r="G975" s="21"/>
      <c r="H975" s="19"/>
      <c r="I975" s="20">
        <v>45545</v>
      </c>
    </row>
    <row r="976" spans="1:9">
      <c r="A976" s="18">
        <v>475</v>
      </c>
      <c r="B976" s="19" t="str">
        <f>IFERROR(VLOOKUP(A976,CLIENTES!A:E,2,0),"CADASTRAR CLIENTE")</f>
        <v>LABORATORIO DE ANALISES CLINICAS SRC LTDA</v>
      </c>
      <c r="C976" s="60" t="s">
        <v>3</v>
      </c>
      <c r="D976" s="60">
        <v>99424</v>
      </c>
      <c r="E976" s="21">
        <v>1124.83</v>
      </c>
      <c r="F976" s="19"/>
      <c r="G976" s="21"/>
      <c r="H976" s="19"/>
      <c r="I976" s="20">
        <v>45545</v>
      </c>
    </row>
    <row r="977" spans="1:9">
      <c r="A977" s="18">
        <v>475</v>
      </c>
      <c r="B977" s="19" t="str">
        <f>IFERROR(VLOOKUP(A977,CLIENTES!A:E,2,0),"CADASTRAR CLIENTE")</f>
        <v>LABORATORIO DE ANALISES CLINICAS SRC LTDA</v>
      </c>
      <c r="C977" s="60" t="s">
        <v>3</v>
      </c>
      <c r="D977" s="60">
        <v>77705</v>
      </c>
      <c r="E977" s="21">
        <v>11616.97</v>
      </c>
      <c r="F977" s="19"/>
      <c r="G977" s="21"/>
      <c r="H977" s="19"/>
      <c r="I977" s="20">
        <v>45545</v>
      </c>
    </row>
    <row r="978" spans="1:9">
      <c r="A978" s="18">
        <v>50554</v>
      </c>
      <c r="B978" s="19" t="str">
        <f>IFERROR(VLOOKUP(A978,CLIENTES!A:E,2,0),"CADASTRAR CLIENTE")</f>
        <v>SAO ROQUE MEDICINA DIAGNOSTICA</v>
      </c>
      <c r="C978" s="60" t="s">
        <v>328</v>
      </c>
      <c r="D978" s="60">
        <v>77793</v>
      </c>
      <c r="E978" s="21">
        <v>820.1</v>
      </c>
      <c r="F978" s="19"/>
      <c r="G978" s="21"/>
      <c r="H978" s="19"/>
      <c r="I978" s="20">
        <v>45545</v>
      </c>
    </row>
    <row r="979" spans="1:9">
      <c r="A979" s="18">
        <v>1742</v>
      </c>
      <c r="B979" s="19" t="str">
        <f>IFERROR(VLOOKUP(A979,CLIENTES!A:E,2,0),"CADASTRAR CLIENTE")</f>
        <v>A.C. BARBOSA S/C LTDA.</v>
      </c>
      <c r="C979" s="60" t="s">
        <v>3</v>
      </c>
      <c r="D979" s="60">
        <v>77748</v>
      </c>
      <c r="E979" s="21">
        <v>857.35</v>
      </c>
      <c r="F979" s="19"/>
      <c r="G979" s="21"/>
      <c r="H979" s="19"/>
      <c r="I979" s="20">
        <v>45546</v>
      </c>
    </row>
    <row r="980" spans="1:9">
      <c r="A980" s="18">
        <v>2163</v>
      </c>
      <c r="B980" s="19" t="str">
        <f>IFERROR(VLOOKUP(A980,CLIENTES!A:E,2,0),"CADASTRAR CLIENTE")</f>
        <v>BIO-LAB SAO JUDAS TADEU S/C LTDA - ME</v>
      </c>
      <c r="C980" s="60" t="s">
        <v>328</v>
      </c>
      <c r="D980" s="60">
        <v>77825</v>
      </c>
      <c r="E980" s="21">
        <v>3245</v>
      </c>
      <c r="F980" s="19"/>
      <c r="G980" s="21"/>
      <c r="H980" s="19"/>
      <c r="I980" s="20">
        <v>45546</v>
      </c>
    </row>
    <row r="981" spans="1:9">
      <c r="A981" s="18">
        <v>690</v>
      </c>
      <c r="B981" s="19" t="str">
        <f>IFERROR(VLOOKUP(A981,CLIENTES!A:E,2,0),"CADASTRAR CLIENTE")</f>
        <v>SAO ROQUE MEDICINA DIAGNOSTICA LTDA EPP</v>
      </c>
      <c r="C981" s="60" t="s">
        <v>3</v>
      </c>
      <c r="D981" s="60">
        <v>77028</v>
      </c>
      <c r="E981" s="21">
        <v>189</v>
      </c>
      <c r="F981" s="19"/>
      <c r="G981" s="21"/>
      <c r="H981" s="19"/>
      <c r="I981" s="20">
        <v>45546</v>
      </c>
    </row>
    <row r="982" spans="1:9">
      <c r="A982" s="18">
        <v>50554</v>
      </c>
      <c r="B982" s="19" t="str">
        <f>IFERROR(VLOOKUP(A982,CLIENTES!A:E,2,0),"CADASTRAR CLIENTE")</f>
        <v>SAO ROQUE MEDICINA DIAGNOSTICA</v>
      </c>
      <c r="C982" s="60" t="s">
        <v>3</v>
      </c>
      <c r="D982" s="60">
        <v>77029</v>
      </c>
      <c r="E982" s="21">
        <v>189</v>
      </c>
      <c r="F982" s="19"/>
      <c r="G982" s="21"/>
      <c r="H982" s="19"/>
      <c r="I982" s="20">
        <v>45546</v>
      </c>
    </row>
    <row r="983" spans="1:9">
      <c r="A983" s="18">
        <v>1989</v>
      </c>
      <c r="B983" s="19" t="str">
        <f>IFERROR(VLOOKUP(A983,CLIENTES!A:E,2,0),"CADASTRAR CLIENTE")</f>
        <v>SAO FRANCISCO ANAL. CLIN.</v>
      </c>
      <c r="C983" s="60" t="s">
        <v>3</v>
      </c>
      <c r="D983" s="60">
        <v>77030</v>
      </c>
      <c r="E983" s="21">
        <v>606.13</v>
      </c>
      <c r="F983" s="19"/>
      <c r="G983" s="21"/>
      <c r="H983" s="19"/>
      <c r="I983" s="20">
        <v>45546</v>
      </c>
    </row>
    <row r="984" spans="1:9">
      <c r="A984" s="18">
        <v>823</v>
      </c>
      <c r="B984" s="19" t="str">
        <f>IFERROR(VLOOKUP(A984,CLIENTES!A:E,2,0),"CADASTRAR CLIENTE")</f>
        <v>SANCHES x SANCHES S/C LTDA</v>
      </c>
      <c r="C984" s="60" t="s">
        <v>3</v>
      </c>
      <c r="D984" s="60">
        <v>77829</v>
      </c>
      <c r="E984" s="21">
        <v>4170</v>
      </c>
      <c r="F984" s="19"/>
      <c r="G984" s="21"/>
      <c r="H984" s="19"/>
      <c r="I984" s="20">
        <v>45546</v>
      </c>
    </row>
    <row r="985" spans="1:9">
      <c r="A985" s="18">
        <v>2980</v>
      </c>
      <c r="B985" s="19" t="str">
        <f>IFERROR(VLOOKUP(A985,CLIENTES!A:E,2,0),"CADASTRAR CLIENTE")</f>
        <v>ALMEIDA &amp; FLAITT LABORATORIOS DE ANALISES CLINICAS LTDA</v>
      </c>
      <c r="C985" s="60" t="s">
        <v>3</v>
      </c>
      <c r="D985" s="60">
        <v>99445</v>
      </c>
      <c r="E985" s="21">
        <v>169</v>
      </c>
      <c r="F985" s="19"/>
      <c r="G985" s="21"/>
      <c r="H985" s="19"/>
      <c r="I985" s="20">
        <v>45547</v>
      </c>
    </row>
    <row r="986" spans="1:9">
      <c r="A986" s="18">
        <v>2980</v>
      </c>
      <c r="B986" s="19" t="str">
        <f>IFERROR(VLOOKUP(A986,CLIENTES!A:E,2,0),"CADASTRAR CLIENTE")</f>
        <v>ALMEIDA &amp; FLAITT LABORATORIOS DE ANALISES CLINICAS LTDA</v>
      </c>
      <c r="C986" s="60" t="s">
        <v>3</v>
      </c>
      <c r="D986" s="60">
        <v>77846</v>
      </c>
      <c r="E986" s="21">
        <v>1079.4000000000001</v>
      </c>
      <c r="F986" s="19"/>
      <c r="G986" s="21"/>
      <c r="H986" s="19"/>
      <c r="I986" s="20">
        <v>45547</v>
      </c>
    </row>
    <row r="987" spans="1:9">
      <c r="A987" s="18">
        <v>51042</v>
      </c>
      <c r="B987" s="19" t="str">
        <f>IFERROR(VLOOKUP(A987,CLIENTES!A:E,2,0),"CADASTRAR CLIENTE")</f>
        <v>CLINICAO ANDRADINA PET SHOP E CLINICA VETERINARIA LTDA</v>
      </c>
      <c r="C987" s="60" t="s">
        <v>3</v>
      </c>
      <c r="D987" s="60">
        <v>77853</v>
      </c>
      <c r="E987" s="21">
        <v>321.16000000000003</v>
      </c>
      <c r="F987" s="19"/>
      <c r="G987" s="21"/>
      <c r="H987" s="19"/>
      <c r="I987" s="20">
        <v>45547</v>
      </c>
    </row>
    <row r="988" spans="1:9">
      <c r="A988" s="18">
        <v>1616</v>
      </c>
      <c r="B988" s="19" t="str">
        <f>IFERROR(VLOOKUP(A988,CLIENTES!A:E,2,0),"CADASTRAR CLIENTE")</f>
        <v>NOVO HORIZONTE LAB.ANAL.CLIN.S/C LTDA.</v>
      </c>
      <c r="C988" s="60" t="s">
        <v>3</v>
      </c>
      <c r="D988" s="60">
        <v>77791</v>
      </c>
      <c r="E988" s="21">
        <v>873.9</v>
      </c>
      <c r="F988" s="19"/>
      <c r="G988" s="21"/>
      <c r="H988" s="19"/>
      <c r="I988" s="20">
        <v>45547</v>
      </c>
    </row>
    <row r="989" spans="1:9">
      <c r="A989" s="18">
        <v>960</v>
      </c>
      <c r="B989" s="19" t="str">
        <f>IFERROR(VLOOKUP(A989,CLIENTES!A:E,2,0),"CADASTRAR CLIENTE")</f>
        <v>LUIS VALERIO FILHO-ME</v>
      </c>
      <c r="C989" s="60" t="s">
        <v>3</v>
      </c>
      <c r="D989" s="60">
        <v>99455</v>
      </c>
      <c r="E989" s="21">
        <v>88</v>
      </c>
      <c r="F989" s="19"/>
      <c r="G989" s="21"/>
      <c r="H989" s="19"/>
      <c r="I989" s="20">
        <v>45548</v>
      </c>
    </row>
    <row r="990" spans="1:9">
      <c r="A990" s="18">
        <v>725</v>
      </c>
      <c r="B990" s="19" t="str">
        <f>IFERROR(VLOOKUP(A990,CLIENTES!A:E,2,0),"CADASTRAR CLIENTE")</f>
        <v>LAB. ANAL. CLIN. DR. ALUISIO CASELLA</v>
      </c>
      <c r="C990" s="60" t="s">
        <v>3</v>
      </c>
      <c r="D990" s="60" t="s">
        <v>330</v>
      </c>
      <c r="E990" s="21">
        <v>4500.54</v>
      </c>
      <c r="F990" s="19"/>
      <c r="G990" s="21"/>
      <c r="H990" s="19"/>
      <c r="I990" s="20">
        <v>45548</v>
      </c>
    </row>
    <row r="991" spans="1:9">
      <c r="A991" s="18">
        <v>1493</v>
      </c>
      <c r="B991" s="19" t="str">
        <f>IFERROR(VLOOKUP(A991,CLIENTES!A:E,2,0),"CADASTRAR CLIENTE")</f>
        <v>CEDIMA  CENTRO DE DIAG MONTE AZUL ANAL CLIN E CIT</v>
      </c>
      <c r="C991" s="60" t="s">
        <v>3</v>
      </c>
      <c r="D991" s="60">
        <v>77822</v>
      </c>
      <c r="E991" s="21">
        <v>1215.48</v>
      </c>
      <c r="F991" s="19"/>
      <c r="G991" s="21"/>
      <c r="H991" s="19"/>
      <c r="I991" s="20">
        <v>45548</v>
      </c>
    </row>
    <row r="992" spans="1:9">
      <c r="A992" s="18">
        <v>364</v>
      </c>
      <c r="B992" s="19" t="str">
        <f>IFERROR(VLOOKUP(A992,CLIENTES!A:E,2,0),"CADASTRAR CLIENTE")</f>
        <v>VITALIS LAB.ANAL.CLIN.S/C LTDA</v>
      </c>
      <c r="C992" s="60" t="s">
        <v>3</v>
      </c>
      <c r="D992" s="60">
        <v>77915</v>
      </c>
      <c r="E992" s="21">
        <v>825.2</v>
      </c>
      <c r="F992" s="19"/>
      <c r="G992" s="21"/>
      <c r="H992" s="19"/>
      <c r="I992" s="20">
        <v>45548</v>
      </c>
    </row>
    <row r="993" spans="1:9">
      <c r="A993" s="18">
        <v>364</v>
      </c>
      <c r="B993" s="19" t="str">
        <f>IFERROR(VLOOKUP(A993,CLIENTES!A:E,2,0),"CADASTRAR CLIENTE")</f>
        <v>VITALIS LAB.ANAL.CLIN.S/C LTDA</v>
      </c>
      <c r="C993" s="60" t="s">
        <v>3</v>
      </c>
      <c r="D993" s="60">
        <v>99456</v>
      </c>
      <c r="E993" s="21">
        <v>544.58000000000004</v>
      </c>
      <c r="F993" s="19"/>
      <c r="G993" s="21"/>
      <c r="H993" s="19"/>
      <c r="I993" s="20">
        <v>45548</v>
      </c>
    </row>
    <row r="994" spans="1:9">
      <c r="A994" s="18">
        <v>575</v>
      </c>
      <c r="B994" s="19" t="str">
        <f>IFERROR(VLOOKUP(A994,CLIENTES!A:E,2,0),"CADASTRAR CLIENTE")</f>
        <v>DR MUNHOZ HOSPITAL VETERINARIO E PET SHOP</v>
      </c>
      <c r="C994" s="60" t="s">
        <v>2</v>
      </c>
      <c r="D994" s="60">
        <v>77928</v>
      </c>
      <c r="E994" s="21">
        <v>639.77</v>
      </c>
      <c r="F994" s="19"/>
      <c r="G994" s="21"/>
      <c r="H994" s="19"/>
      <c r="I994" s="20">
        <v>45551</v>
      </c>
    </row>
    <row r="995" spans="1:9">
      <c r="A995" s="18">
        <v>874</v>
      </c>
      <c r="B995" s="19" t="str">
        <f>IFERROR(VLOOKUP(A995,CLIENTES!A:E,2,0),"CADASTRAR CLIENTE")</f>
        <v>LAB.ANAL.CLIN ABI JAUDI SC LTDA.</v>
      </c>
      <c r="C995" s="60" t="s">
        <v>3</v>
      </c>
      <c r="D995" s="60">
        <v>77932</v>
      </c>
      <c r="E995" s="21">
        <v>1848.77</v>
      </c>
      <c r="F995" s="19"/>
      <c r="G995" s="21"/>
      <c r="H995" s="19"/>
      <c r="I995" s="20">
        <v>45551</v>
      </c>
    </row>
    <row r="996" spans="1:9">
      <c r="A996" s="18">
        <v>1813</v>
      </c>
      <c r="B996" s="19" t="str">
        <f>IFERROR(VLOOKUP(A996,CLIENTES!A:E,2,0),"CADASTRAR CLIENTE")</f>
        <v>BIOMED LAB.ANAL.CLIN. SC  LTDA</v>
      </c>
      <c r="C996" s="60" t="s">
        <v>3</v>
      </c>
      <c r="D996" s="60">
        <v>77930</v>
      </c>
      <c r="E996" s="21">
        <v>998</v>
      </c>
      <c r="F996" s="19"/>
      <c r="G996" s="21"/>
      <c r="H996" s="19"/>
      <c r="I996" s="20">
        <v>45551</v>
      </c>
    </row>
    <row r="997" spans="1:9">
      <c r="A997" s="18">
        <v>171</v>
      </c>
      <c r="B997" s="19" t="str">
        <f>IFERROR(VLOOKUP(A997,CLIENTES!A:E,2,0),"CADASTRAR CLIENTE")</f>
        <v>HOSPITAL BENEFICENTE SAO JOSE</v>
      </c>
      <c r="C997" s="60" t="s">
        <v>3</v>
      </c>
      <c r="D997" s="60">
        <v>77945</v>
      </c>
      <c r="E997" s="21">
        <v>97.5</v>
      </c>
      <c r="F997" s="19"/>
      <c r="G997" s="21"/>
      <c r="H997" s="19"/>
      <c r="I997" s="20">
        <v>45551</v>
      </c>
    </row>
    <row r="998" spans="1:9">
      <c r="A998" s="18">
        <v>480</v>
      </c>
      <c r="B998" s="19" t="str">
        <f>IFERROR(VLOOKUP(A998,CLIENTES!A:E,2,0),"CADASTRAR CLIENTE")</f>
        <v>LAB SAO LUCAS</v>
      </c>
      <c r="C998" s="60" t="s">
        <v>3</v>
      </c>
      <c r="D998" s="60">
        <v>99464</v>
      </c>
      <c r="E998" s="21">
        <v>199</v>
      </c>
      <c r="F998" s="19"/>
      <c r="G998" s="21"/>
      <c r="H998" s="19"/>
      <c r="I998" s="20">
        <v>45551</v>
      </c>
    </row>
    <row r="999" spans="1:9">
      <c r="A999" s="18">
        <v>480</v>
      </c>
      <c r="B999" s="19" t="str">
        <f>IFERROR(VLOOKUP(A999,CLIENTES!A:E,2,0),"CADASTRAR CLIENTE")</f>
        <v>LAB SAO LUCAS</v>
      </c>
      <c r="C999" s="60" t="s">
        <v>3</v>
      </c>
      <c r="D999" s="60">
        <v>77947</v>
      </c>
      <c r="E999" s="21">
        <v>2730</v>
      </c>
      <c r="F999" s="19"/>
      <c r="G999" s="21"/>
      <c r="H999" s="19"/>
      <c r="I999" s="20">
        <v>45551</v>
      </c>
    </row>
    <row r="1000" spans="1:9">
      <c r="A1000" s="18">
        <v>3077</v>
      </c>
      <c r="B1000" s="19" t="str">
        <f>IFERROR(VLOOKUP(A1000,CLIENTES!A:E,2,0),"CADASTRAR CLIENTE")</f>
        <v>CBI ANALISES CLINICAS S/S LTDA</v>
      </c>
      <c r="C1000" s="60" t="s">
        <v>328</v>
      </c>
      <c r="D1000" s="60">
        <v>77954</v>
      </c>
      <c r="E1000" s="21">
        <v>1016.2</v>
      </c>
      <c r="F1000" s="19"/>
      <c r="G1000" s="21"/>
      <c r="H1000" s="19"/>
      <c r="I1000" s="20">
        <v>45551</v>
      </c>
    </row>
    <row r="1001" spans="1:9">
      <c r="A1001" s="18">
        <v>2702</v>
      </c>
      <c r="B1001" s="19" t="str">
        <f>IFERROR(VLOOKUP(A1001,CLIENTES!A:E,2,0),"CADASTRAR CLIENTE")</f>
        <v>SANTA CASA DE MISER. DE TAQUARITUBA</v>
      </c>
      <c r="C1001" s="60" t="s">
        <v>3</v>
      </c>
      <c r="D1001" s="60">
        <v>77970</v>
      </c>
      <c r="E1001" s="21">
        <v>1637.3</v>
      </c>
      <c r="F1001" s="19"/>
      <c r="G1001" s="21"/>
      <c r="H1001" s="19"/>
      <c r="I1001" s="20">
        <v>45551</v>
      </c>
    </row>
    <row r="1002" spans="1:9">
      <c r="A1002" s="18">
        <v>761</v>
      </c>
      <c r="B1002" s="19" t="str">
        <f>IFERROR(VLOOKUP(A1002,CLIENTES!A:E,2,0),"CADASTRAR CLIENTE")</f>
        <v>EXAME CENTRO DIAG.M.ARACATUBA SC LTDA.</v>
      </c>
      <c r="C1002" s="60" t="s">
        <v>3</v>
      </c>
      <c r="D1002" s="60">
        <v>77984</v>
      </c>
      <c r="E1002" s="21">
        <v>665.2</v>
      </c>
      <c r="F1002" s="19"/>
      <c r="G1002" s="21"/>
      <c r="H1002" s="19"/>
      <c r="I1002" s="20">
        <v>45552</v>
      </c>
    </row>
    <row r="1003" spans="1:9">
      <c r="A1003" s="18">
        <v>2415</v>
      </c>
      <c r="B1003" s="19" t="str">
        <f>IFERROR(VLOOKUP(A1003,CLIENTES!A:E,2,0),"CADASTRAR CLIENTE")</f>
        <v>ROSSETTO E BARROS LABORATORIO DE ANALISES CLINICAS LTDA</v>
      </c>
      <c r="C1003" s="60" t="s">
        <v>3</v>
      </c>
      <c r="D1003" s="60">
        <v>77996</v>
      </c>
      <c r="E1003" s="21">
        <v>760</v>
      </c>
      <c r="F1003" s="19"/>
      <c r="G1003" s="21"/>
      <c r="H1003" s="19"/>
      <c r="I1003" s="20">
        <v>45552</v>
      </c>
    </row>
    <row r="1004" spans="1:9">
      <c r="A1004" s="18">
        <v>500243</v>
      </c>
      <c r="B1004" s="19" t="str">
        <f>IFERROR(VLOOKUP(A1004,CLIENTES!A:E,2,0),"CADASTRAR CLIENTE")</f>
        <v>UNIMED DE IBITINGA COOPERATIVA DE TRABALHO MEDICO</v>
      </c>
      <c r="C1004" s="60" t="s">
        <v>3</v>
      </c>
      <c r="D1004" s="60">
        <v>78003</v>
      </c>
      <c r="E1004" s="21">
        <v>808.3</v>
      </c>
      <c r="F1004" s="19"/>
      <c r="G1004" s="21"/>
      <c r="H1004" s="19"/>
      <c r="I1004" s="20">
        <v>45552</v>
      </c>
    </row>
    <row r="1005" spans="1:9">
      <c r="A1005" s="18">
        <v>325</v>
      </c>
      <c r="B1005" s="19" t="str">
        <f>IFERROR(VLOOKUP(A1005,CLIENTES!A:E,2,0),"CADASTRAR CLIENTE")</f>
        <v>EXAME-LABORAT. DE ANAL. CLIN. CITODIAGNOSTICO S/S LTDA</v>
      </c>
      <c r="C1005" s="60" t="s">
        <v>3</v>
      </c>
      <c r="D1005" s="60">
        <v>99475</v>
      </c>
      <c r="E1005" s="21">
        <v>325.7</v>
      </c>
      <c r="F1005" s="19"/>
      <c r="G1005" s="21"/>
      <c r="H1005" s="19"/>
      <c r="I1005" s="20">
        <v>45552</v>
      </c>
    </row>
    <row r="1006" spans="1:9">
      <c r="A1006" s="18">
        <v>325</v>
      </c>
      <c r="B1006" s="19" t="str">
        <f>IFERROR(VLOOKUP(A1006,CLIENTES!A:E,2,0),"CADASTRAR CLIENTE")</f>
        <v>EXAME-LABORAT. DE ANAL. CLIN. CITODIAGNOSTICO S/S LTDA</v>
      </c>
      <c r="C1006" s="60" t="s">
        <v>3</v>
      </c>
      <c r="D1006" s="60">
        <v>78012</v>
      </c>
      <c r="E1006" s="21">
        <v>1554.3</v>
      </c>
      <c r="F1006" s="19"/>
      <c r="G1006" s="21"/>
      <c r="H1006" s="19"/>
      <c r="I1006" s="20">
        <v>45552</v>
      </c>
    </row>
    <row r="1007" spans="1:9">
      <c r="A1007" s="18">
        <v>704</v>
      </c>
      <c r="B1007" s="19" t="str">
        <f>IFERROR(VLOOKUP(A1007,CLIENTES!A:E,2,0),"CADASTRAR CLIENTE")</f>
        <v>LAB. ONUMA E BASILIO S/C LTDA</v>
      </c>
      <c r="C1007" s="60" t="s">
        <v>3</v>
      </c>
      <c r="D1007" s="60">
        <v>99476</v>
      </c>
      <c r="E1007" s="21">
        <v>328.22</v>
      </c>
      <c r="F1007" s="19"/>
      <c r="G1007" s="21"/>
      <c r="H1007" s="19"/>
      <c r="I1007" s="20">
        <v>45552</v>
      </c>
    </row>
    <row r="1008" spans="1:9">
      <c r="A1008" s="18">
        <v>704</v>
      </c>
      <c r="B1008" s="19" t="str">
        <f>IFERROR(VLOOKUP(A1008,CLIENTES!A:E,2,0),"CADASTRAR CLIENTE")</f>
        <v>LAB. ONUMA E BASILIO S/C LTDA</v>
      </c>
      <c r="C1008" s="60" t="s">
        <v>3</v>
      </c>
      <c r="D1008" s="60">
        <v>78022</v>
      </c>
      <c r="E1008" s="21">
        <v>1545.45</v>
      </c>
      <c r="F1008" s="19"/>
      <c r="G1008" s="21"/>
      <c r="H1008" s="19"/>
      <c r="I1008" s="20">
        <v>45552</v>
      </c>
    </row>
    <row r="1009" spans="1:9">
      <c r="A1009" s="18">
        <v>516</v>
      </c>
      <c r="B1009" s="19" t="str">
        <f>IFERROR(VLOOKUP(A1009,CLIENTES!A:E,2,0),"CADASTRAR CLIENTE")</f>
        <v>TECNOLAB PATOLOGIA CLINICA S/C LTDA</v>
      </c>
      <c r="C1009" s="60" t="s">
        <v>3</v>
      </c>
      <c r="D1009" s="60">
        <v>78015</v>
      </c>
      <c r="E1009" s="21">
        <v>8145.2</v>
      </c>
      <c r="F1009" s="19"/>
      <c r="G1009" s="21"/>
      <c r="H1009" s="19"/>
      <c r="I1009" s="20">
        <v>45552</v>
      </c>
    </row>
    <row r="1010" spans="1:9">
      <c r="A1010" s="18">
        <v>1533</v>
      </c>
      <c r="B1010" s="19" t="str">
        <f>IFERROR(VLOOKUP(A1010,CLIENTES!A:E,2,0),"CADASTRAR CLIENTE")</f>
        <v>LABORATORIO BIOANALISE DIAGNOSTICO LTDA</v>
      </c>
      <c r="C1010" s="60" t="s">
        <v>3</v>
      </c>
      <c r="D1010" s="60">
        <v>78035</v>
      </c>
      <c r="E1010" s="21">
        <v>1538.8</v>
      </c>
      <c r="F1010" s="19"/>
      <c r="G1010" s="21"/>
      <c r="H1010" s="19"/>
      <c r="I1010" s="20">
        <v>45553</v>
      </c>
    </row>
    <row r="1011" spans="1:9">
      <c r="A1011" s="18">
        <v>741</v>
      </c>
      <c r="B1011" s="19" t="str">
        <f>IFERROR(VLOOKUP(A1011,CLIENTES!A:E,2,0),"CADASTRAR CLIENTE")</f>
        <v>LAB. ANAL. CLIN. DR. HELIO NAKABASHI SC LTDA</v>
      </c>
      <c r="C1011" s="60" t="s">
        <v>3</v>
      </c>
      <c r="D1011" s="60">
        <v>77765</v>
      </c>
      <c r="E1011" s="21">
        <v>1361.77</v>
      </c>
      <c r="F1011" s="19"/>
      <c r="G1011" s="21"/>
      <c r="H1011" s="19"/>
      <c r="I1011" s="20">
        <v>45553</v>
      </c>
    </row>
    <row r="1012" spans="1:9">
      <c r="A1012" s="18">
        <v>756</v>
      </c>
      <c r="B1012" s="19" t="str">
        <f>IFERROR(VLOOKUP(A1012,CLIENTES!A:E,2,0),"CADASTRAR CLIENTE")</f>
        <v>LAB.TRIANON DE ANAL.CLIN.SC LTDA.</v>
      </c>
      <c r="C1012" s="60" t="s">
        <v>3</v>
      </c>
      <c r="D1012" s="60">
        <v>77888</v>
      </c>
      <c r="E1012" s="21">
        <v>2230.6</v>
      </c>
      <c r="F1012" s="19"/>
      <c r="G1012" s="21"/>
      <c r="H1012" s="19"/>
      <c r="I1012" s="20">
        <v>45553</v>
      </c>
    </row>
    <row r="1013" spans="1:9">
      <c r="A1013" s="18">
        <v>1122</v>
      </c>
      <c r="B1013" s="19" t="str">
        <f>IFERROR(VLOOKUP(A1013,CLIENTES!A:E,2,0),"CADASTRAR CLIENTE")</f>
        <v>FUNDEPAG</v>
      </c>
      <c r="C1013" s="60" t="s">
        <v>3</v>
      </c>
      <c r="D1013" s="60" t="s">
        <v>331</v>
      </c>
      <c r="E1013" s="21">
        <v>3305.9</v>
      </c>
      <c r="F1013" s="19"/>
      <c r="G1013" s="21"/>
      <c r="H1013" s="19"/>
      <c r="I1013" s="20">
        <v>45553</v>
      </c>
    </row>
    <row r="1014" spans="1:9">
      <c r="A1014" s="18">
        <v>475</v>
      </c>
      <c r="B1014" s="19" t="str">
        <f>IFERROR(VLOOKUP(A1014,CLIENTES!A:E,2,0),"CADASTRAR CLIENTE")</f>
        <v>LABORATORIO DE ANALISES CLINICAS SRC LTDA</v>
      </c>
      <c r="C1014" s="60" t="s">
        <v>2</v>
      </c>
      <c r="D1014" s="60" t="s">
        <v>332</v>
      </c>
      <c r="E1014" s="21">
        <v>2897.61</v>
      </c>
      <c r="F1014" s="19"/>
      <c r="G1014" s="21"/>
      <c r="H1014" s="19"/>
      <c r="I1014" s="20">
        <v>45553</v>
      </c>
    </row>
    <row r="1015" spans="1:9">
      <c r="A1015" s="18">
        <v>2198</v>
      </c>
      <c r="B1015" s="19" t="str">
        <f>IFERROR(VLOOKUP(A1015,CLIENTES!A:E,2,0),"CADASTRAR CLIENTE")</f>
        <v>LABORATORIO BIONALISES S.S. LTDA</v>
      </c>
      <c r="C1015" s="60" t="s">
        <v>3</v>
      </c>
      <c r="D1015" s="60">
        <v>78053</v>
      </c>
      <c r="E1015" s="21">
        <v>8421.8700000000008</v>
      </c>
      <c r="F1015" s="19"/>
      <c r="G1015" s="21"/>
      <c r="H1015" s="19"/>
      <c r="I1015" s="20">
        <v>45553</v>
      </c>
    </row>
    <row r="1016" spans="1:9">
      <c r="A1016" s="18">
        <v>772</v>
      </c>
      <c r="B1016" s="19" t="str">
        <f>IFERROR(VLOOKUP(A1016,CLIENTES!A:E,2,0),"CADASTRAR CLIENTE")</f>
        <v>MEGARON LABORATORIO ANAL.CLIN.SC LTDA.</v>
      </c>
      <c r="C1016" s="60" t="s">
        <v>3</v>
      </c>
      <c r="D1016" s="60">
        <v>78066</v>
      </c>
      <c r="E1016" s="21">
        <v>862.35</v>
      </c>
      <c r="F1016" s="19"/>
      <c r="G1016" s="21"/>
      <c r="H1016" s="19"/>
      <c r="I1016" s="20">
        <v>45553</v>
      </c>
    </row>
    <row r="1017" spans="1:9">
      <c r="A1017" s="18">
        <v>1164</v>
      </c>
      <c r="B1017" s="19" t="str">
        <f>IFERROR(VLOOKUP(A1017,CLIENTES!A:E,2,0),"CADASTRAR CLIENTE")</f>
        <v>LAB. ANAL. CLIN. SAO LOURENCO S/C LTDA</v>
      </c>
      <c r="C1017" s="60" t="s">
        <v>3</v>
      </c>
      <c r="D1017" s="60">
        <v>78081</v>
      </c>
      <c r="E1017" s="21">
        <v>844.6</v>
      </c>
      <c r="F1017" s="19"/>
      <c r="G1017" s="21"/>
      <c r="H1017" s="19"/>
      <c r="I1017" s="20">
        <v>45554</v>
      </c>
    </row>
    <row r="1018" spans="1:9">
      <c r="A1018" s="18">
        <v>572</v>
      </c>
      <c r="B1018" s="19" t="str">
        <f>IFERROR(VLOOKUP(A1018,CLIENTES!A:E,2,0),"CADASTRAR CLIENTE")</f>
        <v>LABORATORIO MULTIANALISES LTDA-ME</v>
      </c>
      <c r="C1018" s="60" t="s">
        <v>3</v>
      </c>
      <c r="D1018" s="60">
        <v>78082</v>
      </c>
      <c r="E1018" s="21">
        <v>756.43</v>
      </c>
      <c r="F1018" s="19"/>
      <c r="G1018" s="21"/>
      <c r="H1018" s="19"/>
      <c r="I1018" s="20">
        <v>45554</v>
      </c>
    </row>
    <row r="1019" spans="1:9">
      <c r="A1019" s="18">
        <v>2022</v>
      </c>
      <c r="B1019" s="19" t="str">
        <f>IFERROR(VLOOKUP(A1019,CLIENTES!A:E,2,0),"CADASTRAR CLIENTE")</f>
        <v>LAB. MEDICO DR. MARICONDI S/C LTDA.</v>
      </c>
      <c r="C1019" s="60" t="s">
        <v>3</v>
      </c>
      <c r="D1019" s="60">
        <v>78083</v>
      </c>
      <c r="E1019" s="21">
        <v>152.58000000000001</v>
      </c>
      <c r="F1019" s="19"/>
      <c r="G1019" s="21"/>
      <c r="H1019" s="19"/>
      <c r="I1019" s="20">
        <v>45554</v>
      </c>
    </row>
    <row r="1020" spans="1:9">
      <c r="A1020" s="18">
        <v>690</v>
      </c>
      <c r="B1020" s="19" t="str">
        <f>IFERROR(VLOOKUP(A1020,CLIENTES!A:E,2,0),"CADASTRAR CLIENTE")</f>
        <v>SAO ROQUE MEDICINA DIAGNOSTICA LTDA EPP</v>
      </c>
      <c r="C1020" s="60" t="s">
        <v>3</v>
      </c>
      <c r="D1020" s="60">
        <v>99421</v>
      </c>
      <c r="E1020" s="21">
        <v>36.4</v>
      </c>
      <c r="F1020" s="19"/>
      <c r="G1020" s="21"/>
      <c r="H1020" s="19"/>
      <c r="I1020" s="20">
        <v>45554</v>
      </c>
    </row>
    <row r="1021" spans="1:9">
      <c r="A1021" s="18">
        <v>690</v>
      </c>
      <c r="B1021" s="19" t="str">
        <f>IFERROR(VLOOKUP(A1021,CLIENTES!A:E,2,0),"CADASTRAR CLIENTE")</f>
        <v>SAO ROQUE MEDICINA DIAGNOSTICA LTDA EPP</v>
      </c>
      <c r="C1021" s="60" t="s">
        <v>3</v>
      </c>
      <c r="D1021" s="60">
        <v>77711</v>
      </c>
      <c r="E1021" s="21">
        <v>151.19999999999999</v>
      </c>
      <c r="F1021" s="19"/>
      <c r="G1021" s="21"/>
      <c r="H1021" s="19"/>
      <c r="I1021" s="20">
        <v>45554</v>
      </c>
    </row>
    <row r="1022" spans="1:9">
      <c r="A1022" s="18">
        <v>822</v>
      </c>
      <c r="B1022" s="19" t="str">
        <f>IFERROR(VLOOKUP(A1022,CLIENTES!A:E,2,0),"CADASTRAR CLIENTE")</f>
        <v>SAO LUCAS LABORATORIO ANAL. CLIN. S/C LTDA</v>
      </c>
      <c r="C1022" s="60" t="s">
        <v>3</v>
      </c>
      <c r="D1022" s="60">
        <v>78020</v>
      </c>
      <c r="E1022" s="21">
        <v>55</v>
      </c>
      <c r="F1022" s="19"/>
      <c r="G1022" s="21"/>
      <c r="H1022" s="19"/>
      <c r="I1022" s="20">
        <v>45554</v>
      </c>
    </row>
    <row r="1023" spans="1:9">
      <c r="A1023" s="18">
        <v>1240</v>
      </c>
      <c r="B1023" s="19" t="str">
        <f>IFERROR(VLOOKUP(A1023,CLIENTES!A:E,2,0),"CADASTRAR CLIENTE")</f>
        <v>MONICA VIEIRA DE CAMPOS REBELO-ME</v>
      </c>
      <c r="C1023" s="60" t="s">
        <v>3</v>
      </c>
      <c r="D1023" s="60">
        <v>74116</v>
      </c>
      <c r="E1023" s="21">
        <v>1835</v>
      </c>
      <c r="F1023" s="19"/>
      <c r="G1023" s="21"/>
      <c r="H1023" s="19"/>
      <c r="I1023" s="20">
        <v>45555</v>
      </c>
    </row>
    <row r="1024" spans="1:9">
      <c r="A1024" s="18">
        <v>1652</v>
      </c>
      <c r="B1024" s="19" t="str">
        <f>IFERROR(VLOOKUP(A1024,CLIENTES!A:E,2,0),"CADASTRAR CLIENTE")</f>
        <v>LAB. SANTA CLARA ANAL.CLIN.</v>
      </c>
      <c r="C1024" s="60" t="s">
        <v>3</v>
      </c>
      <c r="D1024" s="60" t="s">
        <v>333</v>
      </c>
      <c r="E1024" s="21">
        <v>763.4</v>
      </c>
      <c r="F1024" s="19"/>
      <c r="G1024" s="21"/>
      <c r="H1024" s="19"/>
      <c r="I1024" s="20">
        <v>45555</v>
      </c>
    </row>
    <row r="1025" spans="1:9">
      <c r="A1025" s="18">
        <v>311</v>
      </c>
      <c r="B1025" s="19" t="str">
        <f>IFERROR(VLOOKUP(A1025,CLIENTES!A:E,2,0),"CADASTRAR CLIENTE")</f>
        <v>CENTRO DE ANAL.CLIN. UNILAB  SC LTDA.</v>
      </c>
      <c r="C1025" s="60" t="s">
        <v>328</v>
      </c>
      <c r="D1025" s="60" t="s">
        <v>334</v>
      </c>
      <c r="E1025" s="21">
        <v>266.52</v>
      </c>
      <c r="F1025" s="19"/>
      <c r="G1025" s="21"/>
      <c r="H1025" s="19"/>
      <c r="I1025" s="20">
        <v>45558</v>
      </c>
    </row>
    <row r="1026" spans="1:9">
      <c r="A1026" s="18">
        <v>50576</v>
      </c>
      <c r="B1026" s="19" t="str">
        <f>IFERROR(VLOOKUP(A1026,CLIENTES!A:E,2,0),"CADASTRAR CLIENTE")</f>
        <v>ANDRIAO CANEPPA E SILVA LTDA ME</v>
      </c>
      <c r="C1026" s="60" t="s">
        <v>3</v>
      </c>
      <c r="D1026" s="60">
        <v>78163</v>
      </c>
      <c r="E1026" s="21">
        <v>2593</v>
      </c>
      <c r="F1026" s="19"/>
      <c r="G1026" s="21"/>
      <c r="H1026" s="19"/>
      <c r="I1026" s="20">
        <v>45558</v>
      </c>
    </row>
    <row r="1027" spans="1:9">
      <c r="A1027" s="18">
        <v>50526</v>
      </c>
      <c r="B1027" s="19" t="str">
        <f>IFERROR(VLOOKUP(A1027,CLIENTES!A:E,2,0),"CADASTRAR CLIENTE")</f>
        <v>MURILO RIGOTTO TERRASSI</v>
      </c>
      <c r="C1027" s="60" t="s">
        <v>3</v>
      </c>
      <c r="D1027" s="60">
        <v>99501</v>
      </c>
      <c r="E1027" s="21">
        <v>261.2</v>
      </c>
      <c r="F1027" s="19"/>
      <c r="G1027" s="21"/>
      <c r="H1027" s="19"/>
      <c r="I1027" s="20">
        <v>45558</v>
      </c>
    </row>
    <row r="1028" spans="1:9">
      <c r="A1028" s="18">
        <v>906</v>
      </c>
      <c r="B1028" s="19" t="str">
        <f>IFERROR(VLOOKUP(A1028,CLIENTES!A:E,2,0),"CADASTRAR CLIENTE")</f>
        <v>LABORATORIO ANAL. CLIN. DESCALVADO LTDA</v>
      </c>
      <c r="C1028" s="60" t="s">
        <v>3</v>
      </c>
      <c r="D1028" s="60">
        <v>78184</v>
      </c>
      <c r="E1028" s="21">
        <v>982.8</v>
      </c>
      <c r="F1028" s="19"/>
      <c r="G1028" s="21"/>
      <c r="H1028" s="19"/>
      <c r="I1028" s="20">
        <v>45558</v>
      </c>
    </row>
    <row r="1029" spans="1:9">
      <c r="A1029" s="18">
        <v>1533</v>
      </c>
      <c r="B1029" s="19" t="str">
        <f>IFERROR(VLOOKUP(A1029,CLIENTES!A:E,2,0),"CADASTRAR CLIENTE")</f>
        <v>LABORATORIO BIOANALISE DIAGNOSTICO LTDA</v>
      </c>
      <c r="C1029" s="60" t="s">
        <v>3</v>
      </c>
      <c r="D1029" s="60">
        <v>7819</v>
      </c>
      <c r="E1029" s="21">
        <v>1202</v>
      </c>
      <c r="F1029" s="19"/>
      <c r="G1029" s="21"/>
      <c r="H1029" s="19"/>
      <c r="I1029" s="20">
        <v>45558</v>
      </c>
    </row>
    <row r="1030" spans="1:9">
      <c r="A1030" s="18">
        <v>1502</v>
      </c>
      <c r="B1030" s="19" t="str">
        <f>IFERROR(VLOOKUP(A1030,CLIENTES!A:E,2,0),"CADASTRAR CLIENTE")</f>
        <v>ASSOC.CASA DE SAUDE BEN. DE INDIAPORA</v>
      </c>
      <c r="C1030" s="60" t="s">
        <v>3</v>
      </c>
      <c r="D1030" s="60">
        <v>78188</v>
      </c>
      <c r="E1030" s="21">
        <v>1218</v>
      </c>
      <c r="F1030" s="19"/>
      <c r="G1030" s="21"/>
      <c r="H1030" s="19"/>
      <c r="I1030" s="20">
        <v>45558</v>
      </c>
    </row>
    <row r="1031" spans="1:9">
      <c r="A1031" s="18">
        <v>708</v>
      </c>
      <c r="B1031" s="19" t="str">
        <f>IFERROR(VLOOKUP(A1031,CLIENTES!A:E,2,0),"CADASTRAR CLIENTE")</f>
        <v>IMEDI INST.MEDICO DE PAT.E DIAGNOSTICO SC LTDA.</v>
      </c>
      <c r="C1031" s="60" t="s">
        <v>3</v>
      </c>
      <c r="D1031" s="60">
        <v>78200</v>
      </c>
      <c r="E1031" s="21">
        <v>2030</v>
      </c>
      <c r="F1031" s="19"/>
      <c r="G1031" s="21"/>
      <c r="H1031" s="19"/>
      <c r="I1031" s="20">
        <v>45559</v>
      </c>
    </row>
    <row r="1032" spans="1:9">
      <c r="A1032" s="18">
        <v>50576</v>
      </c>
      <c r="B1032" s="19" t="str">
        <f>IFERROR(VLOOKUP(A1032,CLIENTES!A:E,2,0),"CADASTRAR CLIENTE")</f>
        <v>ANDRIAO CANEPPA E SILVA LTDA ME</v>
      </c>
      <c r="C1032" s="60" t="s">
        <v>3</v>
      </c>
      <c r="D1032" s="60">
        <v>78212</v>
      </c>
      <c r="E1032" s="21">
        <v>655</v>
      </c>
      <c r="F1032" s="19"/>
      <c r="G1032" s="21"/>
      <c r="H1032" s="19"/>
      <c r="I1032" s="20">
        <v>45559</v>
      </c>
    </row>
    <row r="1033" spans="1:9">
      <c r="A1033" s="18">
        <v>335</v>
      </c>
      <c r="B1033" s="19" t="str">
        <f>IFERROR(VLOOKUP(A1033,CLIENTES!A:E,2,0),"CADASTRAR CLIENTE")</f>
        <v>LABORATORIO VIDA  S/S LTDA</v>
      </c>
      <c r="C1033" s="60" t="s">
        <v>3</v>
      </c>
      <c r="D1033" s="60">
        <v>99511</v>
      </c>
      <c r="E1033" s="21">
        <v>387.6</v>
      </c>
      <c r="F1033" s="19"/>
      <c r="G1033" s="21"/>
      <c r="H1033" s="19"/>
      <c r="I1033" s="20">
        <v>45559</v>
      </c>
    </row>
    <row r="1034" spans="1:9">
      <c r="A1034" s="18">
        <v>335</v>
      </c>
      <c r="B1034" s="19" t="str">
        <f>IFERROR(VLOOKUP(A1034,CLIENTES!A:E,2,0),"CADASTRAR CLIENTE")</f>
        <v>LABORATORIO VIDA  S/S LTDA</v>
      </c>
      <c r="C1034" s="60" t="s">
        <v>3</v>
      </c>
      <c r="D1034" s="60">
        <v>78218</v>
      </c>
      <c r="E1034" s="21">
        <v>33.9</v>
      </c>
      <c r="F1034" s="19"/>
      <c r="G1034" s="21"/>
      <c r="H1034" s="19"/>
      <c r="I1034" s="20">
        <v>45559</v>
      </c>
    </row>
    <row r="1035" spans="1:9">
      <c r="A1035" s="18">
        <v>197</v>
      </c>
      <c r="B1035" s="19" t="str">
        <f>IFERROR(VLOOKUP(A1035,CLIENTES!A:E,2,0),"CADASTRAR CLIENTE")</f>
        <v>LAB.ANAL.CLIN.DE ITAPETININGA</v>
      </c>
      <c r="C1035" s="60" t="s">
        <v>3</v>
      </c>
      <c r="D1035" s="60">
        <v>77981</v>
      </c>
      <c r="E1035" s="21">
        <v>1345.2</v>
      </c>
      <c r="F1035" s="19"/>
      <c r="G1035" s="21"/>
      <c r="H1035" s="19"/>
      <c r="I1035" s="20">
        <v>45559</v>
      </c>
    </row>
    <row r="1036" spans="1:9">
      <c r="A1036" s="18">
        <v>197</v>
      </c>
      <c r="B1036" s="19" t="str">
        <f>IFERROR(VLOOKUP(A1036,CLIENTES!A:E,2,0),"CADASTRAR CLIENTE")</f>
        <v>LAB.ANAL.CLIN.DE ITAPETININGA</v>
      </c>
      <c r="C1036" s="60" t="s">
        <v>3</v>
      </c>
      <c r="D1036" s="60">
        <v>99512</v>
      </c>
      <c r="E1036" s="21">
        <v>123.48</v>
      </c>
      <c r="F1036" s="19"/>
      <c r="G1036" s="21"/>
      <c r="H1036" s="19"/>
      <c r="I1036" s="20">
        <v>45559</v>
      </c>
    </row>
    <row r="1037" spans="1:9">
      <c r="A1037" s="18">
        <v>432</v>
      </c>
      <c r="B1037" s="19" t="str">
        <f>IFERROR(VLOOKUP(A1037,CLIENTES!A:E,2,0),"CADASTRAR CLIENTE")</f>
        <v>LABORATORIO PASTEUR HEMATOLOGIA E MICROBIOLOGIA S/S LTDA</v>
      </c>
      <c r="C1037" s="60" t="s">
        <v>3</v>
      </c>
      <c r="D1037" s="60">
        <v>78236</v>
      </c>
      <c r="E1037" s="21">
        <v>708.8</v>
      </c>
      <c r="F1037" s="19"/>
      <c r="G1037" s="21"/>
      <c r="H1037" s="19"/>
      <c r="I1037" s="20">
        <v>45560</v>
      </c>
    </row>
    <row r="1038" spans="1:9">
      <c r="A1038" s="18">
        <v>50554</v>
      </c>
      <c r="B1038" s="19" t="str">
        <f>IFERROR(VLOOKUP(A1038,CLIENTES!A:E,2,0),"CADASTRAR CLIENTE")</f>
        <v>SAO ROQUE MEDICINA DIAGNOSTICA</v>
      </c>
      <c r="C1038" s="60" t="s">
        <v>3</v>
      </c>
      <c r="D1038" s="60">
        <v>78251</v>
      </c>
      <c r="E1038" s="21">
        <v>415.8</v>
      </c>
      <c r="F1038" s="19"/>
      <c r="G1038" s="21"/>
      <c r="H1038" s="19"/>
      <c r="I1038" s="20">
        <v>45560</v>
      </c>
    </row>
    <row r="1039" spans="1:9">
      <c r="A1039" s="18">
        <v>50497</v>
      </c>
      <c r="B1039" s="19" t="str">
        <f>IFERROR(VLOOKUP(A1039,CLIENTES!A:E,2,0),"CADASTRAR CLIENTE")</f>
        <v>DIAGNOSTIKA-UNIDADE DIAGNOSTICA EM PATOLOGIA CIRURGICA E CITOLOGIA LTDA</v>
      </c>
      <c r="C1039" s="60" t="s">
        <v>3</v>
      </c>
      <c r="D1039" s="60">
        <v>99499</v>
      </c>
      <c r="E1039" s="21">
        <v>72</v>
      </c>
      <c r="F1039" s="19"/>
      <c r="G1039" s="21"/>
      <c r="H1039" s="19"/>
      <c r="I1039" s="20">
        <v>45560</v>
      </c>
    </row>
    <row r="1040" spans="1:9">
      <c r="A1040" s="18">
        <v>2022</v>
      </c>
      <c r="B1040" s="19" t="str">
        <f>IFERROR(VLOOKUP(A1040,CLIENTES!A:E,2,0),"CADASTRAR CLIENTE")</f>
        <v>LAB. MEDICO DR. MARICONDI S/C LTDA.</v>
      </c>
      <c r="C1040" s="60" t="s">
        <v>3</v>
      </c>
      <c r="D1040" s="60">
        <v>78264</v>
      </c>
      <c r="E1040" s="21">
        <v>1315.98</v>
      </c>
      <c r="F1040" s="19"/>
      <c r="G1040" s="21"/>
      <c r="H1040" s="19"/>
      <c r="I1040" s="20">
        <v>45560</v>
      </c>
    </row>
    <row r="1041" spans="1:9">
      <c r="A1041" s="18">
        <v>412</v>
      </c>
      <c r="B1041" s="19" t="str">
        <f>IFERROR(VLOOKUP(A1041,CLIENTES!A:E,2,0),"CADASTRAR CLIENTE")</f>
        <v>LAB.ANAL.CLIN.SAO MANUEL SC LTDA.</v>
      </c>
      <c r="C1041" s="60" t="s">
        <v>3</v>
      </c>
      <c r="D1041" s="60">
        <v>78229</v>
      </c>
      <c r="E1041" s="21">
        <v>720</v>
      </c>
      <c r="F1041" s="19"/>
      <c r="G1041" s="21"/>
      <c r="H1041" s="19"/>
      <c r="I1041" s="20">
        <v>45561</v>
      </c>
    </row>
    <row r="1042" spans="1:9">
      <c r="A1042" s="18">
        <v>412</v>
      </c>
      <c r="B1042" s="19" t="str">
        <f>IFERROR(VLOOKUP(A1042,CLIENTES!A:E,2,0),"CADASTRAR CLIENTE")</f>
        <v>LAB.ANAL.CLIN.SAO MANUEL SC LTDA.</v>
      </c>
      <c r="C1042" s="60" t="s">
        <v>3</v>
      </c>
      <c r="D1042" s="60">
        <v>99521</v>
      </c>
      <c r="E1042" s="21">
        <v>95.3</v>
      </c>
      <c r="F1042" s="19"/>
      <c r="G1042" s="21"/>
      <c r="H1042" s="19"/>
      <c r="I1042" s="20">
        <v>45561</v>
      </c>
    </row>
    <row r="1043" spans="1:9">
      <c r="A1043" s="18">
        <v>1905</v>
      </c>
      <c r="B1043" s="19" t="str">
        <f>IFERROR(VLOOKUP(A1043,CLIENTES!A:E,2,0),"CADASTRAR CLIENTE")</f>
        <v>A.C. CORREA DE OLIVEIRA LABORATORIO CLÍNICO</v>
      </c>
      <c r="C1043" s="60" t="s">
        <v>3</v>
      </c>
      <c r="D1043" s="60">
        <v>77428</v>
      </c>
      <c r="E1043" s="21">
        <v>175</v>
      </c>
      <c r="F1043" s="19"/>
      <c r="G1043" s="21"/>
      <c r="H1043" s="19"/>
      <c r="I1043" s="20">
        <v>45562</v>
      </c>
    </row>
    <row r="1044" spans="1:9">
      <c r="A1044" s="18">
        <v>50465</v>
      </c>
      <c r="B1044" s="19" t="str">
        <f>IFERROR(VLOOKUP(A1044,CLIENTES!A:E,2,0),"CADASTRAR CLIENTE")</f>
        <v>LABORATORIO DE ANALISES CLINICAS VIDA BIRIGUI LTDA</v>
      </c>
      <c r="C1044" s="60" t="s">
        <v>3</v>
      </c>
      <c r="D1044" s="60">
        <v>78312</v>
      </c>
      <c r="E1044" s="21">
        <v>941.8</v>
      </c>
      <c r="F1044" s="19"/>
      <c r="G1044" s="21"/>
      <c r="H1044" s="19"/>
      <c r="I1044" s="20">
        <v>45562</v>
      </c>
    </row>
    <row r="1045" spans="1:9">
      <c r="A1045" s="18">
        <v>1905</v>
      </c>
      <c r="B1045" s="19" t="str">
        <f>IFERROR(VLOOKUP(A1045,CLIENTES!A:E,2,0),"CADASTRAR CLIENTE")</f>
        <v>A.C. CORREA DE OLIVEIRA LABORATORIO CLÍNICO</v>
      </c>
      <c r="C1045" s="60" t="s">
        <v>3</v>
      </c>
      <c r="D1045" s="60">
        <v>77535</v>
      </c>
      <c r="E1045" s="21">
        <v>443.2</v>
      </c>
      <c r="F1045" s="19"/>
      <c r="G1045" s="21"/>
      <c r="H1045" s="19"/>
      <c r="I1045" s="20">
        <v>45565</v>
      </c>
    </row>
    <row r="1046" spans="1:9">
      <c r="A1046" s="18">
        <v>3240</v>
      </c>
      <c r="B1046" s="19" t="str">
        <f>IFERROR(VLOOKUP(A1046,CLIENTES!A:E,2,0),"CADASTRAR CLIENTE")</f>
        <v>LABORLOPES LABORATORIO DE  ANALISES CLINICAS LTDA</v>
      </c>
      <c r="C1046" s="60" t="s">
        <v>3</v>
      </c>
      <c r="D1046" s="60">
        <v>78346</v>
      </c>
      <c r="E1046" s="21">
        <v>1104.9000000000001</v>
      </c>
      <c r="F1046" s="19"/>
      <c r="G1046" s="21"/>
      <c r="H1046" s="19"/>
      <c r="I1046" s="20">
        <v>45565</v>
      </c>
    </row>
    <row r="1047" spans="1:9">
      <c r="A1047" s="18">
        <v>3240</v>
      </c>
      <c r="B1047" s="19" t="str">
        <f>IFERROR(VLOOKUP(A1047,CLIENTES!A:E,2,0),"CADASTRAR CLIENTE")</f>
        <v>LABORLOPES LABORATORIO DE  ANALISES CLINICAS LTDA</v>
      </c>
      <c r="C1047" s="60" t="s">
        <v>3</v>
      </c>
      <c r="D1047" s="60">
        <v>99536</v>
      </c>
      <c r="E1047" s="21">
        <v>142.19999999999999</v>
      </c>
      <c r="F1047" s="19"/>
      <c r="G1047" s="21"/>
      <c r="H1047" s="19"/>
      <c r="I1047" s="20">
        <v>45565</v>
      </c>
    </row>
    <row r="1048" spans="1:9">
      <c r="A1048" s="18">
        <v>50310</v>
      </c>
      <c r="B1048" s="19" t="str">
        <f>IFERROR(VLOOKUP(A1048,CLIENTES!A:E,2,0),"CADASTRAR CLIENTE")</f>
        <v>ANSELMO EDUARDO BIANCO</v>
      </c>
      <c r="C1048" s="60" t="s">
        <v>3</v>
      </c>
      <c r="D1048" s="60">
        <v>99537</v>
      </c>
      <c r="E1048" s="21">
        <v>328</v>
      </c>
      <c r="F1048" s="19"/>
      <c r="G1048" s="21"/>
      <c r="H1048" s="19"/>
      <c r="I1048" s="20">
        <v>45565</v>
      </c>
    </row>
    <row r="1049" spans="1:9">
      <c r="A1049" s="18">
        <v>50312</v>
      </c>
      <c r="B1049" s="19" t="str">
        <f>IFERROR(VLOOKUP(A1049,CLIENTES!A:E,2,0),"CADASTRAR CLIENTE")</f>
        <v>LAB-MED LAB.ANALISES CLINICAS</v>
      </c>
      <c r="C1049" s="60" t="s">
        <v>3</v>
      </c>
      <c r="D1049" s="60">
        <v>78348</v>
      </c>
      <c r="E1049" s="21">
        <v>77.2</v>
      </c>
      <c r="F1049" s="19"/>
      <c r="G1049" s="21"/>
      <c r="H1049" s="19"/>
      <c r="I1049" s="20">
        <v>45565</v>
      </c>
    </row>
    <row r="1050" spans="1:9">
      <c r="A1050" s="18">
        <v>311</v>
      </c>
      <c r="B1050" s="19" t="str">
        <f>IFERROR(VLOOKUP(A1050,CLIENTES!A:E,2,0),"CADASTRAR CLIENTE")</f>
        <v>CENTRO DE ANAL.CLIN. UNILAB  SC LTDA.</v>
      </c>
      <c r="C1050" s="60" t="s">
        <v>328</v>
      </c>
      <c r="D1050" s="60">
        <v>75354</v>
      </c>
      <c r="E1050" s="21">
        <v>4703.41</v>
      </c>
      <c r="F1050" s="19"/>
      <c r="G1050" s="21"/>
      <c r="H1050" s="19"/>
      <c r="I1050" s="20">
        <v>45565</v>
      </c>
    </row>
    <row r="1051" spans="1:9">
      <c r="A1051" s="18">
        <v>311</v>
      </c>
      <c r="B1051" s="19" t="str">
        <f>IFERROR(VLOOKUP(A1051,CLIENTES!A:E,2,0),"CADASTRAR CLIENTE")</f>
        <v>CENTRO DE ANAL.CLIN. UNILAB  SC LTDA.</v>
      </c>
      <c r="C1051" s="60" t="s">
        <v>328</v>
      </c>
      <c r="D1051" s="60">
        <v>99539</v>
      </c>
      <c r="E1051" s="21">
        <v>62.91</v>
      </c>
      <c r="F1051" s="19"/>
      <c r="G1051" s="21"/>
      <c r="H1051" s="19"/>
      <c r="I1051" s="20">
        <v>45565</v>
      </c>
    </row>
    <row r="1052" spans="1:9">
      <c r="A1052" s="18">
        <v>761</v>
      </c>
      <c r="B1052" s="19" t="str">
        <f>IFERROR(VLOOKUP(A1052,CLIENTES!A:E,2,0),"CADASTRAR CLIENTE")</f>
        <v>EXAME CENTRO DIAG.M.ARACATUBA SC LTDA.</v>
      </c>
      <c r="C1052" s="60" t="s">
        <v>3</v>
      </c>
      <c r="D1052" s="60">
        <v>78393</v>
      </c>
      <c r="E1052" s="21">
        <v>359.9</v>
      </c>
      <c r="F1052" s="19"/>
      <c r="G1052" s="21"/>
      <c r="H1052" s="19"/>
      <c r="I1052" s="20">
        <v>45566</v>
      </c>
    </row>
    <row r="1053" spans="1:9">
      <c r="A1053" s="18">
        <v>761</v>
      </c>
      <c r="B1053" s="19" t="str">
        <f>IFERROR(VLOOKUP(A1053,CLIENTES!A:E,2,0),"CADASTRAR CLIENTE")</f>
        <v>EXAME CENTRO DIAG.M.ARACATUBA SC LTDA.</v>
      </c>
      <c r="C1053" s="60" t="s">
        <v>3</v>
      </c>
      <c r="D1053" s="60">
        <v>99544</v>
      </c>
      <c r="E1053" s="21">
        <v>348.95</v>
      </c>
      <c r="F1053" s="19"/>
      <c r="G1053" s="21"/>
      <c r="H1053" s="19"/>
      <c r="I1053" s="20">
        <v>45566</v>
      </c>
    </row>
    <row r="1054" spans="1:9">
      <c r="A1054" s="18">
        <v>480</v>
      </c>
      <c r="B1054" s="19" t="str">
        <f>IFERROR(VLOOKUP(A1054,CLIENTES!A:E,2,0),"CADASTRAR CLIENTE")</f>
        <v>LAB SAO LUCAS</v>
      </c>
      <c r="C1054" s="60" t="s">
        <v>3</v>
      </c>
      <c r="D1054" s="60">
        <v>78395</v>
      </c>
      <c r="E1054" s="21">
        <v>857.6</v>
      </c>
      <c r="F1054" s="19"/>
      <c r="G1054" s="21"/>
      <c r="H1054" s="19"/>
      <c r="I1054" s="20">
        <v>45566</v>
      </c>
    </row>
    <row r="1055" spans="1:9">
      <c r="A1055" s="18">
        <v>1971</v>
      </c>
      <c r="B1055" s="19" t="str">
        <f>IFERROR(VLOOKUP(A1055,CLIENTES!A:E,2,0),"CADASTRAR CLIENTE")</f>
        <v>LABORATORIO POPULAR LAB 7 LTDA</v>
      </c>
      <c r="C1055" s="60" t="s">
        <v>3</v>
      </c>
      <c r="D1055" s="60">
        <v>78409</v>
      </c>
      <c r="E1055" s="21">
        <v>678.22</v>
      </c>
      <c r="F1055" s="19"/>
      <c r="G1055" s="21"/>
      <c r="H1055" s="19"/>
      <c r="I1055" s="20">
        <v>45566</v>
      </c>
    </row>
    <row r="1056" spans="1:9">
      <c r="A1056" s="18">
        <v>1971</v>
      </c>
      <c r="B1056" s="19" t="str">
        <f>IFERROR(VLOOKUP(A1056,CLIENTES!A:E,2,0),"CADASTRAR CLIENTE")</f>
        <v>LABORATORIO POPULAR LAB 7 LTDA</v>
      </c>
      <c r="C1056" s="60" t="s">
        <v>3</v>
      </c>
      <c r="D1056" s="60">
        <v>99549</v>
      </c>
      <c r="E1056" s="21">
        <v>348</v>
      </c>
      <c r="F1056" s="19"/>
      <c r="G1056" s="21"/>
      <c r="H1056" s="19"/>
      <c r="I1056" s="20">
        <v>45566</v>
      </c>
    </row>
    <row r="1057" spans="1:9">
      <c r="A1057" s="18">
        <v>784</v>
      </c>
      <c r="B1057" s="19" t="str">
        <f>IFERROR(VLOOKUP(A1057,CLIENTES!A:E,2,0),"CADASTRAR CLIENTE")</f>
        <v>LAB.ANAL.CLIN. ALBERT SABIN SC LTDA.</v>
      </c>
      <c r="C1057" s="60" t="s">
        <v>2</v>
      </c>
      <c r="D1057" s="60">
        <v>749413</v>
      </c>
      <c r="E1057" s="21">
        <v>3453.7</v>
      </c>
      <c r="F1057" s="19"/>
      <c r="G1057" s="21"/>
      <c r="H1057" s="19"/>
      <c r="I1057" s="20">
        <v>45566</v>
      </c>
    </row>
    <row r="1058" spans="1:9">
      <c r="A1058" s="18">
        <v>731</v>
      </c>
      <c r="B1058" s="19" t="str">
        <f>IFERROR(VLOOKUP(A1058,CLIENTES!A:E,2,0),"CADASTRAR CLIENTE")</f>
        <v>UNILAB LABORATORIO ANALISES CLINICAS SANTA FE DO SUL LTDA</v>
      </c>
      <c r="C1058" s="60" t="s">
        <v>3</v>
      </c>
      <c r="D1058" s="60">
        <v>78432</v>
      </c>
      <c r="E1058" s="21">
        <v>461</v>
      </c>
      <c r="F1058" s="19"/>
      <c r="G1058" s="21"/>
      <c r="H1058" s="19"/>
      <c r="I1058" s="20">
        <v>45566</v>
      </c>
    </row>
    <row r="1059" spans="1:9">
      <c r="A1059" s="18">
        <v>364</v>
      </c>
      <c r="B1059" s="19" t="str">
        <f>IFERROR(VLOOKUP(A1059,CLIENTES!A:E,2,0),"CADASTRAR CLIENTE")</f>
        <v>VITALIS LAB.ANAL.CLIN.S/C LTDA</v>
      </c>
      <c r="C1059" s="60" t="s">
        <v>3</v>
      </c>
      <c r="D1059" s="60">
        <v>78442</v>
      </c>
      <c r="E1059" s="21">
        <v>325</v>
      </c>
      <c r="F1059" s="19"/>
      <c r="G1059" s="21"/>
      <c r="H1059" s="19"/>
      <c r="I1059" s="20">
        <v>45567</v>
      </c>
    </row>
    <row r="1060" spans="1:9">
      <c r="A1060" s="18">
        <v>475</v>
      </c>
      <c r="B1060" s="19" t="str">
        <f>IFERROR(VLOOKUP(A1060,CLIENTES!A:E,2,0),"CADASTRAR CLIENTE")</f>
        <v>LABORATORIO DE ANALISES CLINICAS SRC LTDA</v>
      </c>
      <c r="C1060" s="60" t="s">
        <v>3</v>
      </c>
      <c r="D1060" s="60">
        <v>78231</v>
      </c>
      <c r="E1060" s="21">
        <v>7552.36</v>
      </c>
      <c r="F1060" s="19"/>
      <c r="G1060" s="21"/>
      <c r="H1060" s="19"/>
      <c r="I1060" s="20">
        <v>45567</v>
      </c>
    </row>
    <row r="1061" spans="1:9">
      <c r="A1061" s="18">
        <v>1318</v>
      </c>
      <c r="B1061" s="19" t="str">
        <f>IFERROR(VLOOKUP(A1061,CLIENTES!A:E,2,0),"CADASTRAR CLIENTE")</f>
        <v>LABORATORIO DE ANALISES CLINICAS VITAL  BRAZIL LTDA EPP</v>
      </c>
      <c r="C1061" s="60" t="s">
        <v>3</v>
      </c>
      <c r="D1061" s="60">
        <v>78430</v>
      </c>
      <c r="E1061" s="21">
        <v>829.8</v>
      </c>
      <c r="F1061" s="19"/>
      <c r="G1061" s="21"/>
      <c r="H1061" s="19"/>
      <c r="I1061" s="20">
        <v>45567</v>
      </c>
    </row>
    <row r="1062" spans="1:9">
      <c r="A1062" s="18">
        <v>50219</v>
      </c>
      <c r="B1062" s="19" t="str">
        <f>IFERROR(VLOOKUP(A1062,CLIENTES!A:E,2,0),"CADASTRAR CLIENTE")</f>
        <v>UNIPREV LAB DE ANALISES LOCACAO DE BENS E REPAROS LTDA EPP</v>
      </c>
      <c r="C1062" s="60" t="s">
        <v>3</v>
      </c>
      <c r="D1062" s="60" t="s">
        <v>335</v>
      </c>
      <c r="E1062" s="21">
        <v>821.25</v>
      </c>
      <c r="F1062" s="19"/>
      <c r="G1062" s="21"/>
      <c r="H1062" s="19"/>
      <c r="I1062" s="20">
        <v>45567</v>
      </c>
    </row>
    <row r="1063" spans="1:9">
      <c r="A1063" s="18">
        <v>2572</v>
      </c>
      <c r="B1063" s="19" t="str">
        <f>IFERROR(VLOOKUP(A1063,CLIENTES!A:E,2,0),"CADASTRAR CLIENTE")</f>
        <v>LAB. ANAL. CLIN. COFFERS S/C LTDA</v>
      </c>
      <c r="C1063" s="60" t="s">
        <v>3</v>
      </c>
      <c r="D1063" s="60">
        <v>78469</v>
      </c>
      <c r="E1063" s="21">
        <v>4028</v>
      </c>
      <c r="F1063" s="19"/>
      <c r="G1063" s="21"/>
      <c r="H1063" s="19"/>
      <c r="I1063" s="20">
        <v>45567</v>
      </c>
    </row>
    <row r="1064" spans="1:9">
      <c r="A1064" s="18">
        <v>620</v>
      </c>
      <c r="B1064" s="19" t="str">
        <f>IFERROR(VLOOKUP(A1064,CLIENTES!A:E,2,0),"CADASTRAR CLIENTE")</f>
        <v>LAB.SAO PAULO DE ANAL.CLIN.SC LTDA.</v>
      </c>
      <c r="C1064" s="60" t="s">
        <v>3</v>
      </c>
      <c r="D1064" s="60">
        <v>78473</v>
      </c>
      <c r="E1064" s="21">
        <v>1443.75</v>
      </c>
      <c r="F1064" s="19"/>
      <c r="G1064" s="21"/>
      <c r="H1064" s="19"/>
      <c r="I1064" s="20">
        <v>45567</v>
      </c>
    </row>
    <row r="1065" spans="1:9">
      <c r="A1065" s="18">
        <v>3153</v>
      </c>
      <c r="B1065" s="19" t="str">
        <f>IFERROR(VLOOKUP(A1065,CLIENTES!A:E,2,0),"CADASTRAR CLIENTE")</f>
        <v>UNIMED DE TUPA COOPERATIVA DE TRABALHO MEDICO</v>
      </c>
      <c r="C1065" s="60" t="s">
        <v>3</v>
      </c>
      <c r="D1065" s="60">
        <v>78475</v>
      </c>
      <c r="E1065" s="21">
        <v>1689.99</v>
      </c>
      <c r="F1065" s="19"/>
      <c r="G1065" s="21"/>
      <c r="H1065" s="19"/>
      <c r="I1065" s="20">
        <v>45567</v>
      </c>
    </row>
    <row r="1066" spans="1:9">
      <c r="A1066" s="18">
        <v>1726</v>
      </c>
      <c r="B1066" s="19" t="str">
        <f>IFERROR(VLOOKUP(A1066,CLIENTES!A:E,2,0),"CADASTRAR CLIENTE")</f>
        <v>IRMANDADE DA SANTA CASA DE MISERIC. DE MOGI MIRIM</v>
      </c>
      <c r="C1066" s="60" t="s">
        <v>3</v>
      </c>
      <c r="D1066" s="60">
        <v>78496</v>
      </c>
      <c r="E1066" s="21">
        <v>674.88</v>
      </c>
      <c r="F1066" s="19"/>
      <c r="G1066" s="21"/>
      <c r="H1066" s="19"/>
      <c r="I1066" s="20">
        <v>45568</v>
      </c>
    </row>
    <row r="1067" spans="1:9">
      <c r="A1067" s="18">
        <v>2415</v>
      </c>
      <c r="B1067" s="19" t="str">
        <f>IFERROR(VLOOKUP(A1067,CLIENTES!A:E,2,0),"CADASTRAR CLIENTE")</f>
        <v>ROSSETTO E BARROS LABORATORIO DE ANALISES CLINICAS LTDA</v>
      </c>
      <c r="C1067" s="60" t="s">
        <v>3</v>
      </c>
      <c r="D1067" s="60">
        <v>78508</v>
      </c>
      <c r="E1067" s="21">
        <v>2212</v>
      </c>
      <c r="F1067" s="19"/>
      <c r="G1067" s="21"/>
      <c r="H1067" s="19"/>
      <c r="I1067" s="20">
        <v>45568</v>
      </c>
    </row>
    <row r="1068" spans="1:9">
      <c r="A1068" s="18">
        <v>364</v>
      </c>
      <c r="B1068" s="19" t="str">
        <f>IFERROR(VLOOKUP(A1068,CLIENTES!A:E,2,0),"CADASTRAR CLIENTE")</f>
        <v>VITALIS LAB.ANAL.CLIN.S/C LTDA</v>
      </c>
      <c r="C1068" s="60" t="s">
        <v>3</v>
      </c>
      <c r="D1068" s="60">
        <v>78445</v>
      </c>
      <c r="E1068" s="21">
        <v>325</v>
      </c>
      <c r="F1068" s="19"/>
      <c r="G1068" s="21"/>
      <c r="H1068" s="19"/>
      <c r="I1068" s="20">
        <v>45568</v>
      </c>
    </row>
    <row r="1069" spans="1:9">
      <c r="A1069" s="18">
        <v>364</v>
      </c>
      <c r="B1069" s="19" t="str">
        <f>IFERROR(VLOOKUP(A1069,CLIENTES!A:E,2,0),"CADASTRAR CLIENTE")</f>
        <v>VITALIS LAB.ANAL.CLIN.S/C LTDA</v>
      </c>
      <c r="C1069" s="60" t="s">
        <v>3</v>
      </c>
      <c r="D1069" s="60">
        <v>99572</v>
      </c>
      <c r="E1069" s="21">
        <v>28.2</v>
      </c>
      <c r="F1069" s="19"/>
      <c r="G1069" s="21"/>
      <c r="H1069" s="19"/>
      <c r="I1069" s="20">
        <v>45568</v>
      </c>
    </row>
    <row r="1070" spans="1:9">
      <c r="A1070" s="18">
        <v>2911</v>
      </c>
      <c r="B1070" s="19" t="str">
        <f>IFERROR(VLOOKUP(A1070,CLIENTES!A:E,2,0),"CADASTRAR CLIENTE")</f>
        <v>BIOLIFE-LABORATORIO DE ANALISES CLINICAS LTDA</v>
      </c>
      <c r="C1070" s="60" t="s">
        <v>3</v>
      </c>
      <c r="D1070" s="60">
        <v>78304</v>
      </c>
      <c r="E1070" s="21">
        <v>1280.8</v>
      </c>
      <c r="F1070" s="19"/>
      <c r="G1070" s="21"/>
      <c r="H1070" s="19"/>
      <c r="I1070" s="20">
        <v>45568</v>
      </c>
    </row>
    <row r="1071" spans="1:9">
      <c r="A1071" s="18">
        <v>2911</v>
      </c>
      <c r="B1071" s="19" t="str">
        <f>IFERROR(VLOOKUP(A1071,CLIENTES!A:E,2,0),"CADASTRAR CLIENTE")</f>
        <v>BIOLIFE-LABORATORIO DE ANALISES CLINICAS LTDA</v>
      </c>
      <c r="C1071" s="60" t="s">
        <v>3</v>
      </c>
      <c r="D1071" s="60">
        <v>99566</v>
      </c>
      <c r="E1071" s="21">
        <v>202.4</v>
      </c>
      <c r="F1071" s="19"/>
      <c r="G1071" s="21"/>
      <c r="H1071" s="19"/>
      <c r="I1071" s="20">
        <v>45568</v>
      </c>
    </row>
    <row r="1072" spans="1:9">
      <c r="A1072" s="18">
        <v>690</v>
      </c>
      <c r="B1072" s="19" t="str">
        <f>IFERROR(VLOOKUP(A1072,CLIENTES!A:E,2,0),"CADASTRAR CLIENTE")</f>
        <v>SAO ROQUE MEDICINA DIAGNOSTICA LTDA EPP</v>
      </c>
      <c r="C1072" s="60" t="s">
        <v>3</v>
      </c>
      <c r="D1072" s="60">
        <v>78493</v>
      </c>
      <c r="E1072" s="21">
        <v>608.5</v>
      </c>
      <c r="F1072" s="19"/>
      <c r="G1072" s="21"/>
      <c r="H1072" s="19"/>
      <c r="I1072" s="20">
        <v>45568</v>
      </c>
    </row>
    <row r="1073" spans="1:9">
      <c r="A1073" s="18">
        <v>690</v>
      </c>
      <c r="B1073" s="19" t="str">
        <f>IFERROR(VLOOKUP(A1073,CLIENTES!A:E,2,0),"CADASTRAR CLIENTE")</f>
        <v>SAO ROQUE MEDICINA DIAGNOSTICA LTDA EPP</v>
      </c>
      <c r="C1073" s="60" t="s">
        <v>3</v>
      </c>
      <c r="D1073" s="60">
        <v>99561</v>
      </c>
      <c r="E1073" s="21">
        <v>283.60000000000002</v>
      </c>
      <c r="F1073" s="19"/>
      <c r="G1073" s="21"/>
      <c r="H1073" s="19"/>
      <c r="I1073" s="20">
        <v>45568</v>
      </c>
    </row>
    <row r="1074" spans="1:9">
      <c r="A1074" s="18">
        <v>572</v>
      </c>
      <c r="B1074" s="19" t="str">
        <f>IFERROR(VLOOKUP(A1074,CLIENTES!A:E,2,0),"CADASTRAR CLIENTE")</f>
        <v>LABORATORIO MULTIANALISES LTDA-ME</v>
      </c>
      <c r="C1074" s="60" t="s">
        <v>3</v>
      </c>
      <c r="D1074" s="60" t="s">
        <v>336</v>
      </c>
      <c r="E1074" s="21">
        <v>610.66</v>
      </c>
      <c r="F1074" s="19"/>
      <c r="G1074" s="21"/>
      <c r="H1074" s="19"/>
      <c r="I1074" s="20">
        <v>45568</v>
      </c>
    </row>
    <row r="1075" spans="1:9">
      <c r="A1075" s="18">
        <v>1533</v>
      </c>
      <c r="B1075" s="19" t="str">
        <f>IFERROR(VLOOKUP(A1075,CLIENTES!A:E,2,0),"CADASTRAR CLIENTE")</f>
        <v>LABORATORIO BIOANALISE DIAGNOSTICO LTDA</v>
      </c>
      <c r="C1075" s="60" t="s">
        <v>3</v>
      </c>
      <c r="D1075" s="60">
        <v>785977</v>
      </c>
      <c r="E1075" s="21">
        <v>3745.2</v>
      </c>
      <c r="F1075" s="19"/>
      <c r="G1075" s="21"/>
      <c r="H1075" s="19"/>
      <c r="I1075" s="20">
        <v>45572</v>
      </c>
    </row>
    <row r="1076" spans="1:9">
      <c r="A1076" s="18">
        <v>51175</v>
      </c>
      <c r="B1076" s="19" t="str">
        <f>IFERROR(VLOOKUP(A1076,CLIENTES!A:E,2,0),"CADASTRAR CLIENTE")</f>
        <v>CLINICA MEDICA E ODONTOLOGICA AMOR SAUDE TUPA LTDA</v>
      </c>
      <c r="C1076" s="60" t="s">
        <v>3</v>
      </c>
      <c r="D1076" s="60">
        <v>78576</v>
      </c>
      <c r="E1076" s="21">
        <v>314.64</v>
      </c>
      <c r="F1076" s="19"/>
      <c r="G1076" s="21"/>
      <c r="H1076" s="19"/>
      <c r="I1076" s="20">
        <v>45572</v>
      </c>
    </row>
    <row r="1077" spans="1:9">
      <c r="A1077" s="18">
        <v>762</v>
      </c>
      <c r="B1077" s="19" t="str">
        <f>IFERROR(VLOOKUP(A1077,CLIENTES!A:E,2,0),"CADASTRAR CLIENTE")</f>
        <v>STA. CASA MISERICORDIA DE ARACATUBA</v>
      </c>
      <c r="C1077" s="60" t="s">
        <v>2</v>
      </c>
      <c r="D1077" s="60">
        <v>78600</v>
      </c>
      <c r="E1077" s="21">
        <v>6557.9</v>
      </c>
      <c r="F1077" s="19"/>
      <c r="G1077" s="21"/>
      <c r="H1077" s="19"/>
      <c r="I1077" s="20">
        <v>45572</v>
      </c>
    </row>
    <row r="1078" spans="1:9">
      <c r="A1078" s="18">
        <v>50554</v>
      </c>
      <c r="B1078" s="19" t="str">
        <f>IFERROR(VLOOKUP(A1078,CLIENTES!A:E,2,0),"CADASTRAR CLIENTE")</f>
        <v>SAO ROQUE MEDICINA DIAGNOSTICA</v>
      </c>
      <c r="C1078" s="60" t="s">
        <v>3</v>
      </c>
      <c r="D1078" s="60">
        <v>78567</v>
      </c>
      <c r="E1078" s="21">
        <v>5193.29</v>
      </c>
      <c r="F1078" s="19"/>
      <c r="G1078" s="21"/>
      <c r="H1078" s="19"/>
      <c r="I1078" s="20">
        <v>45572</v>
      </c>
    </row>
    <row r="1079" spans="1:9">
      <c r="A1079" s="18">
        <v>50497</v>
      </c>
      <c r="B1079" s="19" t="str">
        <f>IFERROR(VLOOKUP(A1079,CLIENTES!A:E,2,0),"CADASTRAR CLIENTE")</f>
        <v>DIAGNOSTIKA-UNIDADE DIAGNOSTICA EM PATOLOGIA CIRURGICA E CITOLOGIA LTDA</v>
      </c>
      <c r="C1079" s="60" t="s">
        <v>3</v>
      </c>
      <c r="D1079" s="60">
        <v>99582</v>
      </c>
      <c r="E1079" s="21">
        <v>1328.15</v>
      </c>
      <c r="F1079" s="19"/>
      <c r="G1079" s="21"/>
      <c r="H1079" s="19"/>
      <c r="I1079" s="20">
        <v>45572</v>
      </c>
    </row>
    <row r="1080" spans="1:9">
      <c r="A1080" s="18">
        <v>725</v>
      </c>
      <c r="B1080" s="19" t="str">
        <f>IFERROR(VLOOKUP(A1080,CLIENTES!A:E,2,0),"CADASTRAR CLIENTE")</f>
        <v>LAB. ANAL. CLIN. DR. ALUISIO CASELLA</v>
      </c>
      <c r="C1080" s="60" t="s">
        <v>3</v>
      </c>
      <c r="D1080" s="60">
        <v>78620</v>
      </c>
      <c r="E1080" s="21">
        <v>410</v>
      </c>
      <c r="F1080" s="19"/>
      <c r="G1080" s="21"/>
      <c r="H1080" s="19"/>
      <c r="I1080" s="20">
        <v>45572</v>
      </c>
    </row>
    <row r="1081" spans="1:9">
      <c r="A1081" s="18">
        <v>1164</v>
      </c>
      <c r="B1081" s="19" t="str">
        <f>IFERROR(VLOOKUP(A1081,CLIENTES!A:E,2,0),"CADASTRAR CLIENTE")</f>
        <v>LAB. ANAL. CLIN. SAO LOURENCO S/C LTDA</v>
      </c>
      <c r="C1081" s="60" t="s">
        <v>3</v>
      </c>
      <c r="D1081" s="60">
        <v>78589</v>
      </c>
      <c r="E1081" s="21">
        <v>1020.94</v>
      </c>
      <c r="F1081" s="19"/>
      <c r="G1081" s="21"/>
      <c r="H1081" s="19"/>
      <c r="I1081" s="20">
        <v>45572</v>
      </c>
    </row>
    <row r="1082" spans="1:9">
      <c r="A1082" s="18">
        <v>960</v>
      </c>
      <c r="B1082" s="19" t="str">
        <f>IFERROR(VLOOKUP(A1082,CLIENTES!A:E,2,0),"CADASTRAR CLIENTE")</f>
        <v>LUIS VALERIO FILHO-ME</v>
      </c>
      <c r="C1082" s="60" t="s">
        <v>3</v>
      </c>
      <c r="D1082" s="60">
        <v>99598</v>
      </c>
      <c r="E1082" s="21">
        <v>356.7</v>
      </c>
      <c r="F1082" s="19"/>
      <c r="G1082" s="21"/>
      <c r="H1082" s="19"/>
      <c r="I1082" s="20">
        <v>45572</v>
      </c>
    </row>
    <row r="1083" spans="1:9">
      <c r="A1083" s="18">
        <v>960</v>
      </c>
      <c r="B1083" s="19" t="str">
        <f>IFERROR(VLOOKUP(A1083,CLIENTES!A:E,2,0),"CADASTRAR CLIENTE")</f>
        <v>LUIS VALERIO FILHO-ME</v>
      </c>
      <c r="C1083" s="60" t="s">
        <v>3</v>
      </c>
      <c r="D1083" s="60">
        <v>78643</v>
      </c>
      <c r="E1083" s="21">
        <v>1493</v>
      </c>
      <c r="F1083" s="19"/>
      <c r="G1083" s="21"/>
      <c r="H1083" s="19"/>
      <c r="I1083" s="20">
        <v>45573</v>
      </c>
    </row>
    <row r="1084" spans="1:9">
      <c r="A1084" s="18">
        <v>746</v>
      </c>
      <c r="B1084" s="19" t="str">
        <f>IFERROR(VLOOKUP(A1084,CLIENTES!A:E,2,0),"CADASTRAR CLIENTE")</f>
        <v>LAB.ANAL.CLIN.BIOCLIN SC LTDA.</v>
      </c>
      <c r="C1084" s="60" t="s">
        <v>328</v>
      </c>
      <c r="D1084" s="60">
        <v>78528</v>
      </c>
      <c r="E1084" s="21">
        <v>6347.02</v>
      </c>
      <c r="F1084" s="19"/>
      <c r="G1084" s="21"/>
      <c r="H1084" s="19"/>
      <c r="I1084" s="20">
        <v>45573</v>
      </c>
    </row>
    <row r="1085" spans="1:9">
      <c r="A1085" s="18">
        <v>746</v>
      </c>
      <c r="B1085" s="19" t="str">
        <f>IFERROR(VLOOKUP(A1085,CLIENTES!A:E,2,0),"CADASTRAR CLIENTE")</f>
        <v>LAB.ANAL.CLIN.BIOCLIN SC LTDA.</v>
      </c>
      <c r="C1085" s="60" t="s">
        <v>328</v>
      </c>
      <c r="D1085" s="60">
        <v>99600</v>
      </c>
      <c r="E1085" s="21">
        <v>71.099999999999994</v>
      </c>
      <c r="F1085" s="19"/>
      <c r="G1085" s="21"/>
      <c r="H1085" s="19"/>
      <c r="I1085" s="20">
        <v>45573</v>
      </c>
    </row>
    <row r="1086" spans="1:9">
      <c r="A1086" s="18">
        <v>3194</v>
      </c>
      <c r="B1086" s="19" t="str">
        <f>IFERROR(VLOOKUP(A1086,CLIENTES!A:E,2,0),"CADASTRAR CLIENTE")</f>
        <v>CENTRO DE DIAGNOSTICOS CONTROLE LTDA</v>
      </c>
      <c r="C1086" s="60" t="s">
        <v>328</v>
      </c>
      <c r="D1086" s="60">
        <v>78653</v>
      </c>
      <c r="E1086" s="21">
        <v>954.8</v>
      </c>
      <c r="F1086" s="19"/>
      <c r="G1086" s="21"/>
      <c r="H1086" s="19"/>
      <c r="I1086" s="20">
        <v>45573</v>
      </c>
    </row>
    <row r="1087" spans="1:9">
      <c r="A1087" s="18">
        <v>1041</v>
      </c>
      <c r="B1087" s="19" t="str">
        <f>IFERROR(VLOOKUP(A1087,CLIENTES!A:E,2,0),"CADASTRAR CLIENTE")</f>
        <v>EDSON VANDERLEI CARRERA</v>
      </c>
      <c r="C1087" s="60" t="s">
        <v>3</v>
      </c>
      <c r="D1087" s="60">
        <v>78650</v>
      </c>
      <c r="E1087" s="21">
        <v>76.8</v>
      </c>
      <c r="F1087" s="19"/>
      <c r="G1087" s="21"/>
      <c r="H1087" s="19"/>
      <c r="I1087" s="20">
        <v>45573</v>
      </c>
    </row>
    <row r="1088" spans="1:9">
      <c r="A1088" s="18">
        <v>1041</v>
      </c>
      <c r="B1088" s="19" t="str">
        <f>IFERROR(VLOOKUP(A1088,CLIENTES!A:E,2,0),"CADASTRAR CLIENTE")</f>
        <v>EDSON VANDERLEI CARRERA</v>
      </c>
      <c r="C1088" s="60" t="s">
        <v>3</v>
      </c>
      <c r="D1088" s="60">
        <v>99603</v>
      </c>
      <c r="E1088" s="21">
        <v>61.2</v>
      </c>
      <c r="F1088" s="19"/>
      <c r="G1088" s="21"/>
      <c r="H1088" s="19"/>
      <c r="I1088" s="20">
        <v>45573</v>
      </c>
    </row>
    <row r="1089" spans="1:9">
      <c r="A1089" s="18">
        <v>3018</v>
      </c>
      <c r="B1089" s="19" t="str">
        <f>IFERROR(VLOOKUP(A1089,CLIENTES!A:E,2,0),"CADASTRAR CLIENTE")</f>
        <v>NP- LABORATORIO DE ANALISES CLINICAS LTDA</v>
      </c>
      <c r="C1089" s="60" t="s">
        <v>3</v>
      </c>
      <c r="D1089" s="60">
        <v>99607</v>
      </c>
      <c r="E1089" s="21">
        <v>451.8</v>
      </c>
      <c r="F1089" s="19"/>
      <c r="G1089" s="21"/>
      <c r="H1089" s="19"/>
      <c r="I1089" s="20">
        <v>45573</v>
      </c>
    </row>
    <row r="1090" spans="1:9">
      <c r="A1090" s="18">
        <v>3018</v>
      </c>
      <c r="B1090" s="19" t="str">
        <f>IFERROR(VLOOKUP(A1090,CLIENTES!A:E,2,0),"CADASTRAR CLIENTE")</f>
        <v>NP- LABORATORIO DE ANALISES CLINICAS LTDA</v>
      </c>
      <c r="C1090" s="60" t="s">
        <v>3</v>
      </c>
      <c r="D1090" s="60">
        <v>78663</v>
      </c>
      <c r="E1090" s="21">
        <v>549</v>
      </c>
      <c r="F1090" s="19"/>
      <c r="G1090" s="21"/>
      <c r="H1090" s="19"/>
      <c r="I1090" s="20">
        <v>45573</v>
      </c>
    </row>
    <row r="1091" spans="1:9">
      <c r="A1091" s="18">
        <v>3017</v>
      </c>
      <c r="B1091" s="19" t="str">
        <f>IFERROR(VLOOKUP(A1091,CLIENTES!A:E,2,0),"CADASTRAR CLIENTE")</f>
        <v>IMUNOLAB LABORATORIO DE ANALISES CLINICAS LTDA ME</v>
      </c>
      <c r="C1091" s="60" t="s">
        <v>3</v>
      </c>
      <c r="D1091" s="60">
        <v>77801</v>
      </c>
      <c r="E1091" s="21">
        <v>1027.93</v>
      </c>
      <c r="F1091" s="19"/>
      <c r="G1091" s="21"/>
      <c r="H1091" s="19"/>
      <c r="I1091" s="20">
        <v>45573</v>
      </c>
    </row>
    <row r="1092" spans="1:9">
      <c r="A1092" s="18">
        <v>463</v>
      </c>
      <c r="B1092" s="19" t="str">
        <f>IFERROR(VLOOKUP(A1092,CLIENTES!A:E,2,0),"CADASTRAR CLIENTE")</f>
        <v>MASUDA &amp; MASUDA LABORATORIO CLINICO LTDA</v>
      </c>
      <c r="C1092" s="60" t="s">
        <v>3</v>
      </c>
      <c r="D1092" s="60">
        <v>78677</v>
      </c>
      <c r="E1092" s="21">
        <v>1052.6500000000001</v>
      </c>
      <c r="F1092" s="19"/>
      <c r="G1092" s="21"/>
      <c r="H1092" s="19"/>
      <c r="I1092" s="20">
        <v>45573</v>
      </c>
    </row>
    <row r="1093" spans="1:9">
      <c r="A1093" s="18">
        <v>1493</v>
      </c>
      <c r="B1093" s="19" t="str">
        <f>IFERROR(VLOOKUP(A1093,CLIENTES!A:E,2,0),"CADASTRAR CLIENTE")</f>
        <v>CEDIMA  CENTRO DE DIAG MONTE AZUL ANAL CLIN E CIT</v>
      </c>
      <c r="C1093" s="60" t="s">
        <v>3</v>
      </c>
      <c r="D1093" s="60">
        <v>78679</v>
      </c>
      <c r="E1093" s="21">
        <v>1996.99</v>
      </c>
      <c r="F1093" s="19"/>
      <c r="G1093" s="21"/>
      <c r="H1093" s="19"/>
      <c r="I1093" s="20">
        <v>45573</v>
      </c>
    </row>
    <row r="1094" spans="1:9">
      <c r="A1094" s="18">
        <v>690</v>
      </c>
      <c r="B1094" s="19" t="str">
        <f>IFERROR(VLOOKUP(A1094,CLIENTES!A:E,2,0),"CADASTRAR CLIENTE")</f>
        <v>SAO ROQUE MEDICINA DIAGNOSTICA LTDA EPP</v>
      </c>
      <c r="C1094" s="60" t="s">
        <v>3</v>
      </c>
      <c r="D1094" s="60">
        <v>78074</v>
      </c>
      <c r="E1094" s="21">
        <v>189</v>
      </c>
      <c r="F1094" s="19"/>
      <c r="G1094" s="21"/>
      <c r="H1094" s="19"/>
      <c r="I1094" s="20">
        <v>45574</v>
      </c>
    </row>
    <row r="1095" spans="1:9">
      <c r="A1095" s="18">
        <v>1989</v>
      </c>
      <c r="B1095" s="19" t="str">
        <f>IFERROR(VLOOKUP(A1095,CLIENTES!A:E,2,0),"CADASTRAR CLIENTE")</f>
        <v>SAO FRANCISCO ANAL. CLIN.</v>
      </c>
      <c r="C1095" s="60" t="s">
        <v>3</v>
      </c>
      <c r="D1095" s="60">
        <v>78076</v>
      </c>
      <c r="E1095" s="21">
        <v>606.12</v>
      </c>
      <c r="F1095" s="19"/>
      <c r="G1095" s="21"/>
      <c r="H1095" s="19"/>
      <c r="I1095" s="20">
        <v>45574</v>
      </c>
    </row>
    <row r="1096" spans="1:9">
      <c r="A1096" s="18">
        <v>50554</v>
      </c>
      <c r="B1096" s="19" t="str">
        <f>IFERROR(VLOOKUP(A1096,CLIENTES!A:E,2,0),"CADASTRAR CLIENTE")</f>
        <v>SAO ROQUE MEDICINA DIAGNOSTICA</v>
      </c>
      <c r="C1096" s="60" t="s">
        <v>3</v>
      </c>
      <c r="D1096" s="60">
        <v>78075</v>
      </c>
      <c r="E1096" s="21">
        <v>189</v>
      </c>
      <c r="F1096" s="19"/>
      <c r="G1096" s="21"/>
      <c r="H1096" s="19"/>
      <c r="I1096" s="20">
        <v>45574</v>
      </c>
    </row>
    <row r="1097" spans="1:9">
      <c r="A1097" s="18">
        <v>618</v>
      </c>
      <c r="B1097" s="19" t="str">
        <f>IFERROR(VLOOKUP(A1097,CLIENTES!A:E,2,0),"CADASTRAR CLIENTE")</f>
        <v>LAB. ANAL. CLIN. POMPEIA</v>
      </c>
      <c r="C1097" s="60" t="s">
        <v>3</v>
      </c>
      <c r="D1097" s="60">
        <v>78685</v>
      </c>
      <c r="E1097" s="21">
        <v>1364.6</v>
      </c>
      <c r="F1097" s="19"/>
      <c r="G1097" s="21"/>
      <c r="H1097" s="19"/>
      <c r="I1097" s="20">
        <v>45574</v>
      </c>
    </row>
    <row r="1098" spans="1:9">
      <c r="A1098" s="18">
        <v>618</v>
      </c>
      <c r="B1098" s="19" t="str">
        <f>IFERROR(VLOOKUP(A1098,CLIENTES!A:E,2,0),"CADASTRAR CLIENTE")</f>
        <v>LAB. ANAL. CLIN. POMPEIA</v>
      </c>
      <c r="C1098" s="60" t="s">
        <v>3</v>
      </c>
      <c r="D1098" s="60">
        <v>99611</v>
      </c>
      <c r="E1098" s="21">
        <v>256.19</v>
      </c>
      <c r="F1098" s="19"/>
      <c r="G1098" s="21"/>
      <c r="H1098" s="19"/>
      <c r="I1098" s="20">
        <v>45574</v>
      </c>
    </row>
    <row r="1099" spans="1:9">
      <c r="A1099" s="18">
        <v>874</v>
      </c>
      <c r="B1099" s="19" t="str">
        <f>IFERROR(VLOOKUP(A1099,CLIENTES!A:E,2,0),"CADASTRAR CLIENTE")</f>
        <v>LAB.ANAL.CLIN ABI JAUDI SC LTDA.</v>
      </c>
      <c r="C1099" s="60" t="s">
        <v>3</v>
      </c>
      <c r="D1099" s="60" t="s">
        <v>337</v>
      </c>
      <c r="E1099" s="21">
        <v>1170.21</v>
      </c>
      <c r="F1099" s="19"/>
      <c r="G1099" s="21"/>
      <c r="H1099" s="19"/>
      <c r="I1099" s="20">
        <v>45574</v>
      </c>
    </row>
    <row r="1100" spans="1:9">
      <c r="A1100" s="18">
        <v>2415</v>
      </c>
      <c r="B1100" s="19" t="str">
        <f>IFERROR(VLOOKUP(A1100,CLIENTES!A:E,2,0),"CADASTRAR CLIENTE")</f>
        <v>ROSSETTO E BARROS LABORATORIO DE ANALISES CLINICAS LTDA</v>
      </c>
      <c r="C1100" s="60" t="s">
        <v>338</v>
      </c>
      <c r="D1100" s="60">
        <v>78010</v>
      </c>
      <c r="E1100" s="21">
        <v>1511.67</v>
      </c>
      <c r="F1100" s="19"/>
      <c r="G1100" s="21"/>
      <c r="H1100" s="19"/>
      <c r="I1100" s="20">
        <v>45574</v>
      </c>
    </row>
    <row r="1101" spans="1:9">
      <c r="A1101" s="18">
        <v>724</v>
      </c>
      <c r="B1101" s="19" t="str">
        <f>IFERROR(VLOOKUP(A1101,CLIENTES!A:E,2,0),"CADASTRAR CLIENTE")</f>
        <v>LAB. ANAL. CLIN. DRA SILVIA M.MANZATO LARANJO SC LTDA.</v>
      </c>
      <c r="C1101" s="60" t="s">
        <v>3</v>
      </c>
      <c r="D1101" s="60">
        <v>78745</v>
      </c>
      <c r="E1101" s="21">
        <v>884.97</v>
      </c>
      <c r="F1101" s="19"/>
      <c r="G1101" s="21"/>
      <c r="H1101" s="19"/>
      <c r="I1101" s="20">
        <v>45575</v>
      </c>
    </row>
    <row r="1102" spans="1:9">
      <c r="A1102" s="18">
        <v>2022</v>
      </c>
      <c r="B1102" s="19" t="str">
        <f>IFERROR(VLOOKUP(A1102,CLIENTES!A:E,2,0),"CADASTRAR CLIENTE")</f>
        <v>LAB. MEDICO DR. MARICONDI S/C LTDA.</v>
      </c>
      <c r="C1102" s="60" t="s">
        <v>3</v>
      </c>
      <c r="D1102" s="60" t="s">
        <v>339</v>
      </c>
      <c r="E1102" s="21">
        <v>1175.77</v>
      </c>
      <c r="F1102" s="19"/>
      <c r="G1102" s="21"/>
      <c r="H1102" s="19"/>
      <c r="I1102" s="20">
        <v>45575</v>
      </c>
    </row>
    <row r="1103" spans="1:9">
      <c r="A1103" s="18">
        <v>581</v>
      </c>
      <c r="B1103" s="19" t="str">
        <f>IFERROR(VLOOKUP(A1103,CLIENTES!A:E,2,0),"CADASTRAR CLIENTE")</f>
        <v>CLINILAB LABORAT. ANAL. CLIN SC LTDA</v>
      </c>
      <c r="C1103" s="60" t="s">
        <v>3</v>
      </c>
      <c r="D1103" s="60">
        <v>99631</v>
      </c>
      <c r="E1103" s="21">
        <v>1777.8</v>
      </c>
      <c r="F1103" s="19"/>
      <c r="G1103" s="21"/>
      <c r="H1103" s="19"/>
      <c r="I1103" s="20">
        <v>45576</v>
      </c>
    </row>
    <row r="1104" spans="1:9">
      <c r="A1104" s="18">
        <v>50576</v>
      </c>
      <c r="B1104" s="19" t="str">
        <f>IFERROR(VLOOKUP(A1104,CLIENTES!A:E,2,0),"CADASTRAR CLIENTE")</f>
        <v>ANDRIAO CANEPPA E SILVA LTDA ME</v>
      </c>
      <c r="C1104" s="60" t="s">
        <v>3</v>
      </c>
      <c r="D1104" s="60">
        <v>78787</v>
      </c>
      <c r="E1104" s="21">
        <v>1884.1</v>
      </c>
      <c r="F1104" s="19"/>
      <c r="G1104" s="21"/>
      <c r="H1104" s="19"/>
      <c r="I1104" s="20">
        <v>45576</v>
      </c>
    </row>
    <row r="1105" spans="1:9">
      <c r="A1105" s="18">
        <v>50526</v>
      </c>
      <c r="B1105" s="19" t="str">
        <f>IFERROR(VLOOKUP(A1105,CLIENTES!A:E,2,0),"CADASTRAR CLIENTE")</f>
        <v>MURILO RIGOTTO TERRASSI</v>
      </c>
      <c r="C1105" s="60" t="s">
        <v>3</v>
      </c>
      <c r="D1105" s="60">
        <v>99633</v>
      </c>
      <c r="E1105" s="21">
        <v>261.2</v>
      </c>
      <c r="F1105" s="19"/>
      <c r="G1105" s="21"/>
      <c r="H1105" s="19"/>
      <c r="I1105" s="20">
        <v>45576</v>
      </c>
    </row>
    <row r="1106" spans="1:9">
      <c r="A1106" s="18">
        <v>741</v>
      </c>
      <c r="B1106" s="19" t="str">
        <f>IFERROR(VLOOKUP(A1106,CLIENTES!A:E,2,0),"CADASTRAR CLIENTE")</f>
        <v>LAB. ANAL. CLIN. DR. HELIO NAKABASHI SC LTDA</v>
      </c>
      <c r="C1106" s="60" t="s">
        <v>3</v>
      </c>
      <c r="D1106" s="60">
        <v>78760</v>
      </c>
      <c r="E1106" s="21">
        <v>1151.04</v>
      </c>
      <c r="F1106" s="19"/>
      <c r="G1106" s="21"/>
      <c r="H1106" s="19"/>
      <c r="I1106" s="20">
        <v>45579</v>
      </c>
    </row>
    <row r="1107" spans="1:9">
      <c r="A1107" s="18">
        <v>741</v>
      </c>
      <c r="B1107" s="19" t="str">
        <f>IFERROR(VLOOKUP(A1107,CLIENTES!A:E,2,0),"CADASTRAR CLIENTE")</f>
        <v>LAB. ANAL. CLIN. DR. HELIO NAKABASHI SC LTDA</v>
      </c>
      <c r="C1107" s="60" t="s">
        <v>3</v>
      </c>
      <c r="D1107" s="60">
        <v>99627</v>
      </c>
      <c r="E1107" s="21">
        <v>154.6</v>
      </c>
      <c r="F1107" s="19"/>
      <c r="G1107" s="21"/>
      <c r="H1107" s="19"/>
      <c r="I1107" s="20">
        <v>45579</v>
      </c>
    </row>
    <row r="1108" spans="1:9">
      <c r="A1108" s="18">
        <v>2795</v>
      </c>
      <c r="B1108" s="19" t="str">
        <f>IFERROR(VLOOKUP(A1108,CLIENTES!A:E,2,0),"CADASTRAR CLIENTE")</f>
        <v>INSTITUICAO DOM BOSCO DE ENSINO E CULTURA</v>
      </c>
      <c r="C1108" s="60" t="s">
        <v>3</v>
      </c>
      <c r="D1108" s="60">
        <v>77654</v>
      </c>
      <c r="E1108" s="21">
        <v>178.8</v>
      </c>
      <c r="F1108" s="19"/>
      <c r="G1108" s="21"/>
      <c r="H1108" s="19"/>
      <c r="I1108" s="20">
        <v>45579</v>
      </c>
    </row>
    <row r="1109" spans="1:9">
      <c r="A1109" s="18">
        <v>1122</v>
      </c>
      <c r="B1109" s="19" t="str">
        <f>IFERROR(VLOOKUP(A1109,CLIENTES!A:E,2,0),"CADASTRAR CLIENTE")</f>
        <v>FUNDEPAG</v>
      </c>
      <c r="C1109" s="60" t="s">
        <v>3</v>
      </c>
      <c r="D1109" s="60">
        <v>78828</v>
      </c>
      <c r="E1109" s="21">
        <v>5367.2</v>
      </c>
      <c r="F1109" s="19"/>
      <c r="G1109" s="21"/>
      <c r="H1109" s="19"/>
      <c r="I1109" s="20">
        <v>45579</v>
      </c>
    </row>
    <row r="1110" spans="1:9">
      <c r="A1110" s="18">
        <v>475</v>
      </c>
      <c r="B1110" s="19" t="str">
        <f>IFERROR(VLOOKUP(A1110,CLIENTES!A:E,2,0),"CADASTRAR CLIENTE")</f>
        <v>LABORATORIO DE ANALISES CLINICAS SRC LTDA</v>
      </c>
      <c r="C1110" s="60" t="s">
        <v>3</v>
      </c>
      <c r="D1110" s="60">
        <v>78834</v>
      </c>
      <c r="E1110" s="21">
        <v>16418.810000000001</v>
      </c>
      <c r="F1110" s="19"/>
      <c r="G1110" s="21"/>
      <c r="H1110" s="19"/>
      <c r="I1110" s="20">
        <v>45579</v>
      </c>
    </row>
    <row r="1111" spans="1:9">
      <c r="A1111" s="18">
        <v>475</v>
      </c>
      <c r="B1111" s="19" t="str">
        <f>IFERROR(VLOOKUP(A1111,CLIENTES!A:E,2,0),"CADASTRAR CLIENTE")</f>
        <v>LABORATORIO DE ANALISES CLINICAS SRC LTDA</v>
      </c>
      <c r="C1111" s="60" t="s">
        <v>3</v>
      </c>
      <c r="D1111" s="60">
        <v>99643</v>
      </c>
      <c r="E1111" s="21">
        <v>1279.6600000000001</v>
      </c>
      <c r="F1111" s="19"/>
      <c r="G1111" s="21"/>
      <c r="H1111" s="19"/>
      <c r="I1111" s="20">
        <v>45579</v>
      </c>
    </row>
    <row r="1112" spans="1:9">
      <c r="A1112" s="18">
        <v>50219</v>
      </c>
      <c r="B1112" s="19" t="str">
        <f>IFERROR(VLOOKUP(A1112,CLIENTES!A:E,2,0),"CADASTRAR CLIENTE")</f>
        <v>UNIPREV LAB DE ANALISES LOCACAO DE BENS E REPAROS LTDA EPP</v>
      </c>
      <c r="C1112" s="60" t="s">
        <v>3</v>
      </c>
      <c r="D1112" s="60">
        <v>78835</v>
      </c>
      <c r="E1112" s="21">
        <v>1025.0999999999999</v>
      </c>
      <c r="F1112" s="19"/>
      <c r="G1112" s="21"/>
      <c r="H1112" s="19"/>
      <c r="I1112" s="20">
        <v>45579</v>
      </c>
    </row>
    <row r="1113" spans="1:9">
      <c r="A1113" s="18">
        <v>311</v>
      </c>
      <c r="B1113" s="19" t="str">
        <f>IFERROR(VLOOKUP(A1113,CLIENTES!A:E,2,0),"CADASTRAR CLIENTE")</f>
        <v>CENTRO DE ANAL.CLIN. UNILAB  SC LTDA.</v>
      </c>
      <c r="C1113" s="60" t="s">
        <v>3</v>
      </c>
      <c r="D1113" s="60" t="s">
        <v>340</v>
      </c>
      <c r="E1113" s="21">
        <v>1388.2</v>
      </c>
      <c r="F1113" s="19"/>
      <c r="G1113" s="21"/>
      <c r="H1113" s="19"/>
      <c r="I1113" s="20">
        <v>45580</v>
      </c>
    </row>
    <row r="1114" spans="1:9">
      <c r="A1114" s="18">
        <v>1533</v>
      </c>
      <c r="B1114" s="19" t="str">
        <f>IFERROR(VLOOKUP(A1114,CLIENTES!A:E,2,0),"CADASTRAR CLIENTE")</f>
        <v>LABORATORIO BIOANALISE DIAGNOSTICO LTDA</v>
      </c>
      <c r="C1114" s="60" t="s">
        <v>3</v>
      </c>
      <c r="D1114" s="60">
        <v>78737</v>
      </c>
      <c r="E1114" s="21">
        <v>416</v>
      </c>
      <c r="F1114" s="19"/>
      <c r="G1114" s="21"/>
      <c r="H1114" s="19"/>
      <c r="I1114" s="20">
        <v>45580</v>
      </c>
    </row>
    <row r="1115" spans="1:9">
      <c r="A1115" s="18">
        <v>325</v>
      </c>
      <c r="B1115" s="19" t="str">
        <f>IFERROR(VLOOKUP(A1115,CLIENTES!A:E,2,0),"CADASTRAR CLIENTE")</f>
        <v>EXAME-LABORAT. DE ANAL. CLIN. CITODIAGNOSTICO S/S LTDA</v>
      </c>
      <c r="C1115" s="60" t="s">
        <v>3</v>
      </c>
      <c r="D1115" s="60">
        <v>99648</v>
      </c>
      <c r="E1115" s="21">
        <v>325.7</v>
      </c>
      <c r="F1115" s="19"/>
      <c r="G1115" s="21"/>
      <c r="H1115" s="19"/>
      <c r="I1115" s="20">
        <v>45580</v>
      </c>
    </row>
    <row r="1116" spans="1:9">
      <c r="A1116" s="18">
        <v>325</v>
      </c>
      <c r="B1116" s="19" t="str">
        <f>IFERROR(VLOOKUP(A1116,CLIENTES!A:E,2,0),"CADASTRAR CLIENTE")</f>
        <v>EXAME-LABORAT. DE ANAL. CLIN. CITODIAGNOSTICO S/S LTDA</v>
      </c>
      <c r="C1116" s="60" t="s">
        <v>3</v>
      </c>
      <c r="D1116" s="60">
        <v>78855</v>
      </c>
      <c r="E1116" s="21">
        <v>220</v>
      </c>
      <c r="F1116" s="19"/>
      <c r="G1116" s="21"/>
      <c r="H1116" s="19"/>
      <c r="I1116" s="20">
        <v>45580</v>
      </c>
    </row>
    <row r="1117" spans="1:9">
      <c r="A1117" s="18">
        <v>1240</v>
      </c>
      <c r="B1117" s="19" t="str">
        <f>IFERROR(VLOOKUP(A1117,CLIENTES!A:E,2,0),"CADASTRAR CLIENTE")</f>
        <v>MONICA VIEIRA DE CAMPOS REBELO-ME</v>
      </c>
      <c r="C1117" s="60" t="s">
        <v>3</v>
      </c>
      <c r="D1117" s="60">
        <v>78728</v>
      </c>
      <c r="E1117" s="21">
        <v>789.19</v>
      </c>
      <c r="F1117" s="19"/>
      <c r="G1117" s="21"/>
      <c r="H1117" s="19"/>
      <c r="I1117" s="20">
        <v>45580</v>
      </c>
    </row>
    <row r="1118" spans="1:9">
      <c r="A1118" s="18">
        <v>480</v>
      </c>
      <c r="B1118" s="19" t="str">
        <f>IFERROR(VLOOKUP(A1118,CLIENTES!A:E,2,0),"CADASTRAR CLIENTE")</f>
        <v>LAB SAO LUCAS</v>
      </c>
      <c r="C1118" s="60" t="s">
        <v>3</v>
      </c>
      <c r="D1118" s="60">
        <v>78871</v>
      </c>
      <c r="E1118" s="21">
        <v>1795.68</v>
      </c>
      <c r="F1118" s="19"/>
      <c r="G1118" s="21"/>
      <c r="H1118" s="19"/>
      <c r="I1118" s="20">
        <v>45580</v>
      </c>
    </row>
    <row r="1119" spans="1:9">
      <c r="A1119" s="18">
        <v>2980</v>
      </c>
      <c r="B1119" s="19" t="str">
        <f>IFERROR(VLOOKUP(A1119,CLIENTES!A:E,2,0),"CADASTRAR CLIENTE")</f>
        <v>ALMEIDA &amp; FLAITT LABORATORIOS DE ANALISES CLINICAS LTDA</v>
      </c>
      <c r="C1119" s="60" t="s">
        <v>3</v>
      </c>
      <c r="D1119" s="60">
        <v>99641</v>
      </c>
      <c r="E1119" s="21">
        <v>188.45</v>
      </c>
      <c r="F1119" s="19"/>
      <c r="G1119" s="21"/>
      <c r="H1119" s="19"/>
      <c r="I1119" s="20">
        <v>45580</v>
      </c>
    </row>
    <row r="1120" spans="1:9">
      <c r="A1120" s="18">
        <v>2980</v>
      </c>
      <c r="B1120" s="19" t="str">
        <f>IFERROR(VLOOKUP(A1120,CLIENTES!A:E,2,0),"CADASTRAR CLIENTE")</f>
        <v>ALMEIDA &amp; FLAITT LABORATORIOS DE ANALISES CLINICAS LTDA</v>
      </c>
      <c r="C1120" s="60" t="s">
        <v>3</v>
      </c>
      <c r="D1120" s="60">
        <v>78859</v>
      </c>
      <c r="E1120" s="21">
        <v>123.3</v>
      </c>
      <c r="F1120" s="19"/>
      <c r="G1120" s="21"/>
      <c r="H1120" s="19"/>
      <c r="I1120" s="20">
        <v>45580</v>
      </c>
    </row>
    <row r="1121" spans="1:9">
      <c r="A1121" s="18">
        <v>50554</v>
      </c>
      <c r="B1121" s="19" t="str">
        <f>IFERROR(VLOOKUP(A1121,CLIENTES!A:E,2,0),"CADASTRAR CLIENTE")</f>
        <v>SAO ROQUE MEDICINA DIAGNOSTICA</v>
      </c>
      <c r="C1121" s="60" t="s">
        <v>3</v>
      </c>
      <c r="D1121" s="60">
        <v>78879</v>
      </c>
      <c r="E1121" s="21">
        <v>897.75</v>
      </c>
      <c r="F1121" s="19"/>
      <c r="G1121" s="21"/>
      <c r="H1121" s="19"/>
      <c r="I1121" s="20">
        <v>45580</v>
      </c>
    </row>
    <row r="1122" spans="1:9">
      <c r="A1122" s="18">
        <v>690</v>
      </c>
      <c r="B1122" s="19" t="str">
        <f>IFERROR(VLOOKUP(A1122,CLIENTES!A:E,2,0),"CADASTRAR CLIENTE")</f>
        <v>SAO ROQUE MEDICINA DIAGNOSTICA LTDA EPP</v>
      </c>
      <c r="C1122" s="60" t="s">
        <v>3</v>
      </c>
      <c r="D1122" s="60">
        <v>78876</v>
      </c>
      <c r="E1122" s="21">
        <v>318.8</v>
      </c>
      <c r="F1122" s="19"/>
      <c r="G1122" s="21"/>
      <c r="H1122" s="19"/>
      <c r="I1122" s="20">
        <v>45580</v>
      </c>
    </row>
    <row r="1123" spans="1:9">
      <c r="A1123" s="18">
        <v>3194</v>
      </c>
      <c r="B1123" s="19" t="str">
        <f>IFERROR(VLOOKUP(A1123,CLIENTES!A:E,2,0),"CADASTRAR CLIENTE")</f>
        <v>CENTRO DE DIAGNOSTICOS CONTROLE LTDA</v>
      </c>
      <c r="C1123" s="60" t="s">
        <v>3</v>
      </c>
      <c r="D1123" s="60">
        <v>78875</v>
      </c>
      <c r="E1123" s="21">
        <v>79.8</v>
      </c>
      <c r="F1123" s="19"/>
      <c r="G1123" s="21"/>
      <c r="H1123" s="19"/>
      <c r="I1123" s="20">
        <v>45580</v>
      </c>
    </row>
    <row r="1124" spans="1:9">
      <c r="A1124" s="18">
        <v>687</v>
      </c>
      <c r="B1124" s="19" t="str">
        <f>IFERROR(VLOOKUP(A1124,CLIENTES!A:E,2,0),"CADASTRAR CLIENTE")</f>
        <v>LAB ANAL CLIN VENDRAMINI S/S LTDA</v>
      </c>
      <c r="C1124" s="60" t="s">
        <v>3</v>
      </c>
      <c r="D1124" s="60">
        <v>78874</v>
      </c>
      <c r="E1124" s="21">
        <v>1284</v>
      </c>
      <c r="F1124" s="19"/>
      <c r="G1124" s="21"/>
      <c r="H1124" s="19"/>
      <c r="I1124" s="20">
        <v>45580</v>
      </c>
    </row>
    <row r="1125" spans="1:9">
      <c r="A1125" s="18">
        <v>432</v>
      </c>
      <c r="B1125" s="19" t="str">
        <f>IFERROR(VLOOKUP(A1125,CLIENTES!A:E,2,0),"CADASTRAR CLIENTE")</f>
        <v>LABORATORIO PASTEUR HEMATOLOGIA E MICROBIOLOGIA S/S LTDA</v>
      </c>
      <c r="C1125" s="60" t="s">
        <v>3</v>
      </c>
      <c r="D1125" s="60">
        <v>78489</v>
      </c>
      <c r="E1125" s="21">
        <v>4507.04</v>
      </c>
      <c r="F1125" s="19"/>
      <c r="G1125" s="21"/>
      <c r="H1125" s="19"/>
      <c r="I1125" s="20">
        <v>45580</v>
      </c>
    </row>
    <row r="1126" spans="1:9">
      <c r="A1126" s="18">
        <v>432</v>
      </c>
      <c r="B1126" s="19" t="str">
        <f>IFERROR(VLOOKUP(A1126,CLIENTES!A:E,2,0),"CADASTRAR CLIENTE")</f>
        <v>LABORATORIO PASTEUR HEMATOLOGIA E MICROBIOLOGIA S/S LTDA</v>
      </c>
      <c r="C1126" s="60" t="s">
        <v>3</v>
      </c>
      <c r="D1126" s="60">
        <v>99653</v>
      </c>
      <c r="E1126" s="21">
        <v>508.41</v>
      </c>
      <c r="F1126" s="19"/>
      <c r="G1126" s="21"/>
      <c r="H1126" s="19"/>
      <c r="I1126" s="20">
        <v>45580</v>
      </c>
    </row>
    <row r="1127" spans="1:9">
      <c r="A1127" s="18">
        <v>663</v>
      </c>
      <c r="B1127" s="19" t="str">
        <f>IFERROR(VLOOKUP(A1127,CLIENTES!A:E,2,0),"CADASTRAR CLIENTE")</f>
        <v>LAB. MEDICO GUIMARAES</v>
      </c>
      <c r="C1127" s="60" t="s">
        <v>3</v>
      </c>
      <c r="D1127" s="60">
        <v>99656</v>
      </c>
      <c r="E1127" s="21">
        <v>60.3</v>
      </c>
      <c r="F1127" s="19"/>
      <c r="G1127" s="21"/>
      <c r="H1127" s="19"/>
      <c r="I1127" s="20">
        <v>45580</v>
      </c>
    </row>
    <row r="1128" spans="1:9">
      <c r="A1128" s="18">
        <v>663</v>
      </c>
      <c r="B1128" s="19" t="str">
        <f>IFERROR(VLOOKUP(A1128,CLIENTES!A:E,2,0),"CADASTRAR CLIENTE")</f>
        <v>LAB. MEDICO GUIMARAES</v>
      </c>
      <c r="C1128" s="60" t="s">
        <v>3</v>
      </c>
      <c r="D1128" s="60">
        <v>78884</v>
      </c>
      <c r="E1128" s="21">
        <v>366.36</v>
      </c>
      <c r="F1128" s="19"/>
      <c r="G1128" s="21"/>
      <c r="H1128" s="19"/>
      <c r="I1128" s="20">
        <v>45580</v>
      </c>
    </row>
    <row r="1129" spans="1:9">
      <c r="A1129" s="18">
        <v>500243</v>
      </c>
      <c r="B1129" s="19" t="str">
        <f>IFERROR(VLOOKUP(A1129,CLIENTES!A:E,2,0),"CADASTRAR CLIENTE")</f>
        <v>UNIMED DE IBITINGA COOPERATIVA DE TRABALHO MEDICO</v>
      </c>
      <c r="C1129" s="60" t="s">
        <v>3</v>
      </c>
      <c r="D1129" s="60">
        <v>78893</v>
      </c>
      <c r="E1129" s="21">
        <v>520</v>
      </c>
      <c r="F1129" s="19"/>
      <c r="G1129" s="21"/>
      <c r="H1129" s="19"/>
      <c r="I1129" s="20">
        <v>45581</v>
      </c>
    </row>
    <row r="1130" spans="1:9">
      <c r="A1130" s="18">
        <v>2022</v>
      </c>
      <c r="B1130" s="19" t="str">
        <f>IFERROR(VLOOKUP(A1130,CLIENTES!A:E,2,0),"CADASTRAR CLIENTE")</f>
        <v>LAB. MEDICO DR. MARICONDI S/C LTDA.</v>
      </c>
      <c r="C1130" s="60" t="s">
        <v>3</v>
      </c>
      <c r="D1130" s="60">
        <v>78919</v>
      </c>
      <c r="E1130" s="21">
        <v>645</v>
      </c>
      <c r="F1130" s="19"/>
      <c r="G1130" s="21"/>
      <c r="H1130" s="19"/>
      <c r="I1130" s="20">
        <v>45581</v>
      </c>
    </row>
    <row r="1131" spans="1:9">
      <c r="A1131" s="18">
        <v>463</v>
      </c>
      <c r="B1131" s="19" t="str">
        <f>IFERROR(VLOOKUP(A1131,CLIENTES!A:E,2,0),"CADASTRAR CLIENTE")</f>
        <v>MASUDA &amp; MASUDA LABORATORIO CLINICO LTDA</v>
      </c>
      <c r="C1131" s="60" t="s">
        <v>3</v>
      </c>
      <c r="D1131" s="60">
        <v>78911</v>
      </c>
      <c r="E1131" s="21">
        <v>910.9</v>
      </c>
      <c r="F1131" s="19"/>
      <c r="G1131" s="21"/>
      <c r="H1131" s="19"/>
      <c r="I1131" s="20">
        <v>45581</v>
      </c>
    </row>
    <row r="1132" spans="1:9">
      <c r="A1132" s="18">
        <v>823</v>
      </c>
      <c r="B1132" s="19" t="str">
        <f>IFERROR(VLOOKUP(A1132,CLIENTES!A:E,2,0),"CADASTRAR CLIENTE")</f>
        <v>SANCHES x SANCHES S/C LTDA</v>
      </c>
      <c r="C1132" s="60" t="s">
        <v>3</v>
      </c>
      <c r="D1132" s="60">
        <v>75810</v>
      </c>
      <c r="E1132" s="21">
        <v>6868</v>
      </c>
      <c r="F1132" s="19"/>
      <c r="G1132" s="21"/>
      <c r="H1132" s="19"/>
      <c r="I1132" s="20">
        <v>45581</v>
      </c>
    </row>
    <row r="1133" spans="1:9">
      <c r="A1133" s="18">
        <v>1206</v>
      </c>
      <c r="B1133" s="19" t="str">
        <f>IFERROR(VLOOKUP(A1133,CLIENTES!A:E,2,0),"CADASTRAR CLIENTE")</f>
        <v>LABORATORIO RIO NEGRO CENTER DE MARILIA  LTDA</v>
      </c>
      <c r="C1133" s="60" t="s">
        <v>328</v>
      </c>
      <c r="D1133" s="60">
        <v>78939</v>
      </c>
      <c r="E1133" s="21">
        <v>1208.98</v>
      </c>
      <c r="F1133" s="19"/>
      <c r="G1133" s="21"/>
      <c r="H1133" s="19"/>
      <c r="I1133" s="20">
        <v>45582</v>
      </c>
    </row>
    <row r="1134" spans="1:9">
      <c r="A1134" s="18">
        <v>3077</v>
      </c>
      <c r="B1134" s="19" t="str">
        <f>IFERROR(VLOOKUP(A1134,CLIENTES!A:E,2,0),"CADASTRAR CLIENTE")</f>
        <v>CBI ANALISES CLINICAS S/S LTDA</v>
      </c>
      <c r="C1134" s="60" t="s">
        <v>328</v>
      </c>
      <c r="D1134" s="60">
        <v>78941</v>
      </c>
      <c r="E1134" s="21">
        <v>371.3</v>
      </c>
      <c r="F1134" s="19"/>
      <c r="G1134" s="21"/>
      <c r="H1134" s="19"/>
      <c r="I1134" s="20">
        <v>45582</v>
      </c>
    </row>
    <row r="1135" spans="1:9">
      <c r="A1135" s="18">
        <v>3077</v>
      </c>
      <c r="B1135" s="19" t="str">
        <f>IFERROR(VLOOKUP(A1135,CLIENTES!A:E,2,0),"CADASTRAR CLIENTE")</f>
        <v>CBI ANALISES CLINICAS S/S LTDA</v>
      </c>
      <c r="C1135" s="60" t="s">
        <v>328</v>
      </c>
      <c r="D1135" s="60">
        <v>99664</v>
      </c>
      <c r="E1135" s="21">
        <v>62.35</v>
      </c>
      <c r="F1135" s="19"/>
      <c r="G1135" s="21"/>
      <c r="H1135" s="19"/>
      <c r="I1135" s="20">
        <v>45582</v>
      </c>
    </row>
    <row r="1136" spans="1:9">
      <c r="A1136" s="18">
        <v>2980</v>
      </c>
      <c r="B1136" s="19" t="str">
        <f>IFERROR(VLOOKUP(A1136,CLIENTES!A:E,2,0),"CADASTRAR CLIENTE")</f>
        <v>ALMEIDA &amp; FLAITT LABORATORIOS DE ANALISES CLINICAS LTDA</v>
      </c>
      <c r="C1136" s="60" t="s">
        <v>3</v>
      </c>
      <c r="D1136" s="60">
        <v>78974</v>
      </c>
      <c r="E1136" s="21">
        <v>476.75</v>
      </c>
      <c r="F1136" s="19"/>
      <c r="G1136" s="21"/>
      <c r="H1136" s="19"/>
      <c r="I1136" s="20">
        <v>45583</v>
      </c>
    </row>
    <row r="1137" spans="1:9">
      <c r="A1137" s="18">
        <v>516</v>
      </c>
      <c r="B1137" s="19" t="str">
        <f>IFERROR(VLOOKUP(A1137,CLIENTES!A:E,2,0),"CADASTRAR CLIENTE")</f>
        <v>TECNOLAB PATOLOGIA CLINICA S/C LTDA</v>
      </c>
      <c r="C1137" s="60" t="s">
        <v>3</v>
      </c>
      <c r="D1137" s="60">
        <v>78970</v>
      </c>
      <c r="E1137" s="21">
        <v>9369</v>
      </c>
      <c r="F1137" s="19"/>
      <c r="G1137" s="21"/>
      <c r="H1137" s="19"/>
      <c r="I1137" s="20">
        <v>45583</v>
      </c>
    </row>
    <row r="1138" spans="1:9">
      <c r="A1138" s="18">
        <v>50558</v>
      </c>
      <c r="B1138" s="19" t="str">
        <f>IFERROR(VLOOKUP(A1138,CLIENTES!A:E,2,0),"CADASTRAR CLIENTE")</f>
        <v>FUNDACAO PAULISTA DE TECNOLOGIA E EDUCACAO</v>
      </c>
      <c r="C1138" s="60" t="s">
        <v>2</v>
      </c>
      <c r="D1138" s="60">
        <v>78977</v>
      </c>
      <c r="E1138" s="21">
        <v>3512</v>
      </c>
      <c r="F1138" s="19"/>
      <c r="G1138" s="21"/>
      <c r="H1138" s="19"/>
      <c r="I1138" s="20">
        <v>45583</v>
      </c>
    </row>
    <row r="1139" spans="1:9">
      <c r="A1139" s="18">
        <v>0</v>
      </c>
      <c r="B1139" s="19" t="str">
        <f>IFERROR(VLOOKUP(A1139,CLIENTES!A:E,2,0),"CADASTRAR CLIENTE")</f>
        <v>CADASTRAR CLIENTE</v>
      </c>
      <c r="C1139" s="60" t="s">
        <v>3</v>
      </c>
      <c r="D1139" s="60">
        <v>78718</v>
      </c>
      <c r="E1139" s="21">
        <v>259.27999999999997</v>
      </c>
      <c r="F1139" s="19"/>
      <c r="G1139" s="21"/>
      <c r="H1139" s="19"/>
      <c r="I1139" s="20">
        <v>45583</v>
      </c>
    </row>
    <row r="1140" spans="1:9">
      <c r="A1140" s="18">
        <v>1493</v>
      </c>
      <c r="B1140" s="19" t="str">
        <f>IFERROR(VLOOKUP(A1140,CLIENTES!A:E,2,0),"CADASTRAR CLIENTE")</f>
        <v>CEDIMA  CENTRO DE DIAG MONTE AZUL ANAL CLIN E CIT</v>
      </c>
      <c r="C1140" s="60" t="s">
        <v>3</v>
      </c>
      <c r="D1140" s="60">
        <v>79005</v>
      </c>
      <c r="E1140" s="21">
        <v>456.5</v>
      </c>
      <c r="F1140" s="19"/>
      <c r="G1140" s="21"/>
      <c r="H1140" s="19"/>
      <c r="I1140" s="20">
        <v>45586</v>
      </c>
    </row>
    <row r="1141" spans="1:9">
      <c r="A1141" s="18">
        <v>1158</v>
      </c>
      <c r="B1141" s="19" t="str">
        <f>IFERROR(VLOOKUP(A1141,CLIENTES!A:E,2,0),"CADASTRAR CLIENTE")</f>
        <v>FUNDACAO DE DESENVOLVIMENTO DA PESQUISA</v>
      </c>
      <c r="C1141" s="60" t="s">
        <v>3</v>
      </c>
      <c r="D1141" s="60">
        <v>78690</v>
      </c>
      <c r="E1141" s="21">
        <v>218.95</v>
      </c>
      <c r="F1141" s="19"/>
      <c r="G1141" s="21"/>
      <c r="H1141" s="19"/>
      <c r="I1141" s="20">
        <v>45586</v>
      </c>
    </row>
    <row r="1142" spans="1:9">
      <c r="A1142" s="18">
        <v>1164</v>
      </c>
      <c r="B1142" s="19" t="str">
        <f>IFERROR(VLOOKUP(A1142,CLIENTES!A:E,2,0),"CADASTRAR CLIENTE")</f>
        <v>LAB. ANAL. CLIN. SAO LOURENCO S/C LTDA</v>
      </c>
      <c r="C1142" s="60" t="s">
        <v>3</v>
      </c>
      <c r="D1142" s="60">
        <v>79012</v>
      </c>
      <c r="E1142" s="21">
        <v>575.9</v>
      </c>
      <c r="F1142" s="19"/>
      <c r="G1142" s="21"/>
      <c r="H1142" s="19"/>
      <c r="I1142" s="20">
        <v>45586</v>
      </c>
    </row>
    <row r="1143" spans="1:9">
      <c r="A1143" s="18">
        <v>1164</v>
      </c>
      <c r="B1143" s="19" t="str">
        <f>IFERROR(VLOOKUP(A1143,CLIENTES!A:E,2,0),"CADASTRAR CLIENTE")</f>
        <v>LAB. ANAL. CLIN. SAO LOURENCO S/C LTDA</v>
      </c>
      <c r="C1143" s="60" t="s">
        <v>3</v>
      </c>
      <c r="D1143" s="60">
        <v>99677</v>
      </c>
      <c r="E1143" s="21">
        <v>112.59</v>
      </c>
      <c r="F1143" s="19"/>
      <c r="G1143" s="21"/>
      <c r="H1143" s="19"/>
      <c r="I1143" s="20">
        <v>45586</v>
      </c>
    </row>
    <row r="1144" spans="1:9">
      <c r="A1144" s="18">
        <v>50936</v>
      </c>
      <c r="B1144" s="19" t="str">
        <f>IFERROR(VLOOKUP(A1144,CLIENTES!A:E,2,0),"CADASTRAR CLIENTE")</f>
        <v>LABORATORIO DE ANALISES CLINICAS SAO JOSE LTDA</v>
      </c>
      <c r="C1144" s="60" t="s">
        <v>3</v>
      </c>
      <c r="D1144" s="60">
        <v>78254</v>
      </c>
      <c r="E1144" s="21">
        <v>395</v>
      </c>
      <c r="F1144" s="19"/>
      <c r="G1144" s="21"/>
      <c r="H1144" s="19"/>
      <c r="I1144" s="20">
        <v>45586</v>
      </c>
    </row>
    <row r="1145" spans="1:9">
      <c r="A1145" s="18">
        <v>761</v>
      </c>
      <c r="B1145" s="19" t="str">
        <f>IFERROR(VLOOKUP(A1145,CLIENTES!A:E,2,0),"CADASTRAR CLIENTE")</f>
        <v>EXAME CENTRO DIAG.M.ARACATUBA SC LTDA.</v>
      </c>
      <c r="C1145" s="60" t="s">
        <v>3</v>
      </c>
      <c r="D1145" s="60">
        <v>78617</v>
      </c>
      <c r="E1145" s="21">
        <v>521.4</v>
      </c>
      <c r="F1145" s="19"/>
      <c r="G1145" s="21"/>
      <c r="H1145" s="19"/>
      <c r="I1145" s="20">
        <v>45586</v>
      </c>
    </row>
    <row r="1146" spans="1:9">
      <c r="A1146" s="18">
        <v>3190</v>
      </c>
      <c r="B1146" s="19" t="str">
        <f>IFERROR(VLOOKUP(A1146,CLIENTES!A:E,2,0),"CADASTRAR CLIENTE")</f>
        <v>C D A CENTRO DE DIAGNOSTICO VETERINARIO</v>
      </c>
      <c r="C1146" s="60" t="s">
        <v>3</v>
      </c>
      <c r="D1146" s="60">
        <v>79027</v>
      </c>
      <c r="E1146" s="21">
        <v>1086.6500000000001</v>
      </c>
      <c r="F1146" s="19"/>
      <c r="G1146" s="21"/>
      <c r="H1146" s="19"/>
      <c r="I1146" s="20">
        <v>45586</v>
      </c>
    </row>
    <row r="1147" spans="1:9">
      <c r="A1147" s="18">
        <v>572</v>
      </c>
      <c r="B1147" s="19" t="str">
        <f>IFERROR(VLOOKUP(A1147,CLIENTES!A:E,2,0),"CADASTRAR CLIENTE")</f>
        <v>LABORATORIO MULTIANALISES LTDA-ME</v>
      </c>
      <c r="C1147" s="60" t="s">
        <v>3</v>
      </c>
      <c r="D1147" s="60">
        <v>79041</v>
      </c>
      <c r="E1147" s="21">
        <v>347.45</v>
      </c>
      <c r="F1147" s="19"/>
      <c r="G1147" s="21"/>
      <c r="H1147" s="19"/>
      <c r="I1147" s="20">
        <v>45586</v>
      </c>
    </row>
    <row r="1148" spans="1:9">
      <c r="A1148" s="18">
        <v>960</v>
      </c>
      <c r="B1148" s="19" t="str">
        <f>IFERROR(VLOOKUP(A1148,CLIENTES!A:E,2,0),"CADASTRAR CLIENTE")</f>
        <v>LUIS VALERIO FILHO-ME</v>
      </c>
      <c r="C1148" s="60" t="s">
        <v>3</v>
      </c>
      <c r="D1148" s="60">
        <v>79050</v>
      </c>
      <c r="E1148" s="21">
        <v>391.7</v>
      </c>
      <c r="F1148" s="19"/>
      <c r="G1148" s="21"/>
      <c r="H1148" s="19"/>
      <c r="I1148" s="20">
        <v>45586</v>
      </c>
    </row>
    <row r="1149" spans="1:9">
      <c r="A1149" s="18">
        <v>960</v>
      </c>
      <c r="B1149" s="19" t="str">
        <f>IFERROR(VLOOKUP(A1149,CLIENTES!A:E,2,0),"CADASTRAR CLIENTE")</f>
        <v>LUIS VALERIO FILHO-ME</v>
      </c>
      <c r="C1149" s="60" t="s">
        <v>3</v>
      </c>
      <c r="D1149" s="60">
        <v>99681</v>
      </c>
      <c r="E1149" s="21">
        <v>264</v>
      </c>
      <c r="F1149" s="19"/>
      <c r="G1149" s="21"/>
      <c r="H1149" s="19"/>
      <c r="I1149" s="20">
        <v>45586</v>
      </c>
    </row>
    <row r="1150" spans="1:9">
      <c r="A1150" s="18">
        <v>822</v>
      </c>
      <c r="B1150" s="19" t="str">
        <f>IFERROR(VLOOKUP(A1150,CLIENTES!A:E,2,0),"CADASTRAR CLIENTE")</f>
        <v>SAO LUCAS LABORATORIO ANAL. CLIN. S/C LTDA</v>
      </c>
      <c r="C1150" s="60" t="s">
        <v>3</v>
      </c>
      <c r="D1150" s="60">
        <v>99684</v>
      </c>
      <c r="E1150" s="21">
        <v>1660.67</v>
      </c>
      <c r="F1150" s="19"/>
      <c r="G1150" s="21"/>
      <c r="H1150" s="19"/>
      <c r="I1150" s="20">
        <v>45586</v>
      </c>
    </row>
    <row r="1151" spans="1:9">
      <c r="A1151" s="18">
        <v>822</v>
      </c>
      <c r="B1151" s="19" t="str">
        <f>IFERROR(VLOOKUP(A1151,CLIENTES!A:E,2,0),"CADASTRAR CLIENTE")</f>
        <v>SAO LUCAS LABORATORIO ANAL. CLIN. S/C LTDA</v>
      </c>
      <c r="C1151" s="60" t="s">
        <v>338</v>
      </c>
      <c r="D1151" s="60">
        <v>79056</v>
      </c>
      <c r="E1151" s="21">
        <v>1759</v>
      </c>
      <c r="F1151" s="19"/>
      <c r="G1151" s="21"/>
      <c r="H1151" s="19"/>
      <c r="I1151" s="20">
        <v>45586</v>
      </c>
    </row>
    <row r="1152" spans="1:9">
      <c r="A1152" s="18">
        <v>704</v>
      </c>
      <c r="B1152" s="19" t="str">
        <f>IFERROR(VLOOKUP(A1152,CLIENTES!A:E,2,0),"CADASTRAR CLIENTE")</f>
        <v>LAB. ONUMA E BASILIO S/C LTDA</v>
      </c>
      <c r="C1152" s="60" t="s">
        <v>3</v>
      </c>
      <c r="D1152" s="60">
        <v>99687</v>
      </c>
      <c r="E1152" s="21">
        <v>259.16000000000003</v>
      </c>
      <c r="F1152" s="19"/>
      <c r="G1152" s="21"/>
      <c r="H1152" s="19"/>
      <c r="I1152" s="20">
        <v>45587</v>
      </c>
    </row>
    <row r="1153" spans="1:9">
      <c r="A1153" s="18">
        <v>704</v>
      </c>
      <c r="B1153" s="19" t="str">
        <f>IFERROR(VLOOKUP(A1153,CLIENTES!A:E,2,0),"CADASTRAR CLIENTE")</f>
        <v>LAB. ONUMA E BASILIO S/C LTDA</v>
      </c>
      <c r="C1153" s="60" t="s">
        <v>3</v>
      </c>
      <c r="D1153" s="60">
        <v>79047</v>
      </c>
      <c r="E1153" s="21">
        <v>2125.91</v>
      </c>
      <c r="F1153" s="19"/>
      <c r="G1153" s="21"/>
      <c r="H1153" s="19"/>
      <c r="I1153" s="20">
        <v>45587</v>
      </c>
    </row>
    <row r="1154" spans="1:9">
      <c r="A1154" s="18">
        <v>741</v>
      </c>
      <c r="B1154" s="19" t="str">
        <f>IFERROR(VLOOKUP(A1154,CLIENTES!A:E,2,0),"CADASTRAR CLIENTE")</f>
        <v>LAB. ANAL. CLIN. DR. HELIO NAKABASHI SC LTDA</v>
      </c>
      <c r="C1154" s="60" t="s">
        <v>3</v>
      </c>
      <c r="D1154" s="60">
        <v>79076</v>
      </c>
      <c r="E1154" s="21">
        <v>159.9</v>
      </c>
      <c r="F1154" s="19"/>
      <c r="G1154" s="21"/>
      <c r="H1154" s="19"/>
      <c r="I1154" s="20">
        <v>45587</v>
      </c>
    </row>
    <row r="1155" spans="1:9">
      <c r="A1155" s="18">
        <v>741</v>
      </c>
      <c r="B1155" s="19" t="str">
        <f>IFERROR(VLOOKUP(A1155,CLIENTES!A:E,2,0),"CADASTRAR CLIENTE")</f>
        <v>LAB. ANAL. CLIN. DR. HELIO NAKABASHI SC LTDA</v>
      </c>
      <c r="C1155" s="60" t="s">
        <v>3</v>
      </c>
      <c r="D1155" s="60">
        <v>99690</v>
      </c>
      <c r="E1155" s="21">
        <v>78</v>
      </c>
      <c r="F1155" s="19"/>
      <c r="G1155" s="21"/>
      <c r="H1155" s="19"/>
      <c r="I1155" s="20">
        <v>45587</v>
      </c>
    </row>
    <row r="1156" spans="1:9">
      <c r="A1156" s="18">
        <v>1813</v>
      </c>
      <c r="B1156" s="19" t="str">
        <f>IFERROR(VLOOKUP(A1156,CLIENTES!A:E,2,0),"CADASTRAR CLIENTE")</f>
        <v>BIOMED LAB.ANAL.CLIN. SC  LTDA</v>
      </c>
      <c r="C1156" s="60" t="s">
        <v>3</v>
      </c>
      <c r="D1156" s="60">
        <v>79082</v>
      </c>
      <c r="E1156" s="21">
        <v>991</v>
      </c>
      <c r="F1156" s="19"/>
      <c r="G1156" s="21"/>
      <c r="H1156" s="19"/>
      <c r="I1156" s="20">
        <v>45587</v>
      </c>
    </row>
    <row r="1157" spans="1:9">
      <c r="A1157" s="18">
        <v>1016</v>
      </c>
      <c r="B1157" s="19" t="str">
        <f>IFERROR(VLOOKUP(A1157,CLIENTES!A:E,2,0),"CADASTRAR CLIENTE")</f>
        <v>LAB.ANAL.CLIN. SAO LUCAS SC LTDA.</v>
      </c>
      <c r="C1157" s="60" t="s">
        <v>328</v>
      </c>
      <c r="D1157" s="60">
        <v>79088</v>
      </c>
      <c r="E1157" s="21">
        <v>1294.4100000000001</v>
      </c>
      <c r="F1157" s="19"/>
      <c r="G1157" s="21"/>
      <c r="H1157" s="19"/>
      <c r="I1157" s="20">
        <v>45587</v>
      </c>
    </row>
    <row r="1158" spans="1:9">
      <c r="A1158" s="18">
        <v>3565</v>
      </c>
      <c r="B1158" s="19" t="str">
        <f>IFERROR(VLOOKUP(A1158,CLIENTES!A:E,2,0),"CADASTRAR CLIENTE")</f>
        <v>LAB LIFE LABORATORIO DE ANALISES CLINICAS LTDA</v>
      </c>
      <c r="C1158" s="60" t="s">
        <v>3</v>
      </c>
      <c r="D1158" s="60">
        <v>79096</v>
      </c>
      <c r="E1158" s="21">
        <v>623.79999999999995</v>
      </c>
      <c r="F1158" s="19"/>
      <c r="G1158" s="21"/>
      <c r="H1158" s="19"/>
      <c r="I1158" s="20">
        <v>45588</v>
      </c>
    </row>
    <row r="1159" spans="1:9">
      <c r="A1159" s="18">
        <v>500245</v>
      </c>
      <c r="B1159" s="19" t="str">
        <f>IFERROR(VLOOKUP(A1159,CLIENTES!A:E,2,0),"CADASTRAR CLIENTE")</f>
        <v>NOTRE DAME INTERMEDICA MINAS GERAIS SAUDE S.A</v>
      </c>
      <c r="C1159" s="60" t="s">
        <v>3</v>
      </c>
      <c r="D1159" s="60">
        <v>78808</v>
      </c>
      <c r="E1159" s="21">
        <v>237.44</v>
      </c>
      <c r="F1159" s="19"/>
      <c r="G1159" s="21"/>
      <c r="H1159" s="19"/>
      <c r="I1159" s="20">
        <v>45588</v>
      </c>
    </row>
    <row r="1160" spans="1:9">
      <c r="A1160" s="18">
        <v>2022</v>
      </c>
      <c r="B1160" s="19" t="str">
        <f>IFERROR(VLOOKUP(A1160,CLIENTES!A:E,2,0),"CADASTRAR CLIENTE")</f>
        <v>LAB. MEDICO DR. MARICONDI S/C LTDA.</v>
      </c>
      <c r="C1160" s="60" t="s">
        <v>3</v>
      </c>
      <c r="D1160" s="60">
        <v>79106</v>
      </c>
      <c r="E1160" s="21">
        <v>943.28</v>
      </c>
      <c r="F1160" s="19"/>
      <c r="G1160" s="21"/>
      <c r="H1160" s="19"/>
      <c r="I1160" s="20">
        <v>45588</v>
      </c>
    </row>
    <row r="1161" spans="1:9">
      <c r="A1161" s="18">
        <v>2022</v>
      </c>
      <c r="B1161" s="19" t="str">
        <f>IFERROR(VLOOKUP(A1161,CLIENTES!A:E,2,0),"CADASTRAR CLIENTE")</f>
        <v>LAB. MEDICO DR. MARICONDI S/C LTDA.</v>
      </c>
      <c r="C1161" s="60" t="s">
        <v>3</v>
      </c>
      <c r="D1161" s="60">
        <v>99694</v>
      </c>
      <c r="E1161" s="21">
        <v>215</v>
      </c>
      <c r="F1161" s="19"/>
      <c r="G1161" s="21"/>
      <c r="H1161" s="19"/>
      <c r="I1161" s="20">
        <v>45588</v>
      </c>
    </row>
    <row r="1162" spans="1:9">
      <c r="A1162" s="18">
        <v>335</v>
      </c>
      <c r="B1162" s="19" t="str">
        <f>IFERROR(VLOOKUP(A1162,CLIENTES!A:E,2,0),"CADASTRAR CLIENTE")</f>
        <v>LABORATORIO VIDA  S/S LTDA</v>
      </c>
      <c r="C1162" s="60" t="s">
        <v>3</v>
      </c>
      <c r="D1162" s="60">
        <v>79073</v>
      </c>
      <c r="E1162" s="21">
        <v>311.2</v>
      </c>
      <c r="F1162" s="19"/>
      <c r="G1162" s="21"/>
      <c r="H1162" s="19"/>
      <c r="I1162" s="20">
        <v>45588</v>
      </c>
    </row>
    <row r="1163" spans="1:9">
      <c r="A1163" s="18">
        <v>1371</v>
      </c>
      <c r="B1163" s="19" t="str">
        <f>IFERROR(VLOOKUP(A1163,CLIENTES!A:E,2,0),"CADASTRAR CLIENTE")</f>
        <v>MICHELE LOPES BERGAMIM-ME</v>
      </c>
      <c r="C1163" s="60" t="s">
        <v>3</v>
      </c>
      <c r="D1163" s="60">
        <v>79112</v>
      </c>
      <c r="E1163" s="21">
        <v>725.25</v>
      </c>
      <c r="F1163" s="19"/>
      <c r="G1163" s="21"/>
      <c r="H1163" s="19"/>
      <c r="I1163" s="20">
        <v>45588</v>
      </c>
    </row>
    <row r="1164" spans="1:9">
      <c r="A1164" s="18">
        <v>2752</v>
      </c>
      <c r="B1164" s="19" t="str">
        <f>IFERROR(VLOOKUP(A1164,CLIENTES!A:E,2,0),"CADASTRAR CLIENTE")</f>
        <v>ROTOLI CLINICA VETERINARIA LTDA ME</v>
      </c>
      <c r="C1164" s="60" t="s">
        <v>3</v>
      </c>
      <c r="D1164" s="60">
        <v>79022</v>
      </c>
      <c r="E1164" s="21">
        <v>281.89999999999998</v>
      </c>
      <c r="F1164" s="19"/>
      <c r="G1164" s="21"/>
      <c r="H1164" s="19"/>
      <c r="I1164" s="20">
        <v>45588</v>
      </c>
    </row>
    <row r="1165" spans="1:9">
      <c r="A1165" s="18">
        <v>432</v>
      </c>
      <c r="B1165" s="19" t="str">
        <f>IFERROR(VLOOKUP(A1165,CLIENTES!A:E,2,0),"CADASTRAR CLIENTE")</f>
        <v>LABORATORIO PASTEUR HEMATOLOGIA E MICROBIOLOGIA S/S LTDA</v>
      </c>
      <c r="C1165" s="60" t="s">
        <v>3</v>
      </c>
      <c r="D1165" s="60">
        <v>79133</v>
      </c>
      <c r="E1165" s="21">
        <v>3736.2</v>
      </c>
      <c r="F1165" s="19"/>
      <c r="G1165" s="21"/>
      <c r="H1165" s="19"/>
      <c r="I1165" s="20">
        <v>45588</v>
      </c>
    </row>
    <row r="1166" spans="1:9">
      <c r="A1166" s="18">
        <v>1164</v>
      </c>
      <c r="B1166" s="19" t="str">
        <f>IFERROR(VLOOKUP(A1166,CLIENTES!A:E,2,0),"CADASTRAR CLIENTE")</f>
        <v>LAB. ANAL. CLIN. SAO LOURENCO S/C LTDA</v>
      </c>
      <c r="C1166" s="60" t="s">
        <v>3</v>
      </c>
      <c r="D1166" s="60">
        <v>79147</v>
      </c>
      <c r="E1166" s="21">
        <v>1051.05</v>
      </c>
      <c r="F1166" s="19"/>
      <c r="G1166" s="21"/>
      <c r="H1166" s="19"/>
      <c r="I1166" s="20">
        <v>45589</v>
      </c>
    </row>
    <row r="1167" spans="1:9">
      <c r="A1167" s="18">
        <v>668</v>
      </c>
      <c r="B1167" s="19" t="str">
        <f>IFERROR(VLOOKUP(A1167,CLIENTES!A:E,2,0),"CADASTRAR CLIENTE")</f>
        <v>INSTITUTO DE HEMATOLOGIA SC LTDA.</v>
      </c>
      <c r="C1167" s="60" t="s">
        <v>3</v>
      </c>
      <c r="D1167" s="60">
        <v>79161</v>
      </c>
      <c r="E1167" s="21">
        <v>536.4</v>
      </c>
      <c r="F1167" s="19"/>
      <c r="G1167" s="21"/>
      <c r="H1167" s="19"/>
      <c r="I1167" s="20">
        <v>45589</v>
      </c>
    </row>
    <row r="1168" spans="1:9">
      <c r="A1168" s="18">
        <v>690</v>
      </c>
      <c r="B1168" s="19" t="str">
        <f>IFERROR(VLOOKUP(A1168,CLIENTES!A:E,2,0),"CADASTRAR CLIENTE")</f>
        <v>SAO ROQUE MEDICINA DIAGNOSTICA LTDA EPP</v>
      </c>
      <c r="C1168" s="60" t="s">
        <v>3</v>
      </c>
      <c r="D1168" s="60">
        <v>79173</v>
      </c>
      <c r="E1168" s="21">
        <v>305.2</v>
      </c>
      <c r="F1168" s="19"/>
      <c r="G1168" s="21"/>
      <c r="H1168" s="19"/>
      <c r="I1168" s="20">
        <v>45590</v>
      </c>
    </row>
    <row r="1169" spans="1:9">
      <c r="A1169" s="18">
        <v>690</v>
      </c>
      <c r="B1169" s="19" t="str">
        <f>IFERROR(VLOOKUP(A1169,CLIENTES!A:E,2,0),"CADASTRAR CLIENTE")</f>
        <v>SAO ROQUE MEDICINA DIAGNOSTICA LTDA EPP</v>
      </c>
      <c r="C1169" s="60" t="s">
        <v>3</v>
      </c>
      <c r="D1169" s="60">
        <v>99702</v>
      </c>
      <c r="E1169" s="21">
        <v>93.52</v>
      </c>
      <c r="F1169" s="19"/>
      <c r="G1169" s="21"/>
      <c r="H1169" s="19"/>
      <c r="I1169" s="20">
        <v>45590</v>
      </c>
    </row>
    <row r="1170" spans="1:9">
      <c r="A1170" s="18">
        <v>906</v>
      </c>
      <c r="B1170" s="19" t="str">
        <f>IFERROR(VLOOKUP(A1170,CLIENTES!A:E,2,0),"CADASTRAR CLIENTE")</f>
        <v>LABORATORIO ANAL. CLIN. DESCALVADO LTDA</v>
      </c>
      <c r="C1170" s="60" t="s">
        <v>3</v>
      </c>
      <c r="D1170" s="60">
        <v>99704</v>
      </c>
      <c r="E1170" s="21">
        <v>604.38</v>
      </c>
      <c r="F1170" s="19"/>
      <c r="G1170" s="21"/>
      <c r="H1170" s="19"/>
      <c r="I1170" s="20">
        <v>45590</v>
      </c>
    </row>
    <row r="1171" spans="1:9">
      <c r="A1171" s="18">
        <v>906</v>
      </c>
      <c r="B1171" s="19" t="str">
        <f>IFERROR(VLOOKUP(A1171,CLIENTES!A:E,2,0),"CADASTRAR CLIENTE")</f>
        <v>LABORATORIO ANAL. CLIN. DESCALVADO LTDA</v>
      </c>
      <c r="C1171" s="60" t="s">
        <v>3</v>
      </c>
      <c r="D1171" s="60">
        <v>79178</v>
      </c>
      <c r="E1171" s="21">
        <v>3712</v>
      </c>
      <c r="F1171" s="19"/>
      <c r="G1171" s="21"/>
      <c r="H1171" s="19"/>
      <c r="I1171" s="20">
        <v>45590</v>
      </c>
    </row>
    <row r="1172" spans="1:9">
      <c r="A1172" s="18">
        <v>3065</v>
      </c>
      <c r="B1172" s="19" t="str">
        <f>IFERROR(VLOOKUP(A1172,CLIENTES!A:E,2,0),"CADASTRAR CLIENTE")</f>
        <v>ML NOSSA SENHORA APARECIDA SERVICOS ADMINISTRATIVOS LTDA</v>
      </c>
      <c r="C1172" s="60" t="s">
        <v>3</v>
      </c>
      <c r="D1172" s="60">
        <v>79176</v>
      </c>
      <c r="E1172" s="21">
        <v>59.85</v>
      </c>
      <c r="F1172" s="19"/>
      <c r="G1172" s="21"/>
      <c r="H1172" s="19"/>
      <c r="I1172" s="20">
        <v>45590</v>
      </c>
    </row>
    <row r="1173" spans="1:9">
      <c r="A1173" s="18">
        <v>2397</v>
      </c>
      <c r="B1173" s="19" t="str">
        <f>IFERROR(VLOOKUP(A1173,CLIENTES!A:E,2,0),"CADASTRAR CLIENTE")</f>
        <v>LAB ANAL CLINICAS SANTA RITA S/C LTDA</v>
      </c>
      <c r="C1173" s="60" t="s">
        <v>3</v>
      </c>
      <c r="D1173" s="60">
        <v>79119</v>
      </c>
      <c r="E1173" s="21">
        <v>483.4</v>
      </c>
      <c r="F1173" s="19"/>
      <c r="G1173" s="21"/>
      <c r="H1173" s="19"/>
      <c r="I1173" s="20">
        <v>45590</v>
      </c>
    </row>
    <row r="1174" spans="1:9">
      <c r="A1174" s="18">
        <v>687</v>
      </c>
      <c r="B1174" s="19" t="str">
        <f>IFERROR(VLOOKUP(A1174,CLIENTES!A:E,2,0),"CADASTRAR CLIENTE")</f>
        <v>LAB ANAL CLIN VENDRAMINI S/S LTDA</v>
      </c>
      <c r="C1174" s="60" t="s">
        <v>3</v>
      </c>
      <c r="D1174" s="60">
        <v>79198</v>
      </c>
      <c r="E1174" s="21">
        <v>860</v>
      </c>
      <c r="F1174" s="19"/>
      <c r="G1174" s="21"/>
      <c r="H1174" s="19"/>
      <c r="I1174" s="20">
        <v>45590</v>
      </c>
    </row>
    <row r="1175" spans="1:9">
      <c r="A1175" s="18">
        <v>687</v>
      </c>
      <c r="B1175" s="19" t="str">
        <f>IFERROR(VLOOKUP(A1175,CLIENTES!A:E,2,0),"CADASTRAR CLIENTE")</f>
        <v>LAB ANAL CLIN VENDRAMINI S/S LTDA</v>
      </c>
      <c r="C1175" s="60" t="s">
        <v>3</v>
      </c>
      <c r="D1175" s="60">
        <v>99705</v>
      </c>
      <c r="E1175" s="21">
        <v>243.25</v>
      </c>
      <c r="F1175" s="19"/>
      <c r="G1175" s="21"/>
      <c r="H1175" s="19"/>
      <c r="I1175" s="20">
        <v>45590</v>
      </c>
    </row>
    <row r="1176" spans="1:9">
      <c r="A1176" s="18">
        <v>475</v>
      </c>
      <c r="B1176" s="19" t="str">
        <f>IFERROR(VLOOKUP(A1176,CLIENTES!A:E,2,0),"CADASTRAR CLIENTE")</f>
        <v>LABORATORIO DE ANALISES CLINICAS SRC LTDA</v>
      </c>
      <c r="C1176" s="60" t="s">
        <v>2</v>
      </c>
      <c r="D1176" s="60">
        <v>78863</v>
      </c>
      <c r="E1176" s="21">
        <v>26810.799999999999</v>
      </c>
      <c r="F1176" s="19"/>
      <c r="G1176" s="21"/>
      <c r="H1176" s="19"/>
      <c r="I1176" s="20">
        <v>45593</v>
      </c>
    </row>
    <row r="1177" spans="1:9">
      <c r="A1177" s="18">
        <v>475</v>
      </c>
      <c r="B1177" s="19" t="str">
        <f>IFERROR(VLOOKUP(A1177,CLIENTES!A:E,2,0),"CADASTRAR CLIENTE")</f>
        <v>LABORATORIO DE ANALISES CLINICAS SRC LTDA</v>
      </c>
      <c r="C1177" s="60" t="s">
        <v>2</v>
      </c>
      <c r="D1177" s="60">
        <v>99707</v>
      </c>
      <c r="E1177" s="21">
        <v>2751.98</v>
      </c>
      <c r="F1177" s="19"/>
      <c r="G1177" s="21"/>
      <c r="H1177" s="19"/>
      <c r="I1177" s="20">
        <v>45593</v>
      </c>
    </row>
    <row r="1178" spans="1:9">
      <c r="A1178" s="18">
        <v>50497</v>
      </c>
      <c r="B1178" s="19" t="str">
        <f>IFERROR(VLOOKUP(A1178,CLIENTES!A:E,2,0),"CADASTRAR CLIENTE")</f>
        <v>DIAGNOSTIKA-UNIDADE DIAGNOSTICA EM PATOLOGIA CIRURGICA E CITOLOGIA LTDA</v>
      </c>
      <c r="C1178" s="60" t="s">
        <v>3</v>
      </c>
      <c r="D1178" s="60">
        <v>99595</v>
      </c>
      <c r="E1178" s="21">
        <v>177.2</v>
      </c>
      <c r="F1178" s="19"/>
      <c r="G1178" s="21"/>
      <c r="H1178" s="19"/>
      <c r="I1178" s="20">
        <v>45593</v>
      </c>
    </row>
    <row r="1179" spans="1:9">
      <c r="A1179" s="18">
        <v>1533</v>
      </c>
      <c r="B1179" s="19" t="str">
        <f>IFERROR(VLOOKUP(A1179,CLIENTES!A:E,2,0),"CADASTRAR CLIENTE")</f>
        <v>LABORATORIO BIOANALISE DIAGNOSTICO LTDA</v>
      </c>
      <c r="C1179" s="60" t="s">
        <v>3</v>
      </c>
      <c r="D1179" s="60">
        <v>99715</v>
      </c>
      <c r="E1179" s="21">
        <v>350.09</v>
      </c>
      <c r="F1179" s="19"/>
      <c r="G1179" s="21"/>
      <c r="H1179" s="19"/>
      <c r="I1179" s="20">
        <v>45593</v>
      </c>
    </row>
    <row r="1180" spans="1:9">
      <c r="A1180" s="18">
        <v>1533</v>
      </c>
      <c r="B1180" s="19" t="str">
        <f>IFERROR(VLOOKUP(A1180,CLIENTES!A:E,2,0),"CADASTRAR CLIENTE")</f>
        <v>LABORATORIO BIOANALISE DIAGNOSTICO LTDA</v>
      </c>
      <c r="C1180" s="60" t="s">
        <v>3</v>
      </c>
      <c r="D1180" s="60">
        <v>79212</v>
      </c>
      <c r="E1180" s="21">
        <v>360</v>
      </c>
      <c r="F1180" s="19"/>
      <c r="G1180" s="21"/>
      <c r="H1180" s="19"/>
      <c r="I1180" s="20">
        <v>45593</v>
      </c>
    </row>
    <row r="1181" spans="1:9">
      <c r="A1181" s="18">
        <v>761</v>
      </c>
      <c r="B1181" s="19" t="str">
        <f>IFERROR(VLOOKUP(A1181,CLIENTES!A:E,2,0),"CADASTRAR CLIENTE")</f>
        <v>EXAME CENTRO DIAG.M.ARACATUBA SC LTDA.</v>
      </c>
      <c r="C1181" s="60" t="s">
        <v>3</v>
      </c>
      <c r="D1181" s="60">
        <v>99657</v>
      </c>
      <c r="E1181" s="21">
        <v>270.35000000000002</v>
      </c>
      <c r="F1181" s="19"/>
      <c r="G1181" s="21"/>
      <c r="H1181" s="19"/>
      <c r="I1181" s="20">
        <v>45593</v>
      </c>
    </row>
    <row r="1182" spans="1:9">
      <c r="A1182" s="18">
        <v>761</v>
      </c>
      <c r="B1182" s="19" t="str">
        <f>IFERROR(VLOOKUP(A1182,CLIENTES!A:E,2,0),"CADASTRAR CLIENTE")</f>
        <v>EXAME CENTRO DIAG.M.ARACATUBA SC LTDA.</v>
      </c>
      <c r="C1182" s="60" t="s">
        <v>3</v>
      </c>
      <c r="D1182" s="60">
        <v>79222</v>
      </c>
      <c r="E1182" s="21">
        <v>12.8</v>
      </c>
      <c r="F1182" s="19"/>
      <c r="G1182" s="21"/>
      <c r="H1182" s="19"/>
      <c r="I1182" s="20">
        <v>45593</v>
      </c>
    </row>
    <row r="1183" spans="1:9">
      <c r="A1183" s="18">
        <v>741</v>
      </c>
      <c r="B1183" s="19" t="str">
        <f>IFERROR(VLOOKUP(A1183,CLIENTES!A:E,2,0),"CADASTRAR CLIENTE")</f>
        <v>LAB. ANAL. CLIN. DR. HELIO NAKABASHI SC LTDA</v>
      </c>
      <c r="C1183" s="60" t="s">
        <v>3</v>
      </c>
      <c r="D1183" s="60">
        <v>79227</v>
      </c>
      <c r="E1183" s="21">
        <v>128</v>
      </c>
      <c r="F1183" s="19"/>
      <c r="G1183" s="21"/>
      <c r="H1183" s="19"/>
      <c r="I1183" s="20">
        <v>45593</v>
      </c>
    </row>
    <row r="1184" spans="1:9">
      <c r="A1184" s="18">
        <v>1026</v>
      </c>
      <c r="B1184" s="19" t="str">
        <f>IFERROR(VLOOKUP(A1184,CLIENTES!A:E,2,0),"CADASTRAR CLIENTE")</f>
        <v>LABSC SERVICOS LABORATORIAIS LTDA</v>
      </c>
      <c r="C1184" s="60" t="s">
        <v>328</v>
      </c>
      <c r="D1184" s="60">
        <v>79247</v>
      </c>
      <c r="E1184" s="21">
        <v>1480</v>
      </c>
      <c r="F1184" s="19"/>
      <c r="G1184" s="21"/>
      <c r="H1184" s="19"/>
      <c r="I1184" s="20">
        <v>45593</v>
      </c>
    </row>
    <row r="1185" spans="1:9">
      <c r="A1185" s="18">
        <v>756</v>
      </c>
      <c r="B1185" s="19" t="str">
        <f>IFERROR(VLOOKUP(A1185,CLIENTES!A:E,2,0),"CADASTRAR CLIENTE")</f>
        <v>LAB.TRIANON DE ANAL.CLIN.SC LTDA.</v>
      </c>
      <c r="C1185" s="60" t="s">
        <v>3</v>
      </c>
      <c r="D1185" s="60">
        <v>79282</v>
      </c>
      <c r="E1185" s="21">
        <v>3413.6</v>
      </c>
      <c r="F1185" s="19"/>
      <c r="G1185" s="21"/>
      <c r="H1185" s="19"/>
      <c r="I1185" s="20">
        <v>45594</v>
      </c>
    </row>
    <row r="1186" spans="1:9">
      <c r="A1186" s="18">
        <v>1533</v>
      </c>
      <c r="B1186" s="19" t="str">
        <f>IFERROR(VLOOKUP(A1186,CLIENTES!A:E,2,0),"CADASTRAR CLIENTE")</f>
        <v>LABORATORIO BIOANALISE DIAGNOSTICO LTDA</v>
      </c>
      <c r="C1186" s="60" t="s">
        <v>3</v>
      </c>
      <c r="D1186" s="60">
        <v>99729</v>
      </c>
      <c r="E1186" s="21">
        <v>71.099999999999994</v>
      </c>
      <c r="F1186" s="19"/>
      <c r="G1186" s="21"/>
      <c r="H1186" s="19"/>
      <c r="I1186" s="20">
        <v>45594</v>
      </c>
    </row>
    <row r="1187" spans="1:9">
      <c r="A1187" s="18">
        <v>50418</v>
      </c>
      <c r="B1187" s="19" t="str">
        <f>IFERROR(VLOOKUP(A1187,CLIENTES!A:E,2,0),"CADASTRAR CLIENTE")</f>
        <v>LABORATORIO SAO LUCAS DE BROTAS SS LTDA</v>
      </c>
      <c r="C1187" s="60" t="s">
        <v>3</v>
      </c>
      <c r="D1187" s="60">
        <v>79294</v>
      </c>
      <c r="E1187" s="21">
        <v>879.7</v>
      </c>
      <c r="F1187" s="19"/>
      <c r="G1187" s="21"/>
      <c r="H1187" s="19"/>
      <c r="I1187" s="20">
        <v>45594</v>
      </c>
    </row>
    <row r="1188" spans="1:9">
      <c r="A1188" s="18">
        <v>2022</v>
      </c>
      <c r="B1188" s="19" t="str">
        <f>IFERROR(VLOOKUP(A1188,CLIENTES!A:E,2,0),"CADASTRAR CLIENTE")</f>
        <v>LAB. MEDICO DR. MARICONDI S/C LTDA.</v>
      </c>
      <c r="C1188" s="60" t="s">
        <v>3</v>
      </c>
      <c r="D1188" s="60">
        <v>79279</v>
      </c>
      <c r="E1188" s="21">
        <v>2946.95</v>
      </c>
      <c r="F1188" s="19"/>
      <c r="G1188" s="21"/>
      <c r="H1188" s="19"/>
      <c r="I1188" s="20">
        <v>45594</v>
      </c>
    </row>
    <row r="1189" spans="1:9">
      <c r="A1189" s="18">
        <v>480</v>
      </c>
      <c r="B1189" s="19" t="str">
        <f>IFERROR(VLOOKUP(A1189,CLIENTES!A:E,2,0),"CADASTRAR CLIENTE")</f>
        <v>LAB SAO LUCAS</v>
      </c>
      <c r="C1189" s="60" t="s">
        <v>3</v>
      </c>
      <c r="D1189" s="60">
        <v>79303</v>
      </c>
      <c r="E1189" s="21">
        <v>1202.4000000000001</v>
      </c>
      <c r="F1189" s="19"/>
      <c r="G1189" s="21"/>
      <c r="H1189" s="19"/>
      <c r="I1189" s="20">
        <v>45594</v>
      </c>
    </row>
    <row r="1190" spans="1:9">
      <c r="A1190" s="18">
        <v>380</v>
      </c>
      <c r="B1190" s="19" t="str">
        <f>IFERROR(VLOOKUP(A1190,CLIENTES!A:E,2,0),"CADASTRAR CLIENTE")</f>
        <v>SANTA CASA DE CARIDADE DE GUARANESIA</v>
      </c>
      <c r="C1190" s="60" t="s">
        <v>3</v>
      </c>
      <c r="D1190" s="60">
        <v>99731</v>
      </c>
      <c r="E1190" s="21">
        <v>131.65</v>
      </c>
      <c r="F1190" s="19"/>
      <c r="G1190" s="21"/>
      <c r="H1190" s="19"/>
      <c r="I1190" s="20">
        <v>45594</v>
      </c>
    </row>
    <row r="1191" spans="1:9">
      <c r="A1191" s="18">
        <v>1842</v>
      </c>
      <c r="B1191" s="19" t="str">
        <f>IFERROR(VLOOKUP(A1191,CLIENTES!A:E,2,0),"CADASTRAR CLIENTE")</f>
        <v>LABORATORIO UNILABVET EIRELI</v>
      </c>
      <c r="C1191" s="60" t="s">
        <v>3</v>
      </c>
      <c r="D1191" s="60">
        <v>79306</v>
      </c>
      <c r="E1191" s="21">
        <v>888.38</v>
      </c>
      <c r="F1191" s="19"/>
      <c r="G1191" s="21"/>
      <c r="H1191" s="19"/>
      <c r="I1191" s="20">
        <v>45594</v>
      </c>
    </row>
    <row r="1192" spans="1:9">
      <c r="A1192" s="18">
        <v>1842</v>
      </c>
      <c r="B1192" s="19" t="str">
        <f>IFERROR(VLOOKUP(A1192,CLIENTES!A:E,2,0),"CADASTRAR CLIENTE")</f>
        <v>LABORATORIO UNILABVET EIRELI</v>
      </c>
      <c r="C1192" s="60" t="s">
        <v>3</v>
      </c>
      <c r="D1192" s="60">
        <v>99732</v>
      </c>
      <c r="E1192" s="21">
        <v>186.8</v>
      </c>
      <c r="F1192" s="19"/>
      <c r="G1192" s="21"/>
      <c r="H1192" s="19"/>
      <c r="I1192" s="20">
        <v>45594</v>
      </c>
    </row>
    <row r="1193" spans="1:9">
      <c r="A1193" s="18">
        <v>311</v>
      </c>
      <c r="B1193" s="19" t="str">
        <f>IFERROR(VLOOKUP(A1193,CLIENTES!A:E,2,0),"CADASTRAR CLIENTE")</f>
        <v>CENTRO DE ANAL.CLIN. UNILAB  SC LTDA.</v>
      </c>
      <c r="C1193" s="60" t="s">
        <v>3</v>
      </c>
      <c r="D1193" s="60">
        <v>79309</v>
      </c>
      <c r="E1193" s="21">
        <v>221.55</v>
      </c>
      <c r="F1193" s="19"/>
      <c r="G1193" s="21"/>
      <c r="H1193" s="19"/>
      <c r="I1193" s="20">
        <v>45594</v>
      </c>
    </row>
    <row r="1194" spans="1:9">
      <c r="A1194" s="18">
        <v>822</v>
      </c>
      <c r="B1194" s="19" t="str">
        <f>IFERROR(VLOOKUP(A1194,CLIENTES!A:E,2,0),"CADASTRAR CLIENTE")</f>
        <v>SAO LUCAS LABORATORIO ANAL. CLIN. S/C LTDA</v>
      </c>
      <c r="C1194" s="60" t="s">
        <v>3</v>
      </c>
      <c r="D1194" s="60">
        <v>65569</v>
      </c>
      <c r="E1194" s="21">
        <v>77.900000000000006</v>
      </c>
      <c r="F1194" s="19"/>
      <c r="G1194" s="21"/>
      <c r="H1194" s="19"/>
      <c r="I1194" s="20">
        <v>45595</v>
      </c>
    </row>
    <row r="1195" spans="1:9">
      <c r="A1195" s="18">
        <v>822</v>
      </c>
      <c r="B1195" s="19" t="str">
        <f>IFERROR(VLOOKUP(A1195,CLIENTES!A:E,2,0),"CADASTRAR CLIENTE")</f>
        <v>SAO LUCAS LABORATORIO ANAL. CLIN. S/C LTDA</v>
      </c>
      <c r="C1195" s="60" t="s">
        <v>3</v>
      </c>
      <c r="D1195" s="60">
        <v>79312</v>
      </c>
      <c r="E1195" s="21">
        <v>835.9</v>
      </c>
      <c r="F1195" s="19"/>
      <c r="G1195" s="21"/>
      <c r="H1195" s="19"/>
      <c r="I1195" s="20">
        <v>45595</v>
      </c>
    </row>
    <row r="1196" spans="1:9">
      <c r="A1196" s="18">
        <v>50728</v>
      </c>
      <c r="B1196" s="19" t="str">
        <f>IFERROR(VLOOKUP(A1196,CLIENTES!A:E,2,0),"CADASTRAR CLIENTE")</f>
        <v>SESTITO &amp; TORRES CLINICA MEDICA</v>
      </c>
      <c r="C1196" s="60" t="s">
        <v>3</v>
      </c>
      <c r="D1196" s="60">
        <v>79322</v>
      </c>
      <c r="E1196" s="21">
        <v>1080</v>
      </c>
      <c r="F1196" s="19"/>
      <c r="G1196" s="21"/>
      <c r="H1196" s="19"/>
      <c r="I1196" s="20">
        <v>45595</v>
      </c>
    </row>
    <row r="1197" spans="1:9">
      <c r="A1197" s="18">
        <v>3077</v>
      </c>
      <c r="B1197" s="19" t="str">
        <f>IFERROR(VLOOKUP(A1197,CLIENTES!A:E,2,0),"CADASTRAR CLIENTE")</f>
        <v>CBI ANALISES CLINICAS S/S LTDA</v>
      </c>
      <c r="C1197" s="60" t="s">
        <v>328</v>
      </c>
      <c r="D1197" s="60">
        <v>79341</v>
      </c>
      <c r="E1197" s="21">
        <v>822.62</v>
      </c>
      <c r="F1197" s="19"/>
      <c r="G1197" s="21"/>
      <c r="H1197" s="19"/>
      <c r="I1197" s="20">
        <v>45595</v>
      </c>
    </row>
    <row r="1198" spans="1:9">
      <c r="A1198" s="18">
        <v>3077</v>
      </c>
      <c r="B1198" s="19" t="str">
        <f>IFERROR(VLOOKUP(A1198,CLIENTES!A:E,2,0),"CADASTRAR CLIENTE")</f>
        <v>CBI ANALISES CLINICAS S/S LTDA</v>
      </c>
      <c r="C1198" s="60" t="s">
        <v>328</v>
      </c>
      <c r="D1198" s="60">
        <v>99740</v>
      </c>
      <c r="E1198" s="21">
        <v>123</v>
      </c>
      <c r="F1198" s="19"/>
      <c r="G1198" s="21"/>
      <c r="H1198" s="19"/>
      <c r="I1198" s="20">
        <v>45595</v>
      </c>
    </row>
    <row r="1199" spans="1:9">
      <c r="A1199" s="18">
        <v>50576</v>
      </c>
      <c r="B1199" s="19" t="str">
        <f>IFERROR(VLOOKUP(A1199,CLIENTES!A:E,2,0),"CADASTRAR CLIENTE")</f>
        <v>ANDRIAO CANEPPA E SILVA LTDA ME</v>
      </c>
      <c r="C1199" s="60" t="s">
        <v>3</v>
      </c>
      <c r="D1199" s="60">
        <v>79364</v>
      </c>
      <c r="E1199" s="21">
        <v>2387.1</v>
      </c>
      <c r="F1199" s="19"/>
      <c r="G1199" s="21"/>
      <c r="H1199" s="19"/>
      <c r="I1199" s="20">
        <v>45596</v>
      </c>
    </row>
    <row r="1200" spans="1:9">
      <c r="A1200" s="18">
        <v>50526</v>
      </c>
      <c r="B1200" s="19" t="str">
        <f>IFERROR(VLOOKUP(A1200,CLIENTES!A:E,2,0),"CADASTRAR CLIENTE")</f>
        <v>MURILO RIGOTTO TERRASSI</v>
      </c>
      <c r="C1200" s="60" t="s">
        <v>3</v>
      </c>
      <c r="D1200" s="60">
        <v>99744</v>
      </c>
      <c r="E1200" s="21">
        <v>261.2</v>
      </c>
      <c r="F1200" s="19"/>
      <c r="G1200" s="21"/>
      <c r="H1200" s="19"/>
      <c r="I1200" s="20">
        <v>45596</v>
      </c>
    </row>
    <row r="1201" spans="1:9">
      <c r="A1201" s="18">
        <v>474</v>
      </c>
      <c r="B1201" s="19" t="str">
        <f>IFERROR(VLOOKUP(A1201,CLIENTES!A:E,2,0),"CADASTRAR CLIENTE")</f>
        <v>LABORATI LAB. ANAL. CLIN. TIETE S/C LTDA.</v>
      </c>
      <c r="C1201" s="60" t="s">
        <v>338</v>
      </c>
      <c r="D1201" s="60">
        <v>99747</v>
      </c>
      <c r="E1201" s="21">
        <v>384.4</v>
      </c>
      <c r="F1201" s="19"/>
      <c r="G1201" s="21"/>
      <c r="H1201" s="19"/>
      <c r="I1201" s="20">
        <v>45596</v>
      </c>
    </row>
    <row r="1202" spans="1:9">
      <c r="A1202" s="18">
        <v>474</v>
      </c>
      <c r="B1202" s="19" t="str">
        <f>IFERROR(VLOOKUP(A1202,CLIENTES!A:E,2,0),"CADASTRAR CLIENTE")</f>
        <v>LABORATI LAB. ANAL. CLIN. TIETE S/C LTDA.</v>
      </c>
      <c r="C1202" s="60" t="s">
        <v>3</v>
      </c>
      <c r="D1202" s="60">
        <v>79371</v>
      </c>
      <c r="E1202" s="21">
        <v>216.31</v>
      </c>
      <c r="F1202" s="19"/>
      <c r="G1202" s="21"/>
      <c r="H1202" s="19"/>
      <c r="I1202" s="20">
        <v>45596</v>
      </c>
    </row>
    <row r="1203" spans="1:9">
      <c r="A1203" s="18">
        <v>2702</v>
      </c>
      <c r="B1203" s="19" t="str">
        <f>IFERROR(VLOOKUP(A1203,CLIENTES!A:E,2,0),"CADASTRAR CLIENTE")</f>
        <v>SANTA CASA DE MISER. DE TAQUARITUBA</v>
      </c>
      <c r="C1203" s="60" t="s">
        <v>3</v>
      </c>
      <c r="D1203" s="60">
        <v>79393</v>
      </c>
      <c r="E1203" s="21">
        <v>1810</v>
      </c>
      <c r="F1203" s="19"/>
      <c r="G1203" s="21"/>
      <c r="H1203" s="19"/>
      <c r="I1203" s="20">
        <v>45597</v>
      </c>
    </row>
    <row r="1204" spans="1:9">
      <c r="A1204" s="18">
        <v>784</v>
      </c>
      <c r="B1204" s="19" t="str">
        <f>IFERROR(VLOOKUP(A1204,CLIENTES!A:E,2,0),"CADASTRAR CLIENTE")</f>
        <v>LAB.ANAL.CLIN. ALBERT SABIN SC LTDA.</v>
      </c>
      <c r="C1204" s="60" t="s">
        <v>3</v>
      </c>
      <c r="D1204" s="60">
        <v>78640</v>
      </c>
      <c r="E1204" s="21">
        <v>234</v>
      </c>
      <c r="F1204" s="19"/>
      <c r="G1204" s="21"/>
      <c r="H1204" s="19"/>
      <c r="I1204" s="20">
        <v>45597</v>
      </c>
    </row>
    <row r="1205" spans="1:9">
      <c r="A1205" s="18">
        <v>50219</v>
      </c>
      <c r="B1205" s="19" t="str">
        <f>IFERROR(VLOOKUP(A1205,CLIENTES!A:E,2,0),"CADASTRAR CLIENTE")</f>
        <v>UNIPREV LAB DE ANALISES LOCACAO DE BENS E REPAROS LTDA EPP</v>
      </c>
      <c r="C1205" s="60" t="s">
        <v>3</v>
      </c>
      <c r="D1205" s="60">
        <v>79400</v>
      </c>
      <c r="E1205" s="21">
        <v>987.35</v>
      </c>
      <c r="F1205" s="19"/>
      <c r="G1205" s="21"/>
      <c r="H1205" s="19"/>
      <c r="I1205" s="20">
        <v>45597</v>
      </c>
    </row>
    <row r="1206" spans="1:9">
      <c r="A1206" s="18">
        <v>50222</v>
      </c>
      <c r="B1206" s="19" t="str">
        <f>IFERROR(VLOOKUP(A1206,CLIENTES!A:E,2,0),"CADASTRAR CLIENTE")</f>
        <v>HOSPITAL REGIONAL DR VIVALDO MARTINS SIMOES</v>
      </c>
      <c r="C1206" s="60" t="s">
        <v>3</v>
      </c>
      <c r="D1206" s="60">
        <v>99759</v>
      </c>
      <c r="E1206" s="21">
        <v>191.35</v>
      </c>
      <c r="F1206" s="19"/>
      <c r="G1206" s="21"/>
      <c r="H1206" s="19"/>
      <c r="I1206" s="20">
        <v>45597</v>
      </c>
    </row>
    <row r="1207" spans="1:9">
      <c r="A1207" s="18">
        <v>1493</v>
      </c>
      <c r="B1207" s="19" t="str">
        <f>IFERROR(VLOOKUP(A1207,CLIENTES!A:E,2,0),"CADASTRAR CLIENTE")</f>
        <v>CEDIMA  CENTRO DE DIAG MONTE AZUL ANAL CLIN E CIT</v>
      </c>
      <c r="C1207" s="60" t="s">
        <v>3</v>
      </c>
      <c r="D1207" s="60">
        <v>79401</v>
      </c>
      <c r="E1207" s="21">
        <v>865.5</v>
      </c>
      <c r="F1207" s="19"/>
      <c r="G1207" s="21"/>
      <c r="H1207" s="19"/>
      <c r="I1207" s="20">
        <v>45597</v>
      </c>
    </row>
    <row r="1208" spans="1:9">
      <c r="A1208" s="18">
        <v>1652</v>
      </c>
      <c r="B1208" s="19" t="str">
        <f>IFERROR(VLOOKUP(A1208,CLIENTES!A:E,2,0),"CADASTRAR CLIENTE")</f>
        <v>LAB. SANTA CLARA ANAL.CLIN.</v>
      </c>
      <c r="C1208" s="60" t="s">
        <v>328</v>
      </c>
      <c r="D1208" s="60">
        <v>79160</v>
      </c>
      <c r="E1208" s="21">
        <v>794.9</v>
      </c>
      <c r="F1208" s="19"/>
      <c r="G1208" s="21"/>
      <c r="H1208" s="19"/>
      <c r="I1208" s="20">
        <v>45600</v>
      </c>
    </row>
    <row r="1209" spans="1:9">
      <c r="A1209" s="18">
        <v>1652</v>
      </c>
      <c r="B1209" s="19" t="str">
        <f>IFERROR(VLOOKUP(A1209,CLIENTES!A:E,2,0),"CADASTRAR CLIENTE")</f>
        <v>LAB. SANTA CLARA ANAL.CLIN.</v>
      </c>
      <c r="C1209" s="60" t="s">
        <v>328</v>
      </c>
      <c r="D1209" s="60">
        <v>99703</v>
      </c>
      <c r="E1209" s="21">
        <v>165.9</v>
      </c>
      <c r="F1209" s="19"/>
      <c r="G1209" s="21"/>
      <c r="H1209" s="19"/>
      <c r="I1209" s="20">
        <v>45600</v>
      </c>
    </row>
    <row r="1210" spans="1:9">
      <c r="A1210" s="18">
        <v>432</v>
      </c>
      <c r="B1210" s="19" t="str">
        <f>IFERROR(VLOOKUP(A1210,CLIENTES!A:E,2,0),"CADASTRAR CLIENTE")</f>
        <v>LABORATORIO PASTEUR HEMATOLOGIA E MICROBIOLOGIA S/S LTDA</v>
      </c>
      <c r="C1210" s="60" t="s">
        <v>3</v>
      </c>
      <c r="D1210" s="60">
        <v>79444</v>
      </c>
      <c r="E1210" s="21">
        <v>1795.9</v>
      </c>
      <c r="F1210" s="19"/>
      <c r="G1210" s="21"/>
      <c r="H1210" s="19"/>
      <c r="I1210" s="20">
        <v>45600</v>
      </c>
    </row>
    <row r="1211" spans="1:9">
      <c r="A1211" s="18">
        <v>1164</v>
      </c>
      <c r="B1211" s="19" t="str">
        <f>IFERROR(VLOOKUP(A1211,CLIENTES!A:E,2,0),"CADASTRAR CLIENTE")</f>
        <v>LAB. ANAL. CLIN. SAO LOURENCO S/C LTDA</v>
      </c>
      <c r="C1211" s="60" t="s">
        <v>3</v>
      </c>
      <c r="D1211" s="60">
        <v>79427</v>
      </c>
      <c r="E1211" s="21">
        <v>521.57000000000005</v>
      </c>
      <c r="F1211" s="19"/>
      <c r="G1211" s="21"/>
      <c r="H1211" s="19"/>
      <c r="I1211" s="20">
        <v>45600</v>
      </c>
    </row>
    <row r="1212" spans="1:9">
      <c r="A1212" s="18">
        <v>3153</v>
      </c>
      <c r="B1212" s="19" t="str">
        <f>IFERROR(VLOOKUP(A1212,CLIENTES!A:E,2,0),"CADASTRAR CLIENTE")</f>
        <v>UNIMED DE TUPA COOPERATIVA DE TRABALHO MEDICO</v>
      </c>
      <c r="C1212" s="60" t="s">
        <v>3</v>
      </c>
      <c r="D1212" s="60">
        <v>79448</v>
      </c>
      <c r="E1212" s="21">
        <v>1364.8</v>
      </c>
      <c r="F1212" s="19"/>
      <c r="G1212" s="21"/>
      <c r="H1212" s="19"/>
      <c r="I1212" s="20">
        <v>45600</v>
      </c>
    </row>
    <row r="1213" spans="1:9">
      <c r="A1213" s="18">
        <v>575</v>
      </c>
      <c r="B1213" s="19" t="str">
        <f>IFERROR(VLOOKUP(A1213,CLIENTES!A:E,2,0),"CADASTRAR CLIENTE")</f>
        <v>DR MUNHOZ HOSPITAL VETERINARIO E PET SHOP</v>
      </c>
      <c r="C1213" s="60" t="s">
        <v>3</v>
      </c>
      <c r="D1213" s="60">
        <v>79438</v>
      </c>
      <c r="E1213" s="21">
        <v>1207.68</v>
      </c>
      <c r="F1213" s="19"/>
      <c r="G1213" s="21"/>
      <c r="H1213" s="19"/>
      <c r="I1213" s="20">
        <v>45600</v>
      </c>
    </row>
    <row r="1214" spans="1:9">
      <c r="A1214" s="18">
        <v>756</v>
      </c>
      <c r="B1214" s="19" t="str">
        <f>IFERROR(VLOOKUP(A1214,CLIENTES!A:E,2,0),"CADASTRAR CLIENTE")</f>
        <v>LAB.TRIANON DE ANAL.CLIN.SC LTDA.</v>
      </c>
      <c r="C1214" s="60" t="s">
        <v>3</v>
      </c>
      <c r="D1214" s="60" t="s">
        <v>341</v>
      </c>
      <c r="E1214" s="21">
        <v>1617.88</v>
      </c>
      <c r="F1214" s="19"/>
      <c r="G1214" s="21"/>
      <c r="H1214" s="19"/>
      <c r="I1214" s="20">
        <v>45600</v>
      </c>
    </row>
    <row r="1215" spans="1:9">
      <c r="A1215" s="18">
        <v>823</v>
      </c>
      <c r="B1215" s="19" t="str">
        <f>IFERROR(VLOOKUP(A1215,CLIENTES!A:E,2,0),"CADASTRAR CLIENTE")</f>
        <v>SANCHES x SANCHES S/C LTDA</v>
      </c>
      <c r="C1215" s="60" t="s">
        <v>328</v>
      </c>
      <c r="D1215" s="60">
        <v>78973</v>
      </c>
      <c r="E1215" s="21">
        <v>7630.75</v>
      </c>
      <c r="F1215" s="19"/>
      <c r="G1215" s="21"/>
      <c r="H1215" s="19"/>
      <c r="I1215" s="20">
        <v>45601</v>
      </c>
    </row>
    <row r="1216" spans="1:9">
      <c r="A1216" s="18">
        <v>823</v>
      </c>
      <c r="B1216" s="19" t="str">
        <f>IFERROR(VLOOKUP(A1216,CLIENTES!A:E,2,0),"CADASTRAR CLIENTE")</f>
        <v>SANCHES x SANCHES S/C LTDA</v>
      </c>
      <c r="C1216" s="60" t="s">
        <v>328</v>
      </c>
      <c r="D1216" s="60">
        <v>99742</v>
      </c>
      <c r="E1216" s="21">
        <v>791.15</v>
      </c>
      <c r="F1216" s="19"/>
      <c r="G1216" s="21"/>
      <c r="H1216" s="19"/>
      <c r="I1216" s="20">
        <v>45601</v>
      </c>
    </row>
    <row r="1217" spans="1:9">
      <c r="A1217" s="18">
        <v>784</v>
      </c>
      <c r="B1217" s="19" t="str">
        <f>IFERROR(VLOOKUP(A1217,CLIENTES!A:E,2,0),"CADASTRAR CLIENTE")</f>
        <v>LAB.ANAL.CLIN. ALBERT SABIN SC LTDA.</v>
      </c>
      <c r="C1217" s="60" t="s">
        <v>3</v>
      </c>
      <c r="D1217" s="60">
        <v>79481</v>
      </c>
      <c r="E1217" s="21">
        <v>4157.2</v>
      </c>
      <c r="F1217" s="19"/>
      <c r="G1217" s="21"/>
      <c r="H1217" s="19"/>
      <c r="I1217" s="20">
        <v>45601</v>
      </c>
    </row>
    <row r="1218" spans="1:9">
      <c r="A1218" s="18">
        <v>475</v>
      </c>
      <c r="B1218" s="19" t="str">
        <f>IFERROR(VLOOKUP(A1218,CLIENTES!A:E,2,0),"CADASTRAR CLIENTE")</f>
        <v>LABORATORIO DE ANALISES CLINICAS SRC LTDA</v>
      </c>
      <c r="C1218" s="60" t="s">
        <v>3</v>
      </c>
      <c r="D1218" s="60" t="s">
        <v>342</v>
      </c>
      <c r="E1218" s="21">
        <v>2976.01</v>
      </c>
      <c r="F1218" s="19"/>
      <c r="G1218" s="21"/>
      <c r="H1218" s="19"/>
      <c r="I1218" s="20">
        <v>45601</v>
      </c>
    </row>
    <row r="1219" spans="1:9">
      <c r="A1219" s="18">
        <v>50554</v>
      </c>
      <c r="B1219" s="19" t="str">
        <f>IFERROR(VLOOKUP(A1219,CLIENTES!A:E,2,0),"CADASTRAR CLIENTE")</f>
        <v>SAO ROQUE MEDICINA DIAGNOSTICA</v>
      </c>
      <c r="C1219" s="60" t="s">
        <v>3</v>
      </c>
      <c r="D1219" s="60">
        <v>78770</v>
      </c>
      <c r="E1219" s="21">
        <v>189</v>
      </c>
      <c r="F1219" s="19"/>
      <c r="G1219" s="21"/>
      <c r="H1219" s="19"/>
      <c r="I1219" s="20">
        <v>45601</v>
      </c>
    </row>
    <row r="1220" spans="1:9">
      <c r="A1220" s="18">
        <v>690</v>
      </c>
      <c r="B1220" s="19" t="str">
        <f>IFERROR(VLOOKUP(A1220,CLIENTES!A:E,2,0),"CADASTRAR CLIENTE")</f>
        <v>SAO ROQUE MEDICINA DIAGNOSTICA LTDA EPP</v>
      </c>
      <c r="C1220" s="60" t="s">
        <v>3</v>
      </c>
      <c r="D1220" s="60">
        <v>78771</v>
      </c>
      <c r="E1220" s="21">
        <v>189</v>
      </c>
      <c r="F1220" s="19"/>
      <c r="G1220" s="21"/>
      <c r="H1220" s="19"/>
      <c r="I1220" s="20">
        <v>45601</v>
      </c>
    </row>
    <row r="1221" spans="1:9">
      <c r="A1221" s="18">
        <v>1989</v>
      </c>
      <c r="B1221" s="19" t="str">
        <f>IFERROR(VLOOKUP(A1221,CLIENTES!A:E,2,0),"CADASTRAR CLIENTE")</f>
        <v>SAO FRANCISCO ANAL. CLIN.</v>
      </c>
      <c r="C1221" s="60" t="s">
        <v>3</v>
      </c>
      <c r="D1221" s="60">
        <v>78769</v>
      </c>
      <c r="E1221" s="21">
        <v>606.12</v>
      </c>
      <c r="F1221" s="19"/>
      <c r="G1221" s="21"/>
      <c r="H1221" s="19"/>
      <c r="I1221" s="20">
        <v>45601</v>
      </c>
    </row>
    <row r="1222" spans="1:9">
      <c r="A1222" s="18">
        <v>2911</v>
      </c>
      <c r="B1222" s="19" t="str">
        <f>IFERROR(VLOOKUP(A1222,CLIENTES!A:E,2,0),"CADASTRAR CLIENTE")</f>
        <v>BIOLIFE-LABORATORIO DE ANALISES CLINICAS LTDA</v>
      </c>
      <c r="C1222" s="60" t="s">
        <v>3</v>
      </c>
      <c r="D1222" s="60">
        <v>79527</v>
      </c>
      <c r="E1222" s="21">
        <v>1482.8</v>
      </c>
      <c r="F1222" s="19"/>
      <c r="G1222" s="21"/>
      <c r="H1222" s="19"/>
      <c r="I1222" s="20">
        <v>45602</v>
      </c>
    </row>
    <row r="1223" spans="1:9">
      <c r="A1223" s="18">
        <v>1726</v>
      </c>
      <c r="B1223" s="19" t="str">
        <f>IFERROR(VLOOKUP(A1223,CLIENTES!A:E,2,0),"CADASTRAR CLIENTE")</f>
        <v>IRMANDADE DA SANTA CASA DE MISERIC. DE MOGI MIRIM</v>
      </c>
      <c r="C1223" s="60" t="s">
        <v>2</v>
      </c>
      <c r="D1223" s="60">
        <v>79313</v>
      </c>
      <c r="E1223" s="21"/>
      <c r="F1223" s="19">
        <v>79313</v>
      </c>
      <c r="G1223" s="21">
        <v>3460.99</v>
      </c>
      <c r="H1223" s="19"/>
      <c r="I1223" s="20">
        <v>45603</v>
      </c>
    </row>
    <row r="1224" spans="1:9">
      <c r="A1224" s="18">
        <v>761</v>
      </c>
      <c r="B1224" s="19" t="str">
        <f>IFERROR(VLOOKUP(A1224,CLIENTES!A:E,2,0),"CADASTRAR CLIENTE")</f>
        <v>EXAME CENTRO DIAG.M.ARACATUBA SC LTDA.</v>
      </c>
      <c r="C1224" s="60" t="s">
        <v>3</v>
      </c>
      <c r="D1224" s="60">
        <v>79543</v>
      </c>
      <c r="E1224" s="21">
        <v>236</v>
      </c>
      <c r="F1224" s="19"/>
      <c r="G1224" s="21"/>
      <c r="H1224" s="19"/>
      <c r="I1224" s="20">
        <v>45603</v>
      </c>
    </row>
    <row r="1225" spans="1:9">
      <c r="A1225" s="18">
        <v>761</v>
      </c>
      <c r="B1225" s="19" t="str">
        <f>IFERROR(VLOOKUP(A1225,CLIENTES!A:E,2,0),"CADASTRAR CLIENTE")</f>
        <v>EXAME CENTRO DIAG.M.ARACATUBA SC LTDA.</v>
      </c>
      <c r="C1225" s="60" t="s">
        <v>3</v>
      </c>
      <c r="D1225" s="60">
        <v>99789</v>
      </c>
      <c r="E1225" s="21">
        <v>172</v>
      </c>
      <c r="F1225" s="19"/>
      <c r="G1225" s="21"/>
      <c r="H1225" s="19"/>
      <c r="I1225" s="20">
        <v>45603</v>
      </c>
    </row>
    <row r="1226" spans="1:9">
      <c r="A1226" s="18">
        <v>746</v>
      </c>
      <c r="B1226" s="19" t="str">
        <f>IFERROR(VLOOKUP(A1226,CLIENTES!A:E,2,0),"CADASTRAR CLIENTE")</f>
        <v>LAB.ANAL.CLIN.BIOCLIN SC LTDA.</v>
      </c>
      <c r="C1226" s="60" t="s">
        <v>328</v>
      </c>
      <c r="D1226" s="60">
        <v>79557</v>
      </c>
      <c r="E1226" s="21">
        <v>5985.82</v>
      </c>
      <c r="F1226" s="19"/>
      <c r="G1226" s="21"/>
      <c r="H1226" s="19"/>
      <c r="I1226" s="20">
        <v>45603</v>
      </c>
    </row>
    <row r="1227" spans="1:9">
      <c r="A1227" s="18">
        <v>746</v>
      </c>
      <c r="B1227" s="19" t="str">
        <f>IFERROR(VLOOKUP(A1227,CLIENTES!A:E,2,0),"CADASTRAR CLIENTE")</f>
        <v>LAB.ANAL.CLIN.BIOCLIN SC LTDA.</v>
      </c>
      <c r="C1227" s="60" t="s">
        <v>328</v>
      </c>
      <c r="D1227" s="60">
        <v>99794</v>
      </c>
      <c r="E1227" s="21">
        <v>273.05</v>
      </c>
      <c r="F1227" s="19"/>
      <c r="G1227" s="21"/>
      <c r="H1227" s="19"/>
      <c r="I1227" s="20">
        <v>45603</v>
      </c>
    </row>
    <row r="1228" spans="1:9">
      <c r="A1228" s="18">
        <v>690</v>
      </c>
      <c r="B1228" s="19" t="str">
        <f>IFERROR(VLOOKUP(A1228,CLIENTES!A:E,2,0),"CADASTRAR CLIENTE")</f>
        <v>SAO ROQUE MEDICINA DIAGNOSTICA LTDA EPP</v>
      </c>
      <c r="C1228" s="60" t="s">
        <v>328</v>
      </c>
      <c r="D1228" s="60">
        <v>99799</v>
      </c>
      <c r="E1228" s="21">
        <v>885.5</v>
      </c>
      <c r="F1228" s="19"/>
      <c r="G1228" s="21"/>
      <c r="H1228" s="19"/>
      <c r="I1228" s="20">
        <v>45604</v>
      </c>
    </row>
    <row r="1229" spans="1:9">
      <c r="A1229" s="18">
        <v>690</v>
      </c>
      <c r="B1229" s="19" t="str">
        <f>IFERROR(VLOOKUP(A1229,CLIENTES!A:E,2,0),"CADASTRAR CLIENTE")</f>
        <v>SAO ROQUE MEDICINA DIAGNOSTICA LTDA EPP</v>
      </c>
      <c r="C1229" s="60" t="s">
        <v>328</v>
      </c>
      <c r="D1229" s="60">
        <v>79590</v>
      </c>
      <c r="E1229" s="21">
        <v>1342.25</v>
      </c>
      <c r="F1229" s="19"/>
      <c r="G1229" s="21"/>
      <c r="H1229" s="19"/>
      <c r="I1229" s="20">
        <v>45604</v>
      </c>
    </row>
    <row r="1230" spans="1:9">
      <c r="A1230" s="18">
        <v>50497</v>
      </c>
      <c r="B1230" s="19" t="str">
        <f>IFERROR(VLOOKUP(A1230,CLIENTES!A:E,2,0),"CADASTRAR CLIENTE")</f>
        <v>DIAGNOSTIKA-UNIDADE DIAGNOSTICA EM PATOLOGIA CIRURGICA E CITOLOGIA LTDA</v>
      </c>
      <c r="C1230" s="60" t="s">
        <v>328</v>
      </c>
      <c r="D1230" s="60">
        <v>99802</v>
      </c>
      <c r="E1230" s="21">
        <v>1303.2</v>
      </c>
      <c r="F1230" s="19"/>
      <c r="G1230" s="21"/>
      <c r="H1230" s="19"/>
      <c r="I1230" s="20">
        <v>45604</v>
      </c>
    </row>
    <row r="1231" spans="1:9">
      <c r="A1231" s="18">
        <v>50554</v>
      </c>
      <c r="B1231" s="19" t="str">
        <f>IFERROR(VLOOKUP(A1231,CLIENTES!A:E,2,0),"CADASTRAR CLIENTE")</f>
        <v>SAO ROQUE MEDICINA DIAGNOSTICA</v>
      </c>
      <c r="C1231" s="60" t="s">
        <v>328</v>
      </c>
      <c r="D1231" s="60">
        <v>79600</v>
      </c>
      <c r="E1231" s="21">
        <v>3625.25</v>
      </c>
      <c r="F1231" s="19"/>
      <c r="G1231" s="21"/>
      <c r="H1231" s="19"/>
      <c r="I1231" s="20">
        <v>45604</v>
      </c>
    </row>
    <row r="1232" spans="1:9">
      <c r="A1232" s="18">
        <v>618</v>
      </c>
      <c r="B1232" s="19" t="str">
        <f>IFERROR(VLOOKUP(A1232,CLIENTES!A:E,2,0),"CADASTRAR CLIENTE")</f>
        <v>LAB. ANAL. CLIN. POMPEIA</v>
      </c>
      <c r="C1232" s="60" t="s">
        <v>3</v>
      </c>
      <c r="D1232" s="60">
        <v>79532</v>
      </c>
      <c r="E1232" s="21">
        <v>4224.91</v>
      </c>
      <c r="F1232" s="19"/>
      <c r="G1232" s="21"/>
      <c r="H1232" s="19"/>
      <c r="I1232" s="20">
        <v>45604</v>
      </c>
    </row>
    <row r="1233" spans="1:9">
      <c r="A1233" s="18">
        <v>1971</v>
      </c>
      <c r="B1233" s="19" t="str">
        <f>IFERROR(VLOOKUP(A1233,CLIENTES!A:E,2,0),"CADASTRAR CLIENTE")</f>
        <v>LABORATORIO POPULAR LAB 7 LTDA</v>
      </c>
      <c r="C1233" s="60" t="s">
        <v>3</v>
      </c>
      <c r="D1233" s="60">
        <v>79612</v>
      </c>
      <c r="E1233" s="21">
        <v>537.4</v>
      </c>
      <c r="F1233" s="19"/>
      <c r="G1233" s="21"/>
      <c r="H1233" s="19"/>
      <c r="I1233" s="20">
        <v>45604</v>
      </c>
    </row>
    <row r="1234" spans="1:9">
      <c r="A1234" s="18">
        <v>325</v>
      </c>
      <c r="B1234" s="19" t="str">
        <f>IFERROR(VLOOKUP(A1234,CLIENTES!A:E,2,0),"CADASTRAR CLIENTE")</f>
        <v>EXAME-LABORAT. DE ANAL. CLIN. CITODIAGNOSTICO S/S LTDA</v>
      </c>
      <c r="C1234" s="60" t="s">
        <v>3</v>
      </c>
      <c r="D1234" s="60">
        <v>79630</v>
      </c>
      <c r="E1234" s="21">
        <v>851.1</v>
      </c>
      <c r="F1234" s="19"/>
      <c r="G1234" s="21"/>
      <c r="H1234" s="19"/>
      <c r="I1234" s="20">
        <v>45604</v>
      </c>
    </row>
    <row r="1235" spans="1:9">
      <c r="A1235" s="18">
        <v>325</v>
      </c>
      <c r="B1235" s="19" t="str">
        <f>IFERROR(VLOOKUP(A1235,CLIENTES!A:E,2,0),"CADASTRAR CLIENTE")</f>
        <v>EXAME-LABORAT. DE ANAL. CLIN. CITODIAGNOSTICO S/S LTDA</v>
      </c>
      <c r="C1235" s="60" t="s">
        <v>3</v>
      </c>
      <c r="D1235" s="60">
        <v>99808</v>
      </c>
      <c r="E1235" s="21">
        <v>60.3</v>
      </c>
      <c r="F1235" s="19"/>
      <c r="G1235" s="21"/>
      <c r="H1235" s="19"/>
      <c r="I1235" s="20">
        <v>45604</v>
      </c>
    </row>
    <row r="1236" spans="1:9">
      <c r="A1236" s="18">
        <v>432</v>
      </c>
      <c r="B1236" s="19" t="str">
        <f>IFERROR(VLOOKUP(A1236,CLIENTES!A:E,2,0),"CADASTRAR CLIENTE")</f>
        <v>LABORATORIO PASTEUR HEMATOLOGIA E MICROBIOLOGIA S/S LTDA</v>
      </c>
      <c r="C1236" s="60" t="s">
        <v>3</v>
      </c>
      <c r="D1236" s="60">
        <v>79513</v>
      </c>
      <c r="E1236" s="21">
        <v>773.6</v>
      </c>
      <c r="F1236" s="19"/>
      <c r="G1236" s="21"/>
      <c r="H1236" s="19"/>
      <c r="I1236" s="20">
        <v>45604</v>
      </c>
    </row>
    <row r="1237" spans="1:9">
      <c r="A1237" s="18">
        <v>1122</v>
      </c>
      <c r="B1237" s="19" t="str">
        <f>IFERROR(VLOOKUP(A1237,CLIENTES!A:E,2,0),"CADASTRAR CLIENTE")</f>
        <v>FUNDEPAG</v>
      </c>
      <c r="C1237" s="60" t="s">
        <v>2</v>
      </c>
      <c r="D1237" s="60">
        <v>79649</v>
      </c>
      <c r="E1237" s="21">
        <v>4321.5</v>
      </c>
      <c r="F1237" s="19"/>
      <c r="G1237" s="21"/>
      <c r="H1237" s="19"/>
      <c r="I1237" s="20">
        <v>45604</v>
      </c>
    </row>
    <row r="1238" spans="1:9">
      <c r="A1238" s="18">
        <v>1122</v>
      </c>
      <c r="B1238" s="19" t="str">
        <f>IFERROR(VLOOKUP(A1238,CLIENTES!A:E,2,0),"CADASTRAR CLIENTE")</f>
        <v>FUNDEPAG</v>
      </c>
      <c r="C1238" s="60" t="s">
        <v>2</v>
      </c>
      <c r="D1238" s="60">
        <v>79654</v>
      </c>
      <c r="E1238" s="21">
        <v>1784.7</v>
      </c>
      <c r="F1238" s="19"/>
      <c r="G1238" s="21"/>
      <c r="H1238" s="19"/>
      <c r="I1238" s="20">
        <v>45604</v>
      </c>
    </row>
    <row r="1239" spans="1:9">
      <c r="A1239" s="18">
        <v>1726</v>
      </c>
      <c r="B1239" s="19" t="str">
        <f>IFERROR(VLOOKUP(A1239,CLIENTES!A:E,2,0),"CADASTRAR CLIENTE")</f>
        <v>IRMANDADE DA SANTA CASA DE MISERIC. DE MOGI MIRIM</v>
      </c>
      <c r="C1239" s="60" t="s">
        <v>2</v>
      </c>
      <c r="D1239" s="60"/>
      <c r="E1239" s="21"/>
      <c r="F1239" s="19">
        <v>79645</v>
      </c>
      <c r="G1239" s="21">
        <v>2520</v>
      </c>
      <c r="H1239" s="19"/>
      <c r="I1239" s="20">
        <v>45604</v>
      </c>
    </row>
    <row r="1240" spans="1:9">
      <c r="A1240" s="18">
        <v>516</v>
      </c>
      <c r="B1240" s="19" t="str">
        <f>IFERROR(VLOOKUP(A1240,CLIENTES!A:E,2,0),"CADASTRAR CLIENTE")</f>
        <v>TECNOLAB PATOLOGIA CLINICA S/C LTDA</v>
      </c>
      <c r="C1240" s="60" t="s">
        <v>3</v>
      </c>
      <c r="D1240" s="60">
        <v>79668</v>
      </c>
      <c r="E1240" s="21">
        <v>48.1</v>
      </c>
      <c r="F1240" s="19"/>
      <c r="G1240" s="21"/>
      <c r="H1240" s="19"/>
      <c r="I1240" s="20">
        <v>45604</v>
      </c>
    </row>
    <row r="1241" spans="1:9">
      <c r="A1241" s="18">
        <v>3475</v>
      </c>
      <c r="B1241" s="19" t="str">
        <f>IFERROR(VLOOKUP(A1241,CLIENTES!A:E,2,0),"CADASTRAR CLIENTE")</f>
        <v>LQF LABORATORIO QUIMICO FARMACEUTICO RIO PRETO EIRELI - ME</v>
      </c>
      <c r="C1241" s="60" t="s">
        <v>3</v>
      </c>
      <c r="D1241" s="60">
        <v>79688</v>
      </c>
      <c r="E1241" s="21">
        <v>604.79999999999995</v>
      </c>
      <c r="F1241" s="19"/>
      <c r="G1241" s="21"/>
      <c r="H1241" s="19"/>
      <c r="I1241" s="20">
        <v>45607</v>
      </c>
    </row>
    <row r="1242" spans="1:9">
      <c r="A1242" s="18">
        <v>50576</v>
      </c>
      <c r="B1242" s="19" t="str">
        <f>IFERROR(VLOOKUP(A1242,CLIENTES!A:E,2,0),"CADASTRAR CLIENTE")</f>
        <v>ANDRIAO CANEPPA E SILVA LTDA ME</v>
      </c>
      <c r="C1242" s="60" t="s">
        <v>3</v>
      </c>
      <c r="D1242" s="60" t="s">
        <v>343</v>
      </c>
      <c r="E1242" s="21">
        <v>956.65</v>
      </c>
      <c r="F1242" s="19"/>
      <c r="G1242" s="21"/>
      <c r="H1242" s="19"/>
      <c r="I1242" s="20">
        <v>45607</v>
      </c>
    </row>
    <row r="1243" spans="1:9">
      <c r="A1243" s="18">
        <v>2022</v>
      </c>
      <c r="B1243" s="19" t="str">
        <f>IFERROR(VLOOKUP(A1243,CLIENTES!A:E,2,0),"CADASTRAR CLIENTE")</f>
        <v>LAB. MEDICO DR. MARICONDI S/C LTDA.</v>
      </c>
      <c r="C1243" s="60" t="s">
        <v>3</v>
      </c>
      <c r="D1243" s="60">
        <v>79279</v>
      </c>
      <c r="E1243" s="21">
        <v>930.05</v>
      </c>
      <c r="F1243" s="19"/>
      <c r="G1243" s="21"/>
      <c r="H1243" s="19"/>
      <c r="I1243" s="20">
        <v>45607</v>
      </c>
    </row>
    <row r="1244" spans="1:9">
      <c r="A1244" s="18">
        <v>3018</v>
      </c>
      <c r="B1244" s="19" t="str">
        <f>IFERROR(VLOOKUP(A1244,CLIENTES!A:E,2,0),"CADASTRAR CLIENTE")</f>
        <v>NP- LABORATORIO DE ANALISES CLINICAS LTDA</v>
      </c>
      <c r="C1244" s="60" t="s">
        <v>3</v>
      </c>
      <c r="D1244" s="60">
        <v>79713</v>
      </c>
      <c r="E1244" s="21">
        <v>1131.5</v>
      </c>
      <c r="F1244" s="19"/>
      <c r="G1244" s="21"/>
      <c r="H1244" s="19"/>
      <c r="I1244" s="20">
        <v>45607</v>
      </c>
    </row>
    <row r="1245" spans="1:9">
      <c r="A1245" s="18">
        <v>3194</v>
      </c>
      <c r="B1245" s="19" t="str">
        <f>IFERROR(VLOOKUP(A1245,CLIENTES!A:E,2,0),"CADASTRAR CLIENTE")</f>
        <v>CENTRO DE DIAGNOSTICOS CONTROLE LTDA</v>
      </c>
      <c r="C1245" s="60" t="s">
        <v>328</v>
      </c>
      <c r="D1245" s="60">
        <v>78764</v>
      </c>
      <c r="E1245" s="21">
        <v>1644.1</v>
      </c>
      <c r="F1245" s="19"/>
      <c r="G1245" s="21"/>
      <c r="H1245" s="19"/>
      <c r="I1245" s="20">
        <v>45607</v>
      </c>
    </row>
    <row r="1246" spans="1:9">
      <c r="A1246" s="18">
        <v>772</v>
      </c>
      <c r="B1246" s="19" t="str">
        <f>IFERROR(VLOOKUP(A1246,CLIENTES!A:E,2,0),"CADASTRAR CLIENTE")</f>
        <v>MEGARON LABORATORIO ANAL.CLIN.SC LTDA.</v>
      </c>
      <c r="C1246" s="60" t="s">
        <v>3</v>
      </c>
      <c r="D1246" s="60">
        <v>99831</v>
      </c>
      <c r="E1246" s="21">
        <v>314.10000000000002</v>
      </c>
      <c r="F1246" s="19"/>
      <c r="G1246" s="21"/>
      <c r="H1246" s="19"/>
      <c r="I1246" s="20">
        <v>45607</v>
      </c>
    </row>
    <row r="1247" spans="1:9">
      <c r="A1247" s="18">
        <v>772</v>
      </c>
      <c r="B1247" s="19" t="str">
        <f>IFERROR(VLOOKUP(A1247,CLIENTES!A:E,2,0),"CADASTRAR CLIENTE")</f>
        <v>MEGARON LABORATORIO ANAL.CLIN.SC LTDA.</v>
      </c>
      <c r="C1247" s="60" t="s">
        <v>3</v>
      </c>
      <c r="D1247" s="60">
        <v>79725</v>
      </c>
      <c r="E1247" s="21">
        <v>986.9</v>
      </c>
      <c r="F1247" s="19"/>
      <c r="G1247" s="21"/>
      <c r="H1247" s="19"/>
      <c r="I1247" s="20">
        <v>45607</v>
      </c>
    </row>
    <row r="1248" spans="1:9">
      <c r="A1248" s="18">
        <v>475</v>
      </c>
      <c r="B1248" s="19" t="str">
        <f>IFERROR(VLOOKUP(A1248,CLIENTES!A:E,2,0),"CADASTRAR CLIENTE")</f>
        <v>LABORATORIO DE ANALISES CLINICAS SRC LTDA</v>
      </c>
      <c r="C1248" s="60" t="s">
        <v>3</v>
      </c>
      <c r="D1248" s="60" t="s">
        <v>344</v>
      </c>
      <c r="E1248" s="21">
        <v>4332.6099999999997</v>
      </c>
      <c r="F1248" s="19"/>
      <c r="G1248" s="21"/>
      <c r="H1248" s="19"/>
      <c r="I1248" s="20">
        <v>45608</v>
      </c>
    </row>
    <row r="1249" spans="1:9">
      <c r="A1249" s="18">
        <v>516</v>
      </c>
      <c r="B1249" s="19" t="str">
        <f>IFERROR(VLOOKUP(A1249,CLIENTES!A:E,2,0),"CADASTRAR CLIENTE")</f>
        <v>TECNOLAB PATOLOGIA CLINICA S/C LTDA</v>
      </c>
      <c r="C1249" s="60" t="s">
        <v>3</v>
      </c>
      <c r="D1249" s="60">
        <v>79535</v>
      </c>
      <c r="E1249" s="21">
        <v>3527.5</v>
      </c>
      <c r="F1249" s="19"/>
      <c r="G1249" s="21"/>
      <c r="H1249" s="19"/>
      <c r="I1249" s="20">
        <v>45608</v>
      </c>
    </row>
    <row r="1250" spans="1:9">
      <c r="A1250" s="18">
        <v>432</v>
      </c>
      <c r="B1250" s="19" t="str">
        <f>IFERROR(VLOOKUP(A1250,CLIENTES!A:E,2,0),"CADASTRAR CLIENTE")</f>
        <v>LABORATORIO PASTEUR HEMATOLOGIA E MICROBIOLOGIA S/S LTDA</v>
      </c>
      <c r="C1250" s="60" t="s">
        <v>3</v>
      </c>
      <c r="D1250" s="60">
        <v>79709</v>
      </c>
      <c r="E1250" s="21">
        <v>1128</v>
      </c>
      <c r="F1250" s="19"/>
      <c r="G1250" s="21"/>
      <c r="H1250" s="19"/>
      <c r="I1250" s="20">
        <v>45608</v>
      </c>
    </row>
    <row r="1251" spans="1:9">
      <c r="A1251" s="18">
        <v>1041</v>
      </c>
      <c r="B1251" s="19" t="str">
        <f>IFERROR(VLOOKUP(A1251,CLIENTES!A:E,2,0),"CADASTRAR CLIENTE")</f>
        <v>EDSON VANDERLEI CARRERA</v>
      </c>
      <c r="C1251" s="60" t="s">
        <v>3</v>
      </c>
      <c r="D1251" s="60">
        <v>99637</v>
      </c>
      <c r="E1251" s="21">
        <v>187.5</v>
      </c>
      <c r="F1251" s="19"/>
      <c r="G1251" s="21"/>
      <c r="H1251" s="19"/>
      <c r="I1251" s="20">
        <v>45608</v>
      </c>
    </row>
    <row r="1252" spans="1:9">
      <c r="A1252" s="18">
        <v>3240</v>
      </c>
      <c r="B1252" s="19" t="str">
        <f>IFERROR(VLOOKUP(A1252,CLIENTES!A:E,2,0),"CADASTRAR CLIENTE")</f>
        <v>LABORLOPES LABORATORIO DE  ANALISES CLINICAS LTDA</v>
      </c>
      <c r="C1252" s="60" t="s">
        <v>3</v>
      </c>
      <c r="D1252" s="60">
        <v>99835</v>
      </c>
      <c r="E1252" s="21">
        <v>225.15</v>
      </c>
      <c r="F1252" s="19"/>
      <c r="G1252" s="21"/>
      <c r="H1252" s="19"/>
      <c r="I1252" s="20">
        <v>45608</v>
      </c>
    </row>
    <row r="1253" spans="1:9">
      <c r="A1253" s="18">
        <v>3240</v>
      </c>
      <c r="B1253" s="19" t="str">
        <f>IFERROR(VLOOKUP(A1253,CLIENTES!A:E,2,0),"CADASTRAR CLIENTE")</f>
        <v>LABORLOPES LABORATORIO DE  ANALISES CLINICAS LTDA</v>
      </c>
      <c r="C1253" s="60" t="s">
        <v>3</v>
      </c>
      <c r="D1253" s="60">
        <v>79746</v>
      </c>
      <c r="E1253" s="21">
        <v>1259.55</v>
      </c>
      <c r="F1253" s="19"/>
      <c r="G1253" s="21"/>
      <c r="H1253" s="19"/>
      <c r="I1253" s="20">
        <v>45608</v>
      </c>
    </row>
    <row r="1254" spans="1:9">
      <c r="A1254" s="18">
        <v>3017</v>
      </c>
      <c r="B1254" s="19" t="str">
        <f>IFERROR(VLOOKUP(A1254,CLIENTES!A:E,2,0),"CADASTRAR CLIENTE")</f>
        <v>IMUNOLAB LABORATORIO DE ANALISES CLINICAS LTDA ME</v>
      </c>
      <c r="C1254" s="60" t="s">
        <v>3</v>
      </c>
      <c r="D1254" s="60">
        <v>79759</v>
      </c>
      <c r="E1254" s="21">
        <v>1168.8399999999999</v>
      </c>
      <c r="F1254" s="19"/>
      <c r="G1254" s="21"/>
      <c r="H1254" s="19"/>
      <c r="I1254" s="20">
        <v>45608</v>
      </c>
    </row>
    <row r="1255" spans="1:9">
      <c r="A1255" s="18">
        <v>1533</v>
      </c>
      <c r="B1255" s="19" t="str">
        <f>IFERROR(VLOOKUP(A1255,CLIENTES!A:E,2,0),"CADASTRAR CLIENTE")</f>
        <v>LABORATORIO BIOANALISE DIAGNOSTICO LTDA</v>
      </c>
      <c r="C1255" s="60" t="s">
        <v>3</v>
      </c>
      <c r="D1255" s="60">
        <v>79774</v>
      </c>
      <c r="E1255" s="21">
        <v>877</v>
      </c>
      <c r="F1255" s="19"/>
      <c r="G1255" s="21"/>
      <c r="H1255" s="19"/>
      <c r="I1255" s="20">
        <v>45609</v>
      </c>
    </row>
    <row r="1256" spans="1:9">
      <c r="A1256" s="18">
        <v>3077</v>
      </c>
      <c r="B1256" s="19" t="str">
        <f>IFERROR(VLOOKUP(A1256,CLIENTES!A:E,2,0),"CADASTRAR CLIENTE")</f>
        <v>CBI ANALISES CLINICAS S/S LTDA</v>
      </c>
      <c r="C1256" s="60" t="s">
        <v>328</v>
      </c>
      <c r="D1256" s="60">
        <v>79775</v>
      </c>
      <c r="E1256" s="21">
        <v>1707.74</v>
      </c>
      <c r="F1256" s="19"/>
      <c r="G1256" s="21"/>
      <c r="H1256" s="19"/>
      <c r="I1256" s="20">
        <v>45609</v>
      </c>
    </row>
    <row r="1257" spans="1:9">
      <c r="A1257" s="18">
        <v>3077</v>
      </c>
      <c r="B1257" s="19" t="str">
        <f>IFERROR(VLOOKUP(A1257,CLIENTES!A:E,2,0),"CADASTRAR CLIENTE")</f>
        <v>CBI ANALISES CLINICAS S/S LTDA</v>
      </c>
      <c r="C1257" s="60" t="s">
        <v>328</v>
      </c>
      <c r="D1257" s="60">
        <v>99839</v>
      </c>
      <c r="E1257" s="21">
        <v>266.67</v>
      </c>
      <c r="F1257" s="19"/>
      <c r="G1257" s="21"/>
      <c r="H1257" s="19"/>
      <c r="I1257" s="20">
        <v>45609</v>
      </c>
    </row>
    <row r="1258" spans="1:9">
      <c r="A1258" s="18">
        <v>1164</v>
      </c>
      <c r="B1258" s="19" t="str">
        <f>IFERROR(VLOOKUP(A1258,CLIENTES!A:E,2,0),"CADASTRAR CLIENTE")</f>
        <v>LAB. ANAL. CLIN. SAO LOURENCO S/C LTDA</v>
      </c>
      <c r="C1258" s="60" t="s">
        <v>3</v>
      </c>
      <c r="D1258" s="60">
        <v>99764</v>
      </c>
      <c r="E1258" s="21">
        <v>71.349999999999994</v>
      </c>
      <c r="F1258" s="19"/>
      <c r="G1258" s="21"/>
      <c r="H1258" s="19"/>
      <c r="I1258" s="20">
        <v>45609</v>
      </c>
    </row>
    <row r="1259" spans="1:9">
      <c r="A1259" s="18">
        <v>1164</v>
      </c>
      <c r="B1259" s="19" t="str">
        <f>IFERROR(VLOOKUP(A1259,CLIENTES!A:E,2,0),"CADASTRAR CLIENTE")</f>
        <v>LAB. ANAL. CLIN. SAO LOURENCO S/C LTDA</v>
      </c>
      <c r="C1259" s="60" t="s">
        <v>3</v>
      </c>
      <c r="D1259" s="60">
        <v>79786</v>
      </c>
      <c r="E1259" s="21">
        <v>1195.49</v>
      </c>
      <c r="F1259" s="19"/>
      <c r="G1259" s="21"/>
      <c r="H1259" s="19"/>
      <c r="I1259" s="20">
        <v>45609</v>
      </c>
    </row>
    <row r="1260" spans="1:9">
      <c r="A1260" s="18">
        <v>762</v>
      </c>
      <c r="B1260" s="19" t="str">
        <f>IFERROR(VLOOKUP(A1260,CLIENTES!A:E,2,0),"CADASTRAR CLIENTE")</f>
        <v>STA. CASA MISERICORDIA DE ARACATUBA</v>
      </c>
      <c r="C1260" s="60" t="s">
        <v>2</v>
      </c>
      <c r="D1260" s="60">
        <v>78604</v>
      </c>
      <c r="E1260" s="21">
        <v>2108.16</v>
      </c>
      <c r="F1260" s="19"/>
      <c r="G1260" s="21"/>
      <c r="H1260" s="19"/>
      <c r="I1260" s="20">
        <v>45609</v>
      </c>
    </row>
    <row r="1261" spans="1:9">
      <c r="A1261" s="18">
        <v>2022</v>
      </c>
      <c r="B1261" s="19" t="str">
        <f>IFERROR(VLOOKUP(A1261,CLIENTES!A:E,2,0),"CADASTRAR CLIENTE")</f>
        <v>LAB. MEDICO DR. MARICONDI S/C LTDA.</v>
      </c>
      <c r="C1261" s="60" t="s">
        <v>328</v>
      </c>
      <c r="D1261" s="60" t="s">
        <v>345</v>
      </c>
      <c r="E1261" s="21">
        <v>479.22</v>
      </c>
      <c r="F1261" s="19"/>
      <c r="G1261" s="21"/>
      <c r="H1261" s="19"/>
      <c r="I1261" s="20">
        <v>45610</v>
      </c>
    </row>
    <row r="1262" spans="1:9">
      <c r="A1262" s="18">
        <v>708</v>
      </c>
      <c r="B1262" s="19" t="str">
        <f>IFERROR(VLOOKUP(A1262,CLIENTES!A:E,2,0),"CADASTRAR CLIENTE")</f>
        <v>IMEDI INST.MEDICO DE PAT.E DIAGNOSTICO SC LTDA.</v>
      </c>
      <c r="C1262" s="60" t="s">
        <v>3</v>
      </c>
      <c r="D1262" s="60">
        <v>79825</v>
      </c>
      <c r="E1262" s="21">
        <v>2272.5</v>
      </c>
      <c r="F1262" s="19"/>
      <c r="G1262" s="21"/>
      <c r="H1262" s="19"/>
      <c r="I1262" s="20">
        <v>45610</v>
      </c>
    </row>
    <row r="1263" spans="1:9">
      <c r="A1263" s="18">
        <v>705</v>
      </c>
      <c r="B1263" s="19" t="str">
        <f>IFERROR(VLOOKUP(A1263,CLIENTES!A:E,2,0),"CADASTRAR CLIENTE")</f>
        <v>JOAO JOSE SCHIAVUZZO ME</v>
      </c>
      <c r="C1263" s="60" t="s">
        <v>3</v>
      </c>
      <c r="D1263" s="60">
        <v>99855</v>
      </c>
      <c r="E1263" s="21">
        <v>849.2</v>
      </c>
      <c r="F1263" s="19"/>
      <c r="G1263" s="21"/>
      <c r="H1263" s="22"/>
      <c r="I1263" s="20">
        <v>45614</v>
      </c>
    </row>
    <row r="1264" spans="1:9">
      <c r="A1264" s="18">
        <v>725</v>
      </c>
      <c r="B1264" s="19" t="str">
        <f>IFERROR(VLOOKUP(A1264,CLIENTES!A:E,2,0),"CADASTRAR CLIENTE")</f>
        <v>LAB. ANAL. CLIN. DR. ALUISIO CASELLA</v>
      </c>
      <c r="C1264" s="60" t="s">
        <v>3</v>
      </c>
      <c r="D1264" s="60">
        <v>79849</v>
      </c>
      <c r="E1264" s="21">
        <v>397.7</v>
      </c>
      <c r="F1264" s="19"/>
      <c r="G1264" s="21"/>
      <c r="H1264" s="22"/>
      <c r="I1264" s="20">
        <v>45614</v>
      </c>
    </row>
    <row r="1265" spans="1:9">
      <c r="A1265" s="18">
        <v>762</v>
      </c>
      <c r="B1265" s="19" t="str">
        <f>IFERROR(VLOOKUP(A1265,CLIENTES!A:E,2,0),"CADASTRAR CLIENTE")</f>
        <v>STA. CASA MISERICORDIA DE ARACATUBA</v>
      </c>
      <c r="C1265" s="60" t="s">
        <v>2</v>
      </c>
      <c r="D1265" s="60">
        <v>79852</v>
      </c>
      <c r="E1265" s="21">
        <v>14066.4</v>
      </c>
      <c r="F1265" s="19"/>
      <c r="G1265" s="21"/>
      <c r="H1265" s="22"/>
      <c r="I1265" s="20">
        <v>45614</v>
      </c>
    </row>
    <row r="1266" spans="1:9">
      <c r="A1266" s="18">
        <v>761</v>
      </c>
      <c r="B1266" s="19" t="str">
        <f>IFERROR(VLOOKUP(A1266,CLIENTES!A:E,2,0),"CADASTRAR CLIENTE")</f>
        <v>EXAME CENTRO DIAG.M.ARACATUBA SC LTDA.</v>
      </c>
      <c r="C1266" s="60" t="s">
        <v>3</v>
      </c>
      <c r="D1266" s="60">
        <v>99857</v>
      </c>
      <c r="E1266" s="21">
        <v>189.05</v>
      </c>
      <c r="F1266" s="19"/>
      <c r="G1266" s="21"/>
      <c r="H1266" s="22"/>
      <c r="I1266" s="20">
        <v>45614</v>
      </c>
    </row>
    <row r="1267" spans="1:9">
      <c r="A1267" s="18">
        <v>756</v>
      </c>
      <c r="B1267" s="19" t="str">
        <f>IFERROR(VLOOKUP(A1267,CLIENTES!A:E,2,0),"CADASTRAR CLIENTE")</f>
        <v>LAB.TRIANON DE ANAL.CLIN.SC LTDA.</v>
      </c>
      <c r="C1267" s="60" t="s">
        <v>3</v>
      </c>
      <c r="D1267" s="60">
        <v>79858</v>
      </c>
      <c r="E1267" s="21">
        <v>1201.94</v>
      </c>
      <c r="F1267" s="19"/>
      <c r="G1267" s="21"/>
      <c r="H1267" s="22"/>
      <c r="I1267" s="20">
        <v>45614</v>
      </c>
    </row>
    <row r="1268" spans="1:9">
      <c r="A1268" s="18">
        <v>171</v>
      </c>
      <c r="B1268" s="19" t="str">
        <f>IFERROR(VLOOKUP(A1268,CLIENTES!A:E,2,0),"CADASTRAR CLIENTE")</f>
        <v>HOSPITAL BENEFICENTE SAO JOSE</v>
      </c>
      <c r="C1268" s="60" t="s">
        <v>3</v>
      </c>
      <c r="D1268" s="60">
        <v>79678</v>
      </c>
      <c r="E1268" s="21">
        <v>856.55</v>
      </c>
      <c r="F1268" s="19"/>
      <c r="G1268" s="21"/>
      <c r="H1268" s="22"/>
      <c r="I1268" s="20">
        <v>45614</v>
      </c>
    </row>
    <row r="1269" spans="1:9">
      <c r="A1269" s="18">
        <v>725</v>
      </c>
      <c r="B1269" s="19" t="str">
        <f>IFERROR(VLOOKUP(A1269,CLIENTES!A:E,2,0),"CADASTRAR CLIENTE")</f>
        <v>LAB. ANAL. CLIN. DR. ALUISIO CASELLA</v>
      </c>
      <c r="C1269" s="60" t="s">
        <v>3</v>
      </c>
      <c r="D1269" s="60">
        <v>79865</v>
      </c>
      <c r="E1269" s="21">
        <v>410.85</v>
      </c>
      <c r="F1269" s="19"/>
      <c r="G1269" s="21"/>
      <c r="H1269" s="22"/>
      <c r="I1269" s="20">
        <v>45614</v>
      </c>
    </row>
    <row r="1270" spans="1:9">
      <c r="A1270" s="18">
        <v>705</v>
      </c>
      <c r="B1270" s="19" t="str">
        <f>IFERROR(VLOOKUP(A1270,CLIENTES!A:E,2,0),"CADASTRAR CLIENTE")</f>
        <v>JOAO JOSE SCHIAVUZZO ME</v>
      </c>
      <c r="C1270" s="60" t="s">
        <v>328</v>
      </c>
      <c r="D1270" s="60">
        <v>79867</v>
      </c>
      <c r="E1270" s="21">
        <v>59.9</v>
      </c>
      <c r="F1270" s="19"/>
      <c r="G1270" s="21"/>
      <c r="H1270" s="22"/>
      <c r="I1270" s="20">
        <v>45614</v>
      </c>
    </row>
    <row r="1271" spans="1:9">
      <c r="A1271" s="18">
        <v>1813</v>
      </c>
      <c r="B1271" s="19" t="str">
        <f>IFERROR(VLOOKUP(A1271,CLIENTES!A:E,2,0),"CADASTRAR CLIENTE")</f>
        <v>BIOMED LAB.ANAL.CLIN. SC  LTDA</v>
      </c>
      <c r="C1271" s="60" t="s">
        <v>3</v>
      </c>
      <c r="D1271" s="60">
        <v>79872</v>
      </c>
      <c r="E1271" s="21">
        <v>661.75</v>
      </c>
      <c r="F1271" s="19"/>
      <c r="G1271" s="21"/>
      <c r="H1271" s="22"/>
      <c r="I1271" s="20">
        <v>45614</v>
      </c>
    </row>
    <row r="1272" spans="1:9">
      <c r="A1272" s="18">
        <v>463</v>
      </c>
      <c r="B1272" s="19" t="str">
        <f>IFERROR(VLOOKUP(A1272,CLIENTES!A:E,2,0),"CADASTRAR CLIENTE")</f>
        <v>MASUDA &amp; MASUDA LABORATORIO CLINICO LTDA</v>
      </c>
      <c r="C1272" s="60" t="s">
        <v>3</v>
      </c>
      <c r="D1272" s="60">
        <v>79875</v>
      </c>
      <c r="E1272" s="21">
        <v>917.2</v>
      </c>
      <c r="F1272" s="19"/>
      <c r="G1272" s="21"/>
      <c r="H1272" s="22"/>
      <c r="I1272" s="20">
        <v>45614</v>
      </c>
    </row>
    <row r="1273" spans="1:9">
      <c r="A1273" s="18">
        <v>1206</v>
      </c>
      <c r="B1273" s="19" t="str">
        <f>IFERROR(VLOOKUP(A1273,CLIENTES!A:E,2,0),"CADASTRAR CLIENTE")</f>
        <v>LABORATORIO RIO NEGRO CENTER DE MARILIA  LTDA</v>
      </c>
      <c r="C1273" s="60" t="s">
        <v>3</v>
      </c>
      <c r="D1273" s="60">
        <v>79879</v>
      </c>
      <c r="E1273" s="21">
        <v>1097.79</v>
      </c>
      <c r="F1273" s="19"/>
      <c r="G1273" s="21"/>
      <c r="H1273" s="22"/>
      <c r="I1273" s="20">
        <v>45614</v>
      </c>
    </row>
    <row r="1274" spans="1:9">
      <c r="A1274" s="18">
        <v>1742</v>
      </c>
      <c r="B1274" s="19" t="str">
        <f>IFERROR(VLOOKUP(A1274,CLIENTES!A:E,2,0),"CADASTRAR CLIENTE")</f>
        <v>A.C. BARBOSA S/C LTDA.</v>
      </c>
      <c r="C1274" s="60" t="s">
        <v>3</v>
      </c>
      <c r="D1274" s="60">
        <v>79892</v>
      </c>
      <c r="E1274" s="21">
        <v>602.20000000000005</v>
      </c>
      <c r="F1274" s="19"/>
      <c r="G1274" s="21"/>
      <c r="H1274" s="22"/>
      <c r="I1274" s="20">
        <v>45615</v>
      </c>
    </row>
    <row r="1275" spans="1:9">
      <c r="A1275" s="18">
        <v>1026</v>
      </c>
      <c r="B1275" s="19" t="str">
        <f>IFERROR(VLOOKUP(A1275,CLIENTES!A:E,2,0),"CADASTRAR CLIENTE")</f>
        <v>LABSC SERVICOS LABORATORIAIS LTDA</v>
      </c>
      <c r="C1275" s="60" t="s">
        <v>3</v>
      </c>
      <c r="D1275" s="60" t="s">
        <v>363</v>
      </c>
      <c r="E1275" s="21">
        <v>1070.2</v>
      </c>
      <c r="F1275" s="19"/>
      <c r="G1275" s="21"/>
      <c r="H1275" s="22"/>
      <c r="I1275" s="20">
        <v>45615</v>
      </c>
    </row>
    <row r="1276" spans="1:9">
      <c r="A1276" s="18">
        <v>432</v>
      </c>
      <c r="B1276" s="19" t="str">
        <f>IFERROR(VLOOKUP(A1276,CLIENTES!A:E,2,0),"CADASTRAR CLIENTE")</f>
        <v>LABORATORIO PASTEUR HEMATOLOGIA E MICROBIOLOGIA S/S LTDA</v>
      </c>
      <c r="C1276" s="60" t="s">
        <v>3</v>
      </c>
      <c r="D1276" s="60">
        <v>99861</v>
      </c>
      <c r="E1276" s="21">
        <v>743.52</v>
      </c>
      <c r="F1276" s="19"/>
      <c r="G1276" s="21"/>
      <c r="H1276" s="22"/>
      <c r="I1276" s="20">
        <v>45615</v>
      </c>
    </row>
    <row r="1277" spans="1:9">
      <c r="A1277" s="18">
        <v>432</v>
      </c>
      <c r="B1277" s="19" t="str">
        <f>IFERROR(VLOOKUP(A1277,CLIENTES!A:E,2,0),"CADASTRAR CLIENTE")</f>
        <v>LABORATORIO PASTEUR HEMATOLOGIA E MICROBIOLOGIA S/S LTDA</v>
      </c>
      <c r="C1277" s="60" t="s">
        <v>3</v>
      </c>
      <c r="D1277" s="60">
        <v>79888</v>
      </c>
      <c r="E1277" s="21">
        <v>3622.59</v>
      </c>
      <c r="F1277" s="19"/>
      <c r="G1277" s="21"/>
      <c r="H1277" s="22"/>
      <c r="I1277" s="20">
        <v>45615</v>
      </c>
    </row>
    <row r="1278" spans="1:9">
      <c r="A1278" s="18">
        <v>2163</v>
      </c>
      <c r="B1278" s="19" t="str">
        <f>IFERROR(VLOOKUP(A1278,CLIENTES!A:E,2,0),"CADASTRAR CLIENTE")</f>
        <v>BIO-LAB SAO JUDAS TADEU S/C LTDA - ME</v>
      </c>
      <c r="C1278" s="60" t="s">
        <v>3</v>
      </c>
      <c r="D1278" s="60">
        <v>79908</v>
      </c>
      <c r="E1278" s="21">
        <v>2654.22</v>
      </c>
      <c r="F1278" s="19"/>
      <c r="G1278" s="21"/>
      <c r="H1278" s="22"/>
      <c r="I1278" s="20">
        <v>45615</v>
      </c>
    </row>
    <row r="1279" spans="1:9">
      <c r="A1279" s="18">
        <v>960</v>
      </c>
      <c r="B1279" s="19" t="str">
        <f>IFERROR(VLOOKUP(A1279,CLIENTES!A:E,2,0),"CADASTRAR CLIENTE")</f>
        <v>LUIS VALERIO FILHO-ME</v>
      </c>
      <c r="C1279" s="60" t="s">
        <v>3</v>
      </c>
      <c r="D1279" s="60">
        <v>79901</v>
      </c>
      <c r="E1279" s="21">
        <v>769.45</v>
      </c>
      <c r="F1279" s="19"/>
      <c r="G1279" s="21"/>
      <c r="H1279" s="22"/>
      <c r="I1279" s="20">
        <v>45615</v>
      </c>
    </row>
    <row r="1280" spans="1:9">
      <c r="A1280" s="18">
        <v>705</v>
      </c>
      <c r="B1280" s="19" t="str">
        <f>IFERROR(VLOOKUP(A1280,CLIENTES!A:E,2,0),"CADASTRAR CLIENTE")</f>
        <v>JOAO JOSE SCHIAVUZZO ME</v>
      </c>
      <c r="C1280" s="60" t="s">
        <v>3</v>
      </c>
      <c r="D1280" s="60">
        <v>79918</v>
      </c>
      <c r="E1280" s="21">
        <v>138.9</v>
      </c>
      <c r="F1280" s="19"/>
      <c r="G1280" s="21"/>
      <c r="H1280" s="22"/>
      <c r="I1280" s="20">
        <v>45615</v>
      </c>
    </row>
    <row r="1281" spans="1:9">
      <c r="A1281" s="18">
        <v>572</v>
      </c>
      <c r="B1281" s="19" t="str">
        <f>IFERROR(VLOOKUP(A1281,CLIENTES!A:E,2,0),"CADASTRAR CLIENTE")</f>
        <v>LABORATORIO MULTIANALISES LTDA-ME</v>
      </c>
      <c r="C1281" s="60" t="s">
        <v>3</v>
      </c>
      <c r="D1281" s="60">
        <v>79917</v>
      </c>
      <c r="E1281" s="21">
        <v>1156.8499999999999</v>
      </c>
      <c r="F1281" s="19"/>
      <c r="G1281" s="21"/>
      <c r="H1281" s="22"/>
      <c r="I1281" s="20">
        <v>45615</v>
      </c>
    </row>
    <row r="1282" spans="1:9">
      <c r="A1282" s="18">
        <v>50576</v>
      </c>
      <c r="B1282" s="19" t="str">
        <f>IFERROR(VLOOKUP(A1282,CLIENTES!A:E,2,0),"CADASTRAR CLIENTE")</f>
        <v>ANDRIAO CANEPPA E SILVA LTDA ME</v>
      </c>
      <c r="C1282" s="60" t="s">
        <v>3</v>
      </c>
      <c r="D1282" s="60">
        <v>79936</v>
      </c>
      <c r="E1282" s="21">
        <v>2510.54</v>
      </c>
      <c r="F1282" s="19"/>
      <c r="G1282" s="21"/>
      <c r="H1282" s="22"/>
      <c r="I1282" s="20">
        <v>45617</v>
      </c>
    </row>
    <row r="1283" spans="1:9">
      <c r="A1283" s="18">
        <v>50526</v>
      </c>
      <c r="B1283" s="19" t="str">
        <f>IFERROR(VLOOKUP(A1283,CLIENTES!A:E,2,0),"CADASTRAR CLIENTE")</f>
        <v>MURILO RIGOTTO TERRASSI</v>
      </c>
      <c r="C1283" s="60" t="s">
        <v>3</v>
      </c>
      <c r="D1283" s="60">
        <v>99866</v>
      </c>
      <c r="E1283" s="21">
        <v>522.4</v>
      </c>
      <c r="F1283" s="19"/>
      <c r="G1283" s="21"/>
      <c r="H1283" s="22"/>
      <c r="I1283" s="20">
        <v>45617</v>
      </c>
    </row>
    <row r="1284" spans="1:9">
      <c r="A1284" s="18">
        <v>1971</v>
      </c>
      <c r="B1284" s="19" t="str">
        <f>IFERROR(VLOOKUP(A1284,CLIENTES!A:E,2,0),"CADASTRAR CLIENTE")</f>
        <v>LABORATORIO POPULAR LAB 7 LTDA</v>
      </c>
      <c r="C1284" s="60" t="s">
        <v>3</v>
      </c>
      <c r="D1284" s="60">
        <v>79930</v>
      </c>
      <c r="E1284" s="21">
        <v>71.89</v>
      </c>
      <c r="F1284" s="19"/>
      <c r="G1284" s="21"/>
      <c r="H1284" s="22"/>
      <c r="I1284" s="20">
        <v>45617</v>
      </c>
    </row>
    <row r="1285" spans="1:9">
      <c r="A1285" s="18">
        <v>51042</v>
      </c>
      <c r="B1285" s="19" t="str">
        <f>IFERROR(VLOOKUP(A1285,CLIENTES!A:E,2,0),"CADASTRAR CLIENTE")</f>
        <v>CLINICAO ANDRADINA PET SHOP E CLINICA VETERINARIA LTDA</v>
      </c>
      <c r="C1285" s="60" t="s">
        <v>3</v>
      </c>
      <c r="D1285" s="60">
        <v>79941</v>
      </c>
      <c r="E1285" s="21">
        <v>259.06</v>
      </c>
      <c r="F1285" s="19"/>
      <c r="G1285" s="21"/>
      <c r="H1285" s="22"/>
      <c r="I1285" s="20">
        <v>45617</v>
      </c>
    </row>
    <row r="1286" spans="1:9">
      <c r="A1286" s="18">
        <v>50941</v>
      </c>
      <c r="B1286" s="19" t="str">
        <f>IFERROR(VLOOKUP(A1286,CLIENTES!A:E,2,0),"CADASTRAR CLIENTE")</f>
        <v>CADASTRAR CLIENTE</v>
      </c>
      <c r="C1286" s="60" t="s">
        <v>3</v>
      </c>
      <c r="D1286" s="60">
        <v>99868</v>
      </c>
      <c r="E1286" s="21">
        <v>69.400000000000006</v>
      </c>
      <c r="F1286" s="19"/>
      <c r="G1286" s="21"/>
      <c r="H1286" s="22"/>
      <c r="I1286" s="20">
        <v>45617</v>
      </c>
    </row>
    <row r="1287" spans="1:9">
      <c r="A1287" s="18">
        <v>705</v>
      </c>
      <c r="B1287" s="19" t="str">
        <f>IFERROR(VLOOKUP(A1287,CLIENTES!A:E,2,0),"CADASTRAR CLIENTE")</f>
        <v>JOAO JOSE SCHIAVUZZO ME</v>
      </c>
      <c r="C1287" s="60" t="s">
        <v>3</v>
      </c>
      <c r="D1287" s="60">
        <v>79948</v>
      </c>
      <c r="E1287" s="21">
        <v>392.9</v>
      </c>
      <c r="F1287" s="19"/>
      <c r="G1287" s="21"/>
      <c r="H1287" s="22"/>
      <c r="I1287" s="20">
        <v>45617</v>
      </c>
    </row>
    <row r="1288" spans="1:9">
      <c r="A1288" s="18">
        <v>516</v>
      </c>
      <c r="B1288" s="19" t="str">
        <f>IFERROR(VLOOKUP(A1288,CLIENTES!A:E,2,0),"CADASTRAR CLIENTE")</f>
        <v>TECNOLAB PATOLOGIA CLINICA S/C LTDA</v>
      </c>
      <c r="C1288" s="60" t="s">
        <v>2</v>
      </c>
      <c r="D1288" s="60">
        <v>79800</v>
      </c>
      <c r="E1288" s="21">
        <v>8889.9</v>
      </c>
      <c r="F1288" s="19"/>
      <c r="G1288" s="21"/>
      <c r="H1288" s="22"/>
      <c r="I1288" s="20">
        <v>45617</v>
      </c>
    </row>
    <row r="1289" spans="1:9">
      <c r="A1289" s="18">
        <v>1788</v>
      </c>
      <c r="B1289" s="19" t="str">
        <f>IFERROR(VLOOKUP(A1289,CLIENTES!A:E,2,0),"CADASTRAR CLIENTE")</f>
        <v>ZANATA &amp; REIS LABORCLINICA LTDA</v>
      </c>
      <c r="C1289" s="60" t="s">
        <v>3</v>
      </c>
      <c r="D1289" s="60">
        <v>79987</v>
      </c>
      <c r="E1289" s="21">
        <v>1185.4000000000001</v>
      </c>
      <c r="F1289" s="19"/>
      <c r="G1289" s="21"/>
      <c r="H1289" s="22"/>
      <c r="I1289" s="20">
        <v>45618</v>
      </c>
    </row>
    <row r="1290" spans="1:9">
      <c r="A1290" s="18">
        <v>2022</v>
      </c>
      <c r="B1290" s="19" t="str">
        <f>IFERROR(VLOOKUP(A1290,CLIENTES!A:E,2,0),"CADASTRAR CLIENTE")</f>
        <v>LAB. MEDICO DR. MARICONDI S/C LTDA.</v>
      </c>
      <c r="C1290" s="60" t="s">
        <v>3</v>
      </c>
      <c r="D1290" s="60">
        <v>79997</v>
      </c>
      <c r="E1290" s="21">
        <v>1442.46</v>
      </c>
      <c r="F1290" s="19"/>
      <c r="G1290" s="21"/>
      <c r="H1290" s="22"/>
      <c r="I1290" s="20">
        <v>45618</v>
      </c>
    </row>
    <row r="1291" spans="1:9">
      <c r="A1291" s="18">
        <v>475</v>
      </c>
      <c r="B1291" s="19" t="str">
        <f>IFERROR(VLOOKUP(A1291,CLIENTES!A:E,2,0),"CADASTRAR CLIENTE")</f>
        <v>LABORATORIO DE ANALISES CLINICAS SRC LTDA</v>
      </c>
      <c r="C1291" s="60" t="s">
        <v>2</v>
      </c>
      <c r="D1291" s="60">
        <v>80001</v>
      </c>
      <c r="E1291" s="21">
        <v>16886.259999999998</v>
      </c>
      <c r="F1291" s="19"/>
      <c r="G1291" s="21"/>
      <c r="H1291" s="22"/>
      <c r="I1291" s="20">
        <v>45618</v>
      </c>
    </row>
    <row r="1292" spans="1:9">
      <c r="A1292" s="18">
        <v>311</v>
      </c>
      <c r="B1292" s="19" t="str">
        <f>IFERROR(VLOOKUP(A1292,CLIENTES!A:E,2,0),"CADASTRAR CLIENTE")</f>
        <v>CENTRO DE ANAL.CLIN. UNILAB  SC LTDA.</v>
      </c>
      <c r="C1292" s="60" t="s">
        <v>3</v>
      </c>
      <c r="D1292" s="60">
        <v>80010</v>
      </c>
      <c r="E1292" s="21">
        <v>285.95</v>
      </c>
      <c r="F1292" s="19"/>
      <c r="G1292" s="21"/>
      <c r="H1292" s="22"/>
      <c r="I1292" s="20">
        <v>45618</v>
      </c>
    </row>
    <row r="1293" spans="1:9">
      <c r="A1293" s="18">
        <v>3190</v>
      </c>
      <c r="B1293" s="19" t="str">
        <f>IFERROR(VLOOKUP(A1293,CLIENTES!A:E,2,0),"CADASTRAR CLIENTE")</f>
        <v>C D A CENTRO DE DIAGNOSTICO VETERINARIO</v>
      </c>
      <c r="C1293" s="60" t="s">
        <v>3</v>
      </c>
      <c r="D1293" s="60">
        <v>80016</v>
      </c>
      <c r="E1293" s="21">
        <v>225.68</v>
      </c>
      <c r="F1293" s="19"/>
      <c r="G1293" s="21"/>
      <c r="H1293" s="22"/>
      <c r="I1293" s="20">
        <v>45621</v>
      </c>
    </row>
    <row r="1294" spans="1:9">
      <c r="A1294" s="18">
        <v>1240</v>
      </c>
      <c r="B1294" s="19" t="str">
        <f>IFERROR(VLOOKUP(A1294,CLIENTES!A:E,2,0),"CADASTRAR CLIENTE")</f>
        <v>MONICA VIEIRA DE CAMPOS REBELO-ME</v>
      </c>
      <c r="C1294" s="60" t="s">
        <v>3</v>
      </c>
      <c r="D1294" s="60">
        <v>80023</v>
      </c>
      <c r="E1294" s="21">
        <v>1059.4000000000001</v>
      </c>
      <c r="F1294" s="19"/>
      <c r="G1294" s="21"/>
      <c r="H1294" s="22"/>
      <c r="I1294" s="20">
        <v>45621</v>
      </c>
    </row>
    <row r="1295" spans="1:9">
      <c r="A1295" s="18">
        <v>2415</v>
      </c>
      <c r="B1295" s="19" t="str">
        <f>IFERROR(VLOOKUP(A1295,CLIENTES!A:E,2,0),"CADASTRAR CLIENTE")</f>
        <v>ROSSETTO E BARROS LABORATORIO DE ANALISES CLINICAS LTDA</v>
      </c>
      <c r="C1295" s="60" t="s">
        <v>3</v>
      </c>
      <c r="D1295" s="60">
        <v>80026</v>
      </c>
      <c r="E1295" s="21">
        <v>3241.5</v>
      </c>
      <c r="F1295" s="19"/>
      <c r="G1295" s="21"/>
      <c r="H1295" s="22"/>
      <c r="I1295" s="20">
        <v>45621</v>
      </c>
    </row>
    <row r="1296" spans="1:9">
      <c r="A1296" s="18">
        <v>364</v>
      </c>
      <c r="B1296" s="19" t="str">
        <f>IFERROR(VLOOKUP(A1296,CLIENTES!A:E,2,0),"CADASTRAR CLIENTE")</f>
        <v>VITALIS LAB.ANAL.CLIN.S/C LTDA</v>
      </c>
      <c r="C1296" s="60" t="s">
        <v>3</v>
      </c>
      <c r="D1296" s="60">
        <v>79954</v>
      </c>
      <c r="E1296" s="21">
        <v>590.79999999999995</v>
      </c>
      <c r="F1296" s="19"/>
      <c r="G1296" s="21"/>
      <c r="H1296" s="22"/>
      <c r="I1296" s="20">
        <v>45621</v>
      </c>
    </row>
    <row r="1297" spans="1:9">
      <c r="A1297" s="18">
        <v>364</v>
      </c>
      <c r="B1297" s="19" t="str">
        <f>IFERROR(VLOOKUP(A1297,CLIENTES!A:E,2,0),"CADASTRAR CLIENTE")</f>
        <v>VITALIS LAB.ANAL.CLIN.S/C LTDA</v>
      </c>
      <c r="C1297" s="60" t="s">
        <v>3</v>
      </c>
      <c r="D1297" s="60">
        <v>99877</v>
      </c>
      <c r="E1297" s="21">
        <v>123</v>
      </c>
      <c r="F1297" s="19"/>
      <c r="G1297" s="21"/>
      <c r="H1297" s="22"/>
      <c r="I1297" s="20">
        <v>45621</v>
      </c>
    </row>
    <row r="1298" spans="1:9">
      <c r="A1298" s="18">
        <v>3245</v>
      </c>
      <c r="B1298" s="19" t="str">
        <f>IFERROR(VLOOKUP(A1298,CLIENTES!A:E,2,0),"CADASTRAR CLIENTE")</f>
        <v>LABORATORIO DE ANALISES CLINICAS ROSSETO &amp; BARROS LTDA</v>
      </c>
      <c r="C1298" s="60" t="s">
        <v>3</v>
      </c>
      <c r="D1298" s="60">
        <v>80031</v>
      </c>
      <c r="E1298" s="21">
        <v>815.1</v>
      </c>
      <c r="F1298" s="19"/>
      <c r="G1298" s="21"/>
      <c r="H1298" s="22"/>
      <c r="I1298" s="20">
        <v>45621</v>
      </c>
    </row>
    <row r="1299" spans="1:9">
      <c r="A1299" s="18">
        <v>1164</v>
      </c>
      <c r="B1299" s="19" t="str">
        <f>IFERROR(VLOOKUP(A1299,CLIENTES!A:E,2,0),"CADASTRAR CLIENTE")</f>
        <v>LAB. ANAL. CLIN. SAO LOURENCO S/C LTDA</v>
      </c>
      <c r="C1299" s="60" t="s">
        <v>3</v>
      </c>
      <c r="D1299" s="60">
        <v>80036</v>
      </c>
      <c r="E1299" s="21">
        <v>614.20000000000005</v>
      </c>
      <c r="F1299" s="19"/>
      <c r="G1299" s="21"/>
      <c r="H1299" s="22"/>
      <c r="I1299" s="20">
        <v>45621</v>
      </c>
    </row>
    <row r="1300" spans="1:9">
      <c r="A1300" s="18">
        <v>1164</v>
      </c>
      <c r="B1300" s="19" t="str">
        <f>IFERROR(VLOOKUP(A1300,CLIENTES!A:E,2,0),"CADASTRAR CLIENTE")</f>
        <v>LAB. ANAL. CLIN. SAO LOURENCO S/C LTDA</v>
      </c>
      <c r="C1300" s="60" t="s">
        <v>3</v>
      </c>
      <c r="D1300" s="60">
        <v>99878</v>
      </c>
      <c r="E1300" s="21">
        <v>71.099999999999994</v>
      </c>
      <c r="F1300" s="19"/>
      <c r="G1300" s="21"/>
      <c r="H1300" s="22"/>
      <c r="I1300" s="20">
        <v>45621</v>
      </c>
    </row>
    <row r="1301" spans="1:9">
      <c r="A1301" s="18">
        <v>1623</v>
      </c>
      <c r="B1301" s="19" t="str">
        <f>IFERROR(VLOOKUP(A1301,CLIENTES!A:E,2,0),"CADASTRAR CLIENTE")</f>
        <v>LAB.ANAL.CLIN. E REP. BADY BASSIT LTDA</v>
      </c>
      <c r="C1301" s="60" t="s">
        <v>3</v>
      </c>
      <c r="D1301" s="60">
        <v>80043</v>
      </c>
      <c r="E1301" s="21">
        <v>4246.0200000000004</v>
      </c>
      <c r="F1301" s="19"/>
      <c r="G1301" s="21"/>
      <c r="H1301" s="22"/>
      <c r="I1301" s="20">
        <v>45621</v>
      </c>
    </row>
    <row r="1302" spans="1:9">
      <c r="A1302" s="18">
        <v>1206</v>
      </c>
      <c r="B1302" s="19" t="str">
        <f>IFERROR(VLOOKUP(A1302,CLIENTES!A:E,2,0),"CADASTRAR CLIENTE")</f>
        <v>LABORATORIO RIO NEGRO CENTER DE MARILIA  LTDA</v>
      </c>
      <c r="C1302" s="60" t="s">
        <v>3</v>
      </c>
      <c r="D1302" s="60">
        <v>80049</v>
      </c>
      <c r="E1302" s="21">
        <v>677.1</v>
      </c>
      <c r="F1302" s="19"/>
      <c r="G1302" s="21"/>
      <c r="H1302" s="22"/>
      <c r="I1302" s="20">
        <v>45621</v>
      </c>
    </row>
    <row r="1303" spans="1:9">
      <c r="A1303" s="18">
        <v>705</v>
      </c>
      <c r="B1303" s="19" t="str">
        <f>IFERROR(VLOOKUP(A1303,CLIENTES!A:E,2,0),"CADASTRAR CLIENTE")</f>
        <v>JOAO JOSE SCHIAVUZZO ME</v>
      </c>
      <c r="C1303" s="60" t="s">
        <v>3</v>
      </c>
      <c r="D1303" s="60">
        <v>80058</v>
      </c>
      <c r="E1303" s="21">
        <v>1107</v>
      </c>
      <c r="F1303" s="19"/>
      <c r="G1303" s="21"/>
      <c r="H1303" s="22"/>
      <c r="I1303" s="20">
        <v>45621</v>
      </c>
    </row>
    <row r="1304" spans="1:9">
      <c r="A1304" s="18">
        <v>480</v>
      </c>
      <c r="B1304" s="19" t="str">
        <f>IFERROR(VLOOKUP(A1304,CLIENTES!A:E,2,0),"CADASTRAR CLIENTE")</f>
        <v>LAB SAO LUCAS</v>
      </c>
      <c r="C1304" s="60" t="s">
        <v>3</v>
      </c>
      <c r="D1304" s="60">
        <v>80063</v>
      </c>
      <c r="E1304" s="21">
        <v>3466.35</v>
      </c>
      <c r="F1304" s="19"/>
      <c r="G1304" s="21"/>
      <c r="H1304" s="22"/>
      <c r="I1304" s="20">
        <v>45621</v>
      </c>
    </row>
    <row r="1305" spans="1:9">
      <c r="A1305" s="18">
        <v>480</v>
      </c>
      <c r="B1305" s="19" t="str">
        <f>IFERROR(VLOOKUP(A1305,CLIENTES!A:E,2,0),"CADASTRAR CLIENTE")</f>
        <v>LAB SAO LUCAS</v>
      </c>
      <c r="C1305" s="60" t="s">
        <v>3</v>
      </c>
      <c r="D1305" s="60">
        <v>99886</v>
      </c>
      <c r="E1305" s="21">
        <v>60.55</v>
      </c>
      <c r="F1305" s="19"/>
      <c r="G1305" s="21"/>
      <c r="H1305" s="22"/>
      <c r="I1305" s="20">
        <v>45621</v>
      </c>
    </row>
    <row r="1306" spans="1:9">
      <c r="A1306" s="18">
        <v>687</v>
      </c>
      <c r="B1306" s="19" t="str">
        <f>IFERROR(VLOOKUP(A1306,CLIENTES!A:E,2,0),"CADASTRAR CLIENTE")</f>
        <v>LAB ANAL CLIN VENDRAMINI S/S LTDA</v>
      </c>
      <c r="C1306" s="60" t="s">
        <v>3</v>
      </c>
      <c r="D1306" s="60">
        <v>80073</v>
      </c>
      <c r="E1306" s="21">
        <v>1808.2</v>
      </c>
      <c r="F1306" s="19"/>
      <c r="G1306" s="21"/>
      <c r="H1306" s="22"/>
      <c r="I1306" s="20">
        <v>45621</v>
      </c>
    </row>
    <row r="1307" spans="1:9">
      <c r="A1307" s="18">
        <v>906</v>
      </c>
      <c r="B1307" s="19" t="str">
        <f>IFERROR(VLOOKUP(A1307,CLIENTES!A:E,2,0),"CADASTRAR CLIENTE")</f>
        <v>LABORATORIO ANAL. CLIN. DESCALVADO LTDA</v>
      </c>
      <c r="C1307" s="60" t="s">
        <v>3</v>
      </c>
      <c r="D1307" s="60">
        <v>99887</v>
      </c>
      <c r="E1307" s="21">
        <v>420.72</v>
      </c>
      <c r="F1307" s="19"/>
      <c r="G1307" s="21"/>
      <c r="H1307" s="22"/>
      <c r="I1307" s="20">
        <v>45621</v>
      </c>
    </row>
    <row r="1308" spans="1:9">
      <c r="A1308" s="18">
        <v>906</v>
      </c>
      <c r="B1308" s="19" t="str">
        <f>IFERROR(VLOOKUP(A1308,CLIENTES!A:E,2,0),"CADASTRAR CLIENTE")</f>
        <v>LABORATORIO ANAL. CLIN. DESCALVADO LTDA</v>
      </c>
      <c r="C1308" s="60" t="s">
        <v>3</v>
      </c>
      <c r="D1308" s="60">
        <v>80077</v>
      </c>
      <c r="E1308" s="21">
        <v>3127.5</v>
      </c>
      <c r="F1308" s="19"/>
      <c r="G1308" s="21"/>
      <c r="H1308" s="22"/>
      <c r="I1308" s="20">
        <v>45621</v>
      </c>
    </row>
    <row r="1309" spans="1:9">
      <c r="A1309" s="18">
        <v>432</v>
      </c>
      <c r="B1309" s="19" t="str">
        <f>IFERROR(VLOOKUP(A1309,CLIENTES!A:E,2,0),"CADASTRAR CLIENTE")</f>
        <v>LABORATORIO PASTEUR HEMATOLOGIA E MICROBIOLOGIA S/S LTDA</v>
      </c>
      <c r="C1309" s="60" t="s">
        <v>3</v>
      </c>
      <c r="D1309" s="60">
        <v>80080</v>
      </c>
      <c r="E1309" s="21">
        <v>967.5</v>
      </c>
      <c r="F1309" s="19"/>
      <c r="G1309" s="21"/>
      <c r="H1309" s="22"/>
      <c r="I1309" s="20">
        <v>45621</v>
      </c>
    </row>
    <row r="1310" spans="1:9">
      <c r="A1310" s="18">
        <v>1502</v>
      </c>
      <c r="B1310" s="19" t="str">
        <f>IFERROR(VLOOKUP(A1310,CLIENTES!A:E,2,0),"CADASTRAR CLIENTE")</f>
        <v>ASSOC.CASA DE SAUDE BEN. DE INDIAPORA</v>
      </c>
      <c r="C1310" s="60" t="s">
        <v>3</v>
      </c>
      <c r="D1310" s="60">
        <v>80076</v>
      </c>
      <c r="E1310" s="21">
        <v>4095.82</v>
      </c>
      <c r="F1310" s="19"/>
      <c r="G1310" s="21"/>
      <c r="H1310" s="22"/>
      <c r="I1310" s="20">
        <v>45621</v>
      </c>
    </row>
    <row r="1311" spans="1:9">
      <c r="A1311" s="18">
        <v>784</v>
      </c>
      <c r="B1311" s="19" t="str">
        <f>IFERROR(VLOOKUP(A1311,CLIENTES!A:E,2,0),"CADASTRAR CLIENTE")</f>
        <v>LAB.ANAL.CLIN. ALBERT SABIN SC LTDA.</v>
      </c>
      <c r="C1311" s="60" t="s">
        <v>3</v>
      </c>
      <c r="D1311" s="60" t="s">
        <v>364</v>
      </c>
      <c r="E1311" s="21">
        <v>461.6</v>
      </c>
      <c r="F1311" s="19"/>
      <c r="G1311" s="21"/>
      <c r="H1311" s="22"/>
      <c r="I1311" s="20">
        <v>45622</v>
      </c>
    </row>
    <row r="1312" spans="1:9">
      <c r="A1312" s="18">
        <v>364</v>
      </c>
      <c r="B1312" s="19" t="str">
        <f>IFERROR(VLOOKUP(A1312,CLIENTES!A:E,2,0),"CADASTRAR CLIENTE")</f>
        <v>VITALIS LAB.ANAL.CLIN.S/C LTDA</v>
      </c>
      <c r="C1312" s="60" t="s">
        <v>328</v>
      </c>
      <c r="D1312" s="60">
        <v>80115</v>
      </c>
      <c r="E1312" s="21">
        <v>431.52</v>
      </c>
      <c r="F1312" s="19"/>
      <c r="G1312" s="21"/>
      <c r="H1312" s="22"/>
      <c r="I1312" s="20">
        <v>45622</v>
      </c>
    </row>
    <row r="1313" spans="1:9">
      <c r="A1313" s="18">
        <v>1016</v>
      </c>
      <c r="B1313" s="19" t="str">
        <f>IFERROR(VLOOKUP(A1313,CLIENTES!A:E,2,0),"CADASTRAR CLIENTE")</f>
        <v>LAB.ANAL.CLIN. SAO LUCAS SC LTDA.</v>
      </c>
      <c r="C1313" s="60" t="s">
        <v>328</v>
      </c>
      <c r="D1313" s="60">
        <v>99904</v>
      </c>
      <c r="E1313" s="21">
        <v>1134</v>
      </c>
      <c r="F1313" s="19"/>
      <c r="G1313" s="21"/>
      <c r="H1313" s="22"/>
      <c r="I1313" s="20">
        <v>45622</v>
      </c>
    </row>
    <row r="1314" spans="1:9">
      <c r="A1314" s="18">
        <v>1016</v>
      </c>
      <c r="B1314" s="19" t="str">
        <f>IFERROR(VLOOKUP(A1314,CLIENTES!A:E,2,0),"CADASTRAR CLIENTE")</f>
        <v>LAB.ANAL.CLIN. SAO LUCAS SC LTDA.</v>
      </c>
      <c r="C1314" s="60" t="s">
        <v>328</v>
      </c>
      <c r="D1314" s="60">
        <v>80215</v>
      </c>
      <c r="E1314" s="21">
        <v>527</v>
      </c>
      <c r="F1314" s="19"/>
      <c r="G1314" s="21"/>
      <c r="H1314" s="22"/>
      <c r="I1314" s="20">
        <v>45622</v>
      </c>
    </row>
    <row r="1315" spans="1:9">
      <c r="A1315" s="18">
        <v>50554</v>
      </c>
      <c r="B1315" s="19" t="str">
        <f>IFERROR(VLOOKUP(A1315,CLIENTES!A:E,2,0),"CADASTRAR CLIENTE")</f>
        <v>SAO ROQUE MEDICINA DIAGNOSTICA</v>
      </c>
      <c r="C1315" s="60" t="s">
        <v>328</v>
      </c>
      <c r="D1315" s="60">
        <v>80150</v>
      </c>
      <c r="E1315" s="21">
        <v>5986.5</v>
      </c>
      <c r="F1315" s="19"/>
      <c r="G1315" s="21"/>
      <c r="H1315" s="22"/>
      <c r="I1315" s="20">
        <v>45622</v>
      </c>
    </row>
    <row r="1316" spans="1:9">
      <c r="A1316" s="18">
        <v>500248</v>
      </c>
      <c r="B1316" s="19" t="str">
        <f>IFERROR(VLOOKUP(A1316,CLIENTES!A:E,2,0),"CADASTRAR CLIENTE")</f>
        <v>CADASTRAR CLIENTE</v>
      </c>
      <c r="C1316" s="60" t="s">
        <v>3</v>
      </c>
      <c r="D1316" s="60">
        <v>80110</v>
      </c>
      <c r="E1316" s="21">
        <v>1507.25</v>
      </c>
      <c r="F1316" s="19"/>
      <c r="G1316" s="21"/>
      <c r="H1316" s="22"/>
      <c r="I1316" s="20">
        <v>45622</v>
      </c>
    </row>
    <row r="1317" spans="1:9">
      <c r="A1317" s="18">
        <v>1623</v>
      </c>
      <c r="B1317" s="19" t="str">
        <f>IFERROR(VLOOKUP(A1317,CLIENTES!A:E,2,0),"CADASTRAR CLIENTE")</f>
        <v>LAB.ANAL.CLIN. E REP. BADY BASSIT LTDA</v>
      </c>
      <c r="C1317" s="60" t="s">
        <v>328</v>
      </c>
      <c r="D1317" s="60"/>
      <c r="E1317" s="21"/>
      <c r="F1317" s="19">
        <v>80173</v>
      </c>
      <c r="G1317" s="21">
        <v>4200</v>
      </c>
      <c r="H1317" s="22"/>
      <c r="I1317" s="20">
        <v>45623</v>
      </c>
    </row>
    <row r="1318" spans="1:9">
      <c r="A1318" s="18">
        <v>475</v>
      </c>
      <c r="B1318" s="19" t="str">
        <f>IFERROR(VLOOKUP(A1318,CLIENTES!A:E,2,0),"CADASTRAR CLIENTE")</f>
        <v>LABORATORIO DE ANALISES CLINICAS SRC LTDA</v>
      </c>
      <c r="C1318" s="60" t="s">
        <v>2</v>
      </c>
      <c r="D1318" s="60">
        <v>80175</v>
      </c>
      <c r="E1318" s="21">
        <v>3301.84</v>
      </c>
      <c r="F1318" s="19"/>
      <c r="G1318" s="21"/>
      <c r="H1318" s="22"/>
      <c r="I1318" s="20">
        <v>45623</v>
      </c>
    </row>
    <row r="1319" spans="1:9">
      <c r="A1319" s="18">
        <v>475</v>
      </c>
      <c r="B1319" s="19" t="str">
        <f>IFERROR(VLOOKUP(A1319,CLIENTES!A:E,2,0),"CADASTRAR CLIENTE")</f>
        <v>LABORATORIO DE ANALISES CLINICAS SRC LTDA</v>
      </c>
      <c r="C1319" s="60" t="s">
        <v>2</v>
      </c>
      <c r="D1319" s="60">
        <v>99872</v>
      </c>
      <c r="E1319" s="21">
        <v>802.05</v>
      </c>
      <c r="F1319" s="19"/>
      <c r="G1319" s="21"/>
      <c r="H1319" s="22"/>
      <c r="I1319" s="20">
        <v>45623</v>
      </c>
    </row>
    <row r="1320" spans="1:9">
      <c r="A1320" s="18">
        <v>3565</v>
      </c>
      <c r="B1320" s="19" t="str">
        <f>IFERROR(VLOOKUP(A1320,CLIENTES!A:E,2,0),"CADASTRAR CLIENTE")</f>
        <v>LAB LIFE LABORATORIO DE ANALISES CLINICAS LTDA</v>
      </c>
      <c r="C1320" s="60" t="s">
        <v>3</v>
      </c>
      <c r="D1320" s="60">
        <v>80177</v>
      </c>
      <c r="E1320" s="21">
        <v>401.35</v>
      </c>
      <c r="F1320" s="19"/>
      <c r="G1320" s="21"/>
      <c r="H1320" s="22"/>
      <c r="I1320" s="20">
        <v>45623</v>
      </c>
    </row>
    <row r="1321" spans="1:9">
      <c r="A1321" s="18">
        <v>475</v>
      </c>
      <c r="B1321" s="19" t="str">
        <f>IFERROR(VLOOKUP(A1321,CLIENTES!A:E,2,0),"CADASTRAR CLIENTE")</f>
        <v>LABORATORIO DE ANALISES CLINICAS SRC LTDA</v>
      </c>
      <c r="C1321" s="60" t="s">
        <v>3</v>
      </c>
      <c r="D1321" s="60">
        <v>80198</v>
      </c>
      <c r="E1321" s="21">
        <v>2150.7600000000002</v>
      </c>
      <c r="F1321" s="19"/>
      <c r="G1321" s="21"/>
      <c r="H1321" s="22"/>
      <c r="I1321" s="20">
        <v>45623</v>
      </c>
    </row>
    <row r="1322" spans="1:9">
      <c r="A1322" s="18">
        <v>311</v>
      </c>
      <c r="B1322" s="19" t="str">
        <f>IFERROR(VLOOKUP(A1322,CLIENTES!A:E,2,0),"CADASTRAR CLIENTE")</f>
        <v>CENTRO DE ANAL.CLIN. UNILAB  SC LTDA.</v>
      </c>
      <c r="C1322" s="60" t="s">
        <v>3</v>
      </c>
      <c r="D1322" s="60">
        <v>80192</v>
      </c>
      <c r="E1322" s="21">
        <v>1391.15</v>
      </c>
      <c r="F1322" s="19"/>
      <c r="G1322" s="21"/>
      <c r="H1322" s="22"/>
      <c r="I1322" s="20">
        <v>45623</v>
      </c>
    </row>
    <row r="1323" spans="1:9">
      <c r="A1323" s="18">
        <v>311</v>
      </c>
      <c r="B1323" s="19" t="str">
        <f>IFERROR(VLOOKUP(A1323,CLIENTES!A:E,2,0),"CADASTRAR CLIENTE")</f>
        <v>CENTRO DE ANAL.CLIN. UNILAB  SC LTDA.</v>
      </c>
      <c r="C1323" s="60" t="s">
        <v>328</v>
      </c>
      <c r="D1323" s="60">
        <v>99911</v>
      </c>
      <c r="E1323" s="21">
        <v>183.25</v>
      </c>
      <c r="F1323" s="19"/>
      <c r="G1323" s="21"/>
      <c r="H1323" s="22"/>
      <c r="I1323" s="20">
        <v>45623</v>
      </c>
    </row>
    <row r="1324" spans="1:9">
      <c r="A1324" s="18">
        <v>50418</v>
      </c>
      <c r="B1324" s="19" t="str">
        <f>IFERROR(VLOOKUP(A1324,CLIENTES!A:E,2,0),"CADASTRAR CLIENTE")</f>
        <v>LABORATORIO SAO LUCAS DE BROTAS SS LTDA</v>
      </c>
      <c r="C1324" s="60" t="s">
        <v>3</v>
      </c>
      <c r="D1324" s="60">
        <v>80181</v>
      </c>
      <c r="E1324" s="21">
        <v>1578.95</v>
      </c>
      <c r="F1324" s="19"/>
      <c r="G1324" s="21"/>
      <c r="H1324" s="19"/>
      <c r="I1324" s="20">
        <v>45623</v>
      </c>
    </row>
    <row r="1325" spans="1:9">
      <c r="A1325" s="18">
        <v>432</v>
      </c>
      <c r="B1325" s="19" t="str">
        <f>IFERROR(VLOOKUP(A1325,CLIENTES!A:E,2,0),"CADASTRAR CLIENTE")</f>
        <v>LABORATORIO PASTEUR HEMATOLOGIA E MICROBIOLOGIA S/S LTDA</v>
      </c>
      <c r="C1325" s="60" t="s">
        <v>3</v>
      </c>
      <c r="D1325" s="60">
        <v>80080</v>
      </c>
      <c r="E1325" s="21">
        <v>967.5</v>
      </c>
      <c r="F1325" s="19"/>
      <c r="G1325" s="21"/>
      <c r="H1325" s="19"/>
      <c r="I1325" s="20">
        <v>45623</v>
      </c>
    </row>
    <row r="1326" spans="1:9">
      <c r="A1326" s="18">
        <v>463</v>
      </c>
      <c r="B1326" s="19" t="str">
        <f>IFERROR(VLOOKUP(A1326,CLIENTES!A:E,2,0),"CADASTRAR CLIENTE")</f>
        <v>MASUDA &amp; MASUDA LABORATORIO CLINICO LTDA</v>
      </c>
      <c r="C1326" s="60" t="s">
        <v>3</v>
      </c>
      <c r="D1326" s="60">
        <v>80221</v>
      </c>
      <c r="E1326" s="21">
        <v>1124.17</v>
      </c>
      <c r="F1326" s="19"/>
      <c r="G1326" s="21"/>
      <c r="H1326" s="19"/>
      <c r="I1326" s="20">
        <v>45623</v>
      </c>
    </row>
    <row r="1327" spans="1:9">
      <c r="A1327" s="18">
        <v>432</v>
      </c>
      <c r="B1327" s="19" t="str">
        <f>IFERROR(VLOOKUP(A1327,CLIENTES!A:E,2,0),"CADASTRAR CLIENTE")</f>
        <v>LABORATORIO PASTEUR HEMATOLOGIA E MICROBIOLOGIA S/S LTDA</v>
      </c>
      <c r="C1327" s="60" t="s">
        <v>3</v>
      </c>
      <c r="D1327" s="60">
        <v>80222</v>
      </c>
      <c r="E1327" s="21">
        <v>2385</v>
      </c>
      <c r="F1327" s="19"/>
      <c r="G1327" s="21"/>
      <c r="H1327" s="19"/>
      <c r="I1327" s="20">
        <v>45624</v>
      </c>
    </row>
    <row r="1328" spans="1:9">
      <c r="A1328" s="18">
        <v>2702</v>
      </c>
      <c r="B1328" s="19" t="str">
        <f>IFERROR(VLOOKUP(A1328,CLIENTES!A:E,2,0),"CADASTRAR CLIENTE")</f>
        <v>SANTA CASA DE MISER. DE TAQUARITUBA</v>
      </c>
      <c r="C1328" s="60" t="s">
        <v>3</v>
      </c>
      <c r="D1328" s="60">
        <v>80230</v>
      </c>
      <c r="E1328" s="21">
        <v>2071.9</v>
      </c>
      <c r="F1328" s="19"/>
      <c r="G1328" s="21"/>
      <c r="H1328" s="19"/>
      <c r="I1328" s="20">
        <v>45624</v>
      </c>
    </row>
    <row r="1329" spans="1:9">
      <c r="A1329" s="18">
        <v>1533</v>
      </c>
      <c r="B1329" s="19" t="str">
        <f>IFERROR(VLOOKUP(A1329,CLIENTES!A:E,2,0),"CADASTRAR CLIENTE")</f>
        <v>LABORATORIO BIOANALISE DIAGNOSTICO LTDA</v>
      </c>
      <c r="C1329" s="60" t="s">
        <v>3</v>
      </c>
      <c r="D1329" s="60">
        <v>80242</v>
      </c>
      <c r="E1329" s="23">
        <v>1133.8</v>
      </c>
      <c r="F1329" s="19"/>
      <c r="G1329" s="21"/>
      <c r="H1329" s="19"/>
      <c r="I1329" s="20">
        <v>45624</v>
      </c>
    </row>
    <row r="1330" spans="1:9">
      <c r="A1330" s="18">
        <v>784</v>
      </c>
      <c r="B1330" s="19" t="str">
        <f>IFERROR(VLOOKUP(A1330,CLIENTES!A:E,2,0),"CADASTRAR CLIENTE")</f>
        <v>LAB.ANAL.CLIN. ALBERT SABIN SC LTDA.</v>
      </c>
      <c r="C1330" s="60" t="s">
        <v>2</v>
      </c>
      <c r="D1330" s="60">
        <v>80245</v>
      </c>
      <c r="E1330" s="21">
        <v>3896.95</v>
      </c>
      <c r="F1330" s="19"/>
      <c r="G1330" s="21"/>
      <c r="H1330" s="19"/>
      <c r="I1330" s="20">
        <v>45624</v>
      </c>
    </row>
    <row r="1331" spans="1:9">
      <c r="A1331" s="18">
        <v>2022</v>
      </c>
      <c r="B1331" s="19" t="str">
        <f>IFERROR(VLOOKUP(A1331,CLIENTES!A:E,2,0),"CADASTRAR CLIENTE")</f>
        <v>LAB. MEDICO DR. MARICONDI S/C LTDA.</v>
      </c>
      <c r="C1331" s="60" t="s">
        <v>3</v>
      </c>
      <c r="D1331" s="60">
        <v>80261</v>
      </c>
      <c r="E1331" s="21">
        <v>109.84</v>
      </c>
      <c r="F1331" s="19"/>
      <c r="G1331" s="21"/>
      <c r="H1331" s="19"/>
      <c r="I1331" s="20">
        <v>45624</v>
      </c>
    </row>
    <row r="1332" spans="1:9">
      <c r="A1332" s="18">
        <v>1164</v>
      </c>
      <c r="B1332" s="19" t="str">
        <f>IFERROR(VLOOKUP(A1332,CLIENTES!A:E,2,0),"CADASTRAR CLIENTE")</f>
        <v>LAB. ANAL. CLIN. SAO LOURENCO S/C LTDA</v>
      </c>
      <c r="C1332" s="60" t="s">
        <v>328</v>
      </c>
      <c r="D1332" s="60">
        <v>99900</v>
      </c>
      <c r="E1332" s="21">
        <v>177.78</v>
      </c>
      <c r="F1332" s="19"/>
      <c r="G1332" s="21"/>
      <c r="H1332" s="19"/>
      <c r="I1332" s="20">
        <v>45624</v>
      </c>
    </row>
    <row r="1333" spans="1:9">
      <c r="A1333" s="18">
        <v>1164</v>
      </c>
      <c r="B1333" s="19" t="str">
        <f>IFERROR(VLOOKUP(A1333,CLIENTES!A:E,2,0),"CADASTRAR CLIENTE")</f>
        <v>LAB. ANAL. CLIN. SAO LOURENCO S/C LTDA</v>
      </c>
      <c r="C1333" s="60" t="s">
        <v>328</v>
      </c>
      <c r="D1333" s="60">
        <v>80262</v>
      </c>
      <c r="E1333" s="21">
        <v>74.849999999999994</v>
      </c>
      <c r="F1333" s="19"/>
      <c r="G1333" s="21"/>
      <c r="H1333" s="19"/>
      <c r="I1333" s="20">
        <v>45624</v>
      </c>
    </row>
    <row r="1334" spans="1:9">
      <c r="A1334" s="18">
        <v>1623</v>
      </c>
      <c r="B1334" s="19" t="str">
        <f>IFERROR(VLOOKUP(A1334,CLIENTES!A:E,2,0),"CADASTRAR CLIENTE")</f>
        <v>LAB.ANAL.CLIN. E REP. BADY BASSIT LTDA</v>
      </c>
      <c r="C1334" s="60" t="s">
        <v>328</v>
      </c>
      <c r="D1334" s="60">
        <v>80271</v>
      </c>
      <c r="E1334" s="21">
        <v>1945.8</v>
      </c>
      <c r="F1334" s="19"/>
      <c r="G1334" s="21"/>
      <c r="H1334" s="19"/>
      <c r="I1334" s="20">
        <v>45624</v>
      </c>
    </row>
    <row r="1335" spans="1:9">
      <c r="A1335" s="18">
        <v>50554</v>
      </c>
      <c r="B1335" s="19" t="str">
        <f>IFERROR(VLOOKUP(A1335,CLIENTES!A:E,2,0),"CADASTRAR CLIENTE")</f>
        <v>SAO ROQUE MEDICINA DIAGNOSTICA</v>
      </c>
      <c r="C1335" s="60" t="s">
        <v>328</v>
      </c>
      <c r="D1335" s="60">
        <v>80234</v>
      </c>
      <c r="E1335" s="21">
        <v>31049.4</v>
      </c>
      <c r="F1335" s="19"/>
      <c r="G1335" s="21"/>
      <c r="H1335" s="19"/>
      <c r="I1335" s="20">
        <v>45624</v>
      </c>
    </row>
    <row r="1336" spans="1:9">
      <c r="A1336" s="18">
        <v>762</v>
      </c>
      <c r="B1336" s="19" t="str">
        <f>IFERROR(VLOOKUP(A1336,CLIENTES!A:E,2,0),"CADASTRAR CLIENTE")</f>
        <v>STA. CASA MISERICORDIA DE ARACATUBA</v>
      </c>
      <c r="C1336" s="60" t="s">
        <v>2</v>
      </c>
      <c r="D1336" s="60">
        <v>80279</v>
      </c>
      <c r="E1336" s="21">
        <v>14337.32</v>
      </c>
      <c r="F1336" s="19"/>
      <c r="G1336" s="21"/>
      <c r="H1336" s="19"/>
      <c r="I1336" s="20">
        <v>45624</v>
      </c>
    </row>
    <row r="1337" spans="1:9">
      <c r="A1337" s="18">
        <v>772</v>
      </c>
      <c r="B1337" s="19" t="str">
        <f>IFERROR(VLOOKUP(A1337,CLIENTES!A:E,2,0),"CADASTRAR CLIENTE")</f>
        <v>MEGARON LABORATORIO ANAL.CLIN.SC LTDA.</v>
      </c>
      <c r="C1337" s="60" t="s">
        <v>3</v>
      </c>
      <c r="D1337" s="60">
        <v>99935</v>
      </c>
      <c r="E1337" s="21">
        <v>80.400000000000006</v>
      </c>
      <c r="F1337" s="19"/>
      <c r="G1337" s="21"/>
      <c r="H1337" s="19"/>
      <c r="I1337" s="20">
        <v>45624</v>
      </c>
    </row>
    <row r="1338" spans="1:9">
      <c r="A1338" s="18">
        <v>772</v>
      </c>
      <c r="B1338" s="19" t="str">
        <f>IFERROR(VLOOKUP(A1338,CLIENTES!A:E,2,0),"CADASTRAR CLIENTE")</f>
        <v>MEGARON LABORATORIO ANAL.CLIN.SC LTDA.</v>
      </c>
      <c r="C1338" s="60" t="s">
        <v>3</v>
      </c>
      <c r="D1338" s="60">
        <v>80258</v>
      </c>
      <c r="E1338" s="21">
        <v>989.2</v>
      </c>
      <c r="F1338" s="19"/>
      <c r="G1338" s="21"/>
      <c r="H1338" s="19"/>
      <c r="I1338" s="20">
        <v>45624</v>
      </c>
    </row>
    <row r="1339" spans="1:9">
      <c r="A1339" s="18">
        <v>3041</v>
      </c>
      <c r="B1339" s="19" t="str">
        <f>IFERROR(VLOOKUP(A1339,CLIENTES!A:E,2,0),"CADASTRAR CLIENTE")</f>
        <v>CADASTRAR CLIENTE</v>
      </c>
      <c r="C1339" s="60" t="s">
        <v>3</v>
      </c>
      <c r="D1339" s="60">
        <v>80283</v>
      </c>
      <c r="E1339" s="21">
        <v>851.8</v>
      </c>
      <c r="F1339" s="19"/>
      <c r="G1339" s="21"/>
      <c r="H1339" s="19"/>
      <c r="I1339" s="20">
        <v>45625</v>
      </c>
    </row>
    <row r="1340" spans="1:9">
      <c r="A1340" s="18">
        <v>704</v>
      </c>
      <c r="B1340" s="19" t="str">
        <f>IFERROR(VLOOKUP(A1340,CLIENTES!A:E,2,0),"CADASTRAR CLIENTE")</f>
        <v>LAB. ONUMA E BASILIO S/C LTDA</v>
      </c>
      <c r="C1340" s="60" t="s">
        <v>3</v>
      </c>
      <c r="D1340" s="60">
        <v>80294</v>
      </c>
      <c r="E1340" s="21">
        <v>775.5</v>
      </c>
      <c r="F1340" s="19"/>
      <c r="G1340" s="21"/>
      <c r="H1340" s="19"/>
      <c r="I1340" s="20">
        <v>45625</v>
      </c>
    </row>
    <row r="1341" spans="1:9">
      <c r="A1341" s="18">
        <v>1971</v>
      </c>
      <c r="B1341" s="19" t="str">
        <f>IFERROR(VLOOKUP(A1341,CLIENTES!A:E,2,0),"CADASTRAR CLIENTE")</f>
        <v>LABORATORIO POPULAR LAB 7 LTDA</v>
      </c>
      <c r="C1341" s="60" t="s">
        <v>3</v>
      </c>
      <c r="D1341" s="60">
        <v>80298</v>
      </c>
      <c r="E1341" s="21">
        <v>512.04999999999995</v>
      </c>
      <c r="F1341" s="19"/>
      <c r="G1341" s="21"/>
      <c r="H1341" s="19"/>
      <c r="I1341" s="20">
        <v>45625</v>
      </c>
    </row>
    <row r="1342" spans="1:9">
      <c r="A1342" s="18">
        <v>717</v>
      </c>
      <c r="B1342" s="19" t="str">
        <f>IFERROR(VLOOKUP(A1342,CLIENTES!A:E,2,0),"CADASTRAR CLIENTE")</f>
        <v>CADASTRAR CLIENTE</v>
      </c>
      <c r="C1342" s="60" t="s">
        <v>3</v>
      </c>
      <c r="D1342" s="60">
        <v>80322</v>
      </c>
      <c r="E1342" s="21">
        <v>210.4</v>
      </c>
      <c r="F1342" s="19"/>
      <c r="G1342" s="21"/>
      <c r="H1342" s="19"/>
      <c r="I1342" s="20">
        <v>45625</v>
      </c>
    </row>
    <row r="1343" spans="1:9">
      <c r="A1343" s="18">
        <v>575</v>
      </c>
      <c r="B1343" s="19" t="str">
        <f>IFERROR(VLOOKUP(A1343,CLIENTES!A:E,2,0),"CADASTRAR CLIENTE")</f>
        <v>DR MUNHOZ HOSPITAL VETERINARIO E PET SHOP</v>
      </c>
      <c r="C1343" s="60" t="s">
        <v>2</v>
      </c>
      <c r="D1343" s="60">
        <v>80307</v>
      </c>
      <c r="E1343" s="21">
        <v>1566.72</v>
      </c>
      <c r="F1343" s="19"/>
      <c r="G1343" s="21"/>
      <c r="H1343" s="19"/>
      <c r="I1343" s="20">
        <v>45625</v>
      </c>
    </row>
    <row r="1344" spans="1:9">
      <c r="A1344" s="18">
        <v>575</v>
      </c>
      <c r="B1344" s="19" t="str">
        <f>IFERROR(VLOOKUP(A1344,CLIENTES!A:E,2,0),"CADASTRAR CLIENTE")</f>
        <v>DR MUNHOZ HOSPITAL VETERINARIO E PET SHOP</v>
      </c>
      <c r="C1344" s="60" t="s">
        <v>2</v>
      </c>
      <c r="D1344" s="60">
        <v>99939</v>
      </c>
      <c r="E1344" s="21">
        <v>99.26</v>
      </c>
      <c r="F1344" s="19"/>
      <c r="G1344" s="21"/>
      <c r="H1344" s="19"/>
      <c r="I1344" s="20">
        <v>45625</v>
      </c>
    </row>
    <row r="1345" spans="1:9">
      <c r="A1345" s="18">
        <v>822</v>
      </c>
      <c r="B1345" s="19" t="str">
        <f>IFERROR(VLOOKUP(A1345,CLIENTES!A:E,2,0),"CADASTRAR CLIENTE")</f>
        <v>SAO LUCAS LABORATORIO ANAL. CLIN. S/C LTDA</v>
      </c>
      <c r="C1345" s="60" t="s">
        <v>3</v>
      </c>
      <c r="D1345" s="60">
        <v>80324</v>
      </c>
      <c r="E1345" s="21">
        <v>454.3</v>
      </c>
      <c r="F1345" s="19"/>
      <c r="G1345" s="21"/>
      <c r="H1345" s="19"/>
      <c r="I1345" s="20">
        <v>45628</v>
      </c>
    </row>
    <row r="1346" spans="1:9">
      <c r="A1346" s="18">
        <v>620</v>
      </c>
      <c r="B1346" s="19" t="str">
        <f>IFERROR(VLOOKUP(A1346,CLIENTES!A:E,2,0),"CADASTRAR CLIENTE")</f>
        <v>LAB.SAO PAULO DE ANAL.CLIN.SC LTDA.</v>
      </c>
      <c r="C1346" s="60" t="s">
        <v>3</v>
      </c>
      <c r="D1346" s="60">
        <v>99941</v>
      </c>
      <c r="E1346" s="21">
        <v>123.48</v>
      </c>
      <c r="F1346" s="19"/>
      <c r="G1346" s="21"/>
      <c r="H1346" s="19"/>
      <c r="I1346" s="20">
        <v>45628</v>
      </c>
    </row>
    <row r="1347" spans="1:9">
      <c r="A1347" s="18">
        <v>620</v>
      </c>
      <c r="B1347" s="19" t="str">
        <f>IFERROR(VLOOKUP(A1347,CLIENTES!A:E,2,0),"CADASTRAR CLIENTE")</f>
        <v>LAB.SAO PAULO DE ANAL.CLIN.SC LTDA.</v>
      </c>
      <c r="C1347" s="60" t="s">
        <v>3</v>
      </c>
      <c r="D1347" s="60">
        <v>80351</v>
      </c>
      <c r="E1347" s="21">
        <v>1021.23</v>
      </c>
      <c r="F1347" s="19"/>
      <c r="G1347" s="21"/>
      <c r="H1347" s="19"/>
      <c r="I1347" s="20">
        <v>45628</v>
      </c>
    </row>
    <row r="1348" spans="1:9">
      <c r="A1348" s="18">
        <v>575</v>
      </c>
      <c r="B1348" s="19" t="str">
        <f>IFERROR(VLOOKUP(A1348,CLIENTES!A:E,2,0),"CADASTRAR CLIENTE")</f>
        <v>DR MUNHOZ HOSPITAL VETERINARIO E PET SHOP</v>
      </c>
      <c r="C1348" s="49" t="s">
        <v>2</v>
      </c>
      <c r="D1348" s="49" t="s">
        <v>388</v>
      </c>
      <c r="E1348" s="50">
        <v>735.3</v>
      </c>
      <c r="I1348" s="1">
        <v>45643</v>
      </c>
    </row>
    <row r="1349" spans="1:9">
      <c r="A1349" s="18">
        <v>575</v>
      </c>
      <c r="B1349" s="19" t="str">
        <f>IFERROR(VLOOKUP(A1349,CLIENTES!A:E,2,0),"CADASTRAR CLIENTE")</f>
        <v>DR MUNHOZ HOSPITAL VETERINARIO E PET SHOP</v>
      </c>
      <c r="C1349" s="49" t="s">
        <v>3</v>
      </c>
      <c r="D1349" s="49" t="s">
        <v>389</v>
      </c>
      <c r="E1349" s="50">
        <v>75.94</v>
      </c>
      <c r="I1349" s="1">
        <v>45643</v>
      </c>
    </row>
    <row r="1350" spans="1:9">
      <c r="A1350" s="18">
        <v>475</v>
      </c>
      <c r="B1350" s="19" t="str">
        <f>IFERROR(VLOOKUP(A1350,CLIENTES!A:E,2,0),"CADASTRAR CLIENTE")</f>
        <v>LABORATORIO DE ANALISES CLINICAS SRC LTDA</v>
      </c>
      <c r="C1350" s="49" t="s">
        <v>3</v>
      </c>
      <c r="D1350" s="49">
        <v>80887</v>
      </c>
      <c r="E1350" s="50">
        <v>309</v>
      </c>
      <c r="I1350" s="1">
        <v>45643</v>
      </c>
    </row>
    <row r="1351" spans="1:9">
      <c r="A1351" s="18">
        <v>500149</v>
      </c>
      <c r="B1351" s="19" t="str">
        <f>IFERROR(VLOOKUP(A1351,CLIENTES!A:E,2,0),"CADASTRAR CLIENTE")</f>
        <v>SAO ROQUE MEDICINA DIAGNOSTICA LTDA</v>
      </c>
      <c r="C1351" s="49" t="s">
        <v>3</v>
      </c>
      <c r="D1351" s="49">
        <v>80785</v>
      </c>
      <c r="E1351" s="50">
        <v>2455.84</v>
      </c>
      <c r="I1351" s="1">
        <v>45643</v>
      </c>
    </row>
    <row r="1352" spans="1:9">
      <c r="A1352" s="18">
        <v>905</v>
      </c>
      <c r="B1352" s="19" t="str">
        <f>IFERROR(VLOOKUP(A1352,CLIENTES!A:E,2,0),"CADASTRAR CLIENTE")</f>
        <v>LAB AN CLIN DR NESTOR FERRAREZZI FILHO  SC LTDA</v>
      </c>
      <c r="C1352" s="49" t="s">
        <v>328</v>
      </c>
      <c r="D1352" s="49">
        <v>100058</v>
      </c>
      <c r="E1352" s="50">
        <v>283.79000000000002</v>
      </c>
      <c r="I1352" s="1">
        <v>45643</v>
      </c>
    </row>
    <row r="1353" spans="1:9">
      <c r="A1353" s="18">
        <v>905</v>
      </c>
      <c r="B1353" s="19" t="str">
        <f>IFERROR(VLOOKUP(A1353,CLIENTES!A:E,2,0),"CADASTRAR CLIENTE")</f>
        <v>LAB AN CLIN DR NESTOR FERRAREZZI FILHO  SC LTDA</v>
      </c>
      <c r="C1353" s="49" t="s">
        <v>328</v>
      </c>
      <c r="D1353" s="49">
        <v>80883</v>
      </c>
      <c r="E1353" s="50">
        <v>251.73</v>
      </c>
      <c r="I1353" s="1">
        <v>45643</v>
      </c>
    </row>
    <row r="1354" spans="1:9">
      <c r="A1354" s="18">
        <v>1652</v>
      </c>
      <c r="B1354" s="19" t="str">
        <f>IFERROR(VLOOKUP(A1354,CLIENTES!A:E,2,0),"CADASTRAR CLIENTE")</f>
        <v>LAB. SANTA CLARA ANAL.CLIN.</v>
      </c>
      <c r="C1354" s="49" t="s">
        <v>328</v>
      </c>
      <c r="D1354" s="49">
        <v>80867</v>
      </c>
      <c r="E1354" s="50">
        <v>820.4</v>
      </c>
      <c r="I1354" s="1">
        <v>45643</v>
      </c>
    </row>
    <row r="1355" spans="1:9">
      <c r="A1355" s="18">
        <v>167</v>
      </c>
      <c r="B1355" s="19" t="str">
        <f>IFERROR(VLOOKUP(A1355,CLIENTES!A:E,2,0),"CADASTRAR CLIENTE")</f>
        <v>CADASTRAR CLIENTE</v>
      </c>
      <c r="C1355" s="49" t="s">
        <v>3</v>
      </c>
      <c r="D1355" s="49">
        <v>80897</v>
      </c>
      <c r="E1355" s="50">
        <v>1521.84</v>
      </c>
      <c r="I1355" s="1">
        <v>45644</v>
      </c>
    </row>
    <row r="1356" spans="1:9">
      <c r="A1356" s="18">
        <v>167</v>
      </c>
      <c r="B1356" s="19" t="str">
        <f>IFERROR(VLOOKUP(A1356,CLIENTES!A:E,2,0),"CADASTRAR CLIENTE")</f>
        <v>CADASTRAR CLIENTE</v>
      </c>
      <c r="C1356" s="49" t="s">
        <v>3</v>
      </c>
      <c r="D1356" s="49">
        <v>100062</v>
      </c>
      <c r="E1356" s="50">
        <v>292.2</v>
      </c>
      <c r="I1356" s="1">
        <v>45644</v>
      </c>
    </row>
    <row r="1357" spans="1:9">
      <c r="A1357" s="18">
        <v>167</v>
      </c>
      <c r="B1357" s="19" t="str">
        <f>IFERROR(VLOOKUP(A1357,CLIENTES!A:E,2,0),"CADASTRAR CLIENTE")</f>
        <v>CADASTRAR CLIENTE</v>
      </c>
      <c r="C1357" s="49" t="s">
        <v>3</v>
      </c>
      <c r="D1357" s="49">
        <v>124</v>
      </c>
      <c r="E1357" s="50">
        <v>820</v>
      </c>
      <c r="I1357" s="1">
        <v>45644</v>
      </c>
    </row>
    <row r="1358" spans="1:9">
      <c r="A1358" s="18">
        <v>1971</v>
      </c>
      <c r="B1358" s="19" t="str">
        <f>IFERROR(VLOOKUP(A1358,CLIENTES!A:E,2,0),"CADASTRAR CLIENTE")</f>
        <v>LABORATORIO POPULAR LAB 7 LTDA</v>
      </c>
      <c r="C1358" s="49" t="s">
        <v>3</v>
      </c>
      <c r="D1358" s="49">
        <v>80905</v>
      </c>
      <c r="E1358" s="50">
        <v>310</v>
      </c>
      <c r="I1358" s="1">
        <v>45644</v>
      </c>
    </row>
    <row r="1359" spans="1:9">
      <c r="A1359" s="18">
        <v>3190</v>
      </c>
      <c r="B1359" s="19" t="str">
        <f>IFERROR(VLOOKUP(A1359,CLIENTES!A:E,2,0),"CADASTRAR CLIENTE")</f>
        <v>C D A CENTRO DE DIAGNOSTICO VETERINARIO</v>
      </c>
      <c r="C1359" s="49" t="s">
        <v>3</v>
      </c>
      <c r="D1359" s="49">
        <v>80329</v>
      </c>
      <c r="E1359" s="50">
        <v>935.38</v>
      </c>
      <c r="I1359" s="1">
        <v>45644</v>
      </c>
    </row>
    <row r="1360" spans="1:9">
      <c r="A1360" s="18">
        <v>704</v>
      </c>
      <c r="B1360" s="19" t="str">
        <f>IFERROR(VLOOKUP(A1360,CLIENTES!A:E,2,0),"CADASTRAR CLIENTE")</f>
        <v>LAB. ONUMA E BASILIO S/C LTDA</v>
      </c>
      <c r="C1360" s="49" t="s">
        <v>3</v>
      </c>
      <c r="D1360" s="49">
        <v>80914</v>
      </c>
      <c r="E1360" s="50">
        <v>1980</v>
      </c>
      <c r="I1360" s="1">
        <v>45644</v>
      </c>
    </row>
    <row r="1361" spans="1:9">
      <c r="A1361" s="18">
        <v>2980</v>
      </c>
      <c r="B1361" s="19" t="str">
        <f>IFERROR(VLOOKUP(A1361,CLIENTES!A:E,2,0),"CADASTRAR CLIENTE")</f>
        <v>ALMEIDA &amp; FLAITT LABORATORIOS DE ANALISES CLINICAS LTDA</v>
      </c>
      <c r="C1361" s="49" t="s">
        <v>3</v>
      </c>
      <c r="D1361" s="49">
        <v>80910</v>
      </c>
      <c r="E1361" s="50">
        <v>494.55</v>
      </c>
      <c r="I1361" s="1">
        <v>45644</v>
      </c>
    </row>
    <row r="1362" spans="1:9">
      <c r="A1362" s="18">
        <v>50554</v>
      </c>
      <c r="B1362" s="19" t="str">
        <f>IFERROR(VLOOKUP(A1362,CLIENTES!A:E,2,0),"CADASTRAR CLIENTE")</f>
        <v>SAO ROQUE MEDICINA DIAGNOSTICA</v>
      </c>
      <c r="C1362" s="49" t="s">
        <v>3</v>
      </c>
      <c r="D1362" s="49">
        <v>80921</v>
      </c>
      <c r="E1362" s="50">
        <v>252.7</v>
      </c>
      <c r="I1362" s="1">
        <v>45644</v>
      </c>
    </row>
    <row r="1363" spans="1:9">
      <c r="A1363" s="18">
        <v>50497</v>
      </c>
      <c r="B1363" s="19" t="str">
        <f>IFERROR(VLOOKUP(A1363,CLIENTES!A:E,2,0),"CADASTRAR CLIENTE")</f>
        <v>DIAGNOSTIKA-UNIDADE DIAGNOSTICA EM PATOLOGIA CIRURGICA E CITOLOGIA LTDA</v>
      </c>
      <c r="C1363" s="49" t="s">
        <v>3</v>
      </c>
      <c r="D1363" s="49">
        <v>100063</v>
      </c>
      <c r="E1363" s="50">
        <v>45.5</v>
      </c>
      <c r="I1363" s="1">
        <v>45644</v>
      </c>
    </row>
    <row r="1364" spans="1:9">
      <c r="A1364" s="18">
        <v>690</v>
      </c>
      <c r="B1364" s="19" t="str">
        <f>IFERROR(VLOOKUP(A1364,CLIENTES!A:E,2,0),"CADASTRAR CLIENTE")</f>
        <v>SAO ROQUE MEDICINA DIAGNOSTICA LTDA EPP</v>
      </c>
      <c r="C1364" s="49" t="s">
        <v>3</v>
      </c>
      <c r="D1364" s="49">
        <v>80920</v>
      </c>
      <c r="E1364" s="50">
        <v>476.05</v>
      </c>
      <c r="I1364" s="1">
        <v>45644</v>
      </c>
    </row>
    <row r="1365" spans="1:9">
      <c r="A1365" s="18">
        <v>690</v>
      </c>
      <c r="B1365" s="19" t="str">
        <f>IFERROR(VLOOKUP(A1365,CLIENTES!A:E,2,0),"CADASTRAR CLIENTE")</f>
        <v>SAO ROQUE MEDICINA DIAGNOSTICA LTDA EPP</v>
      </c>
      <c r="C1365" s="49" t="s">
        <v>3</v>
      </c>
      <c r="D1365" s="49">
        <v>100065</v>
      </c>
      <c r="E1365" s="50">
        <v>45.5</v>
      </c>
      <c r="I1365" s="1">
        <v>45644</v>
      </c>
    </row>
    <row r="1366" spans="1:9">
      <c r="A1366" s="18">
        <v>3194</v>
      </c>
      <c r="B1366" s="19" t="str">
        <f>IFERROR(VLOOKUP(A1366,CLIENTES!A:E,2,0),"CADASTRAR CLIENTE")</f>
        <v>CENTRO DE DIAGNOSTICOS CONTROLE LTDA</v>
      </c>
      <c r="C1366" s="49" t="s">
        <v>3</v>
      </c>
      <c r="D1366" s="49">
        <v>80601</v>
      </c>
      <c r="E1366" s="50">
        <v>1083.2</v>
      </c>
      <c r="I1366" s="1">
        <v>45644</v>
      </c>
    </row>
    <row r="1367" spans="1:9">
      <c r="A1367" s="18">
        <v>50576</v>
      </c>
      <c r="B1367" s="19" t="str">
        <f>IFERROR(VLOOKUP(A1367,CLIENTES!A:E,2,0),"CADASTRAR CLIENTE")</f>
        <v>ANDRIAO CANEPPA E SILVA LTDA ME</v>
      </c>
      <c r="C1367" s="49" t="s">
        <v>3</v>
      </c>
      <c r="D1367" s="49">
        <v>80940</v>
      </c>
      <c r="E1367" s="50">
        <v>1046</v>
      </c>
      <c r="I1367" s="1">
        <v>45652</v>
      </c>
    </row>
    <row r="1368" spans="1:9">
      <c r="A1368" s="18">
        <v>663</v>
      </c>
      <c r="B1368" s="19" t="str">
        <f>IFERROR(VLOOKUP(A1368,CLIENTES!A:E,2,0),"CADASTRAR CLIENTE")</f>
        <v>LAB. MEDICO GUIMARAES</v>
      </c>
      <c r="C1368" s="49" t="s">
        <v>3</v>
      </c>
      <c r="D1368" s="49">
        <v>80987</v>
      </c>
      <c r="E1368" s="50">
        <v>832.7</v>
      </c>
      <c r="I1368" s="1">
        <v>45652</v>
      </c>
    </row>
    <row r="1369" spans="1:9">
      <c r="A1369" s="18">
        <v>687</v>
      </c>
      <c r="B1369" s="19" t="str">
        <f>IFERROR(VLOOKUP(A1369,CLIENTES!A:E,2,0),"CADASTRAR CLIENTE")</f>
        <v>LAB ANAL CLIN VENDRAMINI S/S LTDA</v>
      </c>
      <c r="C1369" s="49" t="s">
        <v>3</v>
      </c>
      <c r="D1369" s="49">
        <v>80158</v>
      </c>
      <c r="E1369" s="50">
        <v>952</v>
      </c>
      <c r="I1369" s="1">
        <v>45652</v>
      </c>
    </row>
    <row r="1370" spans="1:9">
      <c r="A1370" s="47">
        <v>311</v>
      </c>
      <c r="B1370" s="48" t="str">
        <f>IFERROR(VLOOKUP(A1370,CLIENTES!A:E,2,0),"CADASTRAR CLIENTE")</f>
        <v>CENTRO DE ANAL.CLIN. UNILAB  SC LTDA.</v>
      </c>
      <c r="C1370" s="49" t="s">
        <v>3</v>
      </c>
      <c r="D1370" s="49">
        <v>80944</v>
      </c>
      <c r="E1370" s="50">
        <v>5092</v>
      </c>
      <c r="I1370" s="1">
        <v>45653</v>
      </c>
    </row>
    <row r="1371" spans="1:9">
      <c r="A1371" s="18">
        <v>1164</v>
      </c>
      <c r="B1371" s="19" t="str">
        <f>IFERROR(VLOOKUP(A1371,CLIENTES!A:E,2,0),"CADASTRAR CLIENTE")</f>
        <v>LAB. ANAL. CLIN. SAO LOURENCO S/C LTDA</v>
      </c>
      <c r="C1371" s="54" t="s">
        <v>3</v>
      </c>
      <c r="D1371" s="54">
        <v>80181</v>
      </c>
      <c r="E1371" s="51">
        <v>1116.5</v>
      </c>
      <c r="F1371" s="48"/>
      <c r="G1371" s="51"/>
      <c r="H1371" s="52"/>
      <c r="I1371" s="53">
        <v>45656</v>
      </c>
    </row>
    <row r="1372" spans="1:9">
      <c r="A1372" s="18">
        <v>1164</v>
      </c>
      <c r="B1372" s="19" t="str">
        <f>IFERROR(VLOOKUP(A1372,CLIENTES!A:E,2,0),"CADASTRAR CLIENTE")</f>
        <v>LAB. ANAL. CLIN. SAO LOURENCO S/C LTDA</v>
      </c>
      <c r="C1372" s="54" t="s">
        <v>3</v>
      </c>
      <c r="D1372" s="54">
        <v>100091</v>
      </c>
      <c r="E1372" s="51">
        <v>71.349999999999994</v>
      </c>
      <c r="F1372" s="48"/>
      <c r="G1372" s="51"/>
      <c r="H1372" s="52"/>
      <c r="I1372" s="53">
        <v>45656</v>
      </c>
    </row>
    <row r="1373" spans="1:9">
      <c r="A1373" s="18">
        <v>1989</v>
      </c>
      <c r="B1373" s="19" t="str">
        <f>IFERROR(VLOOKUP(A1373,CLIENTES!A:E,2,0),"CADASTRAR CLIENTE")</f>
        <v>SAO FRANCISCO ANAL. CLIN.</v>
      </c>
      <c r="C1373" s="54" t="s">
        <v>3</v>
      </c>
      <c r="D1373" s="54">
        <v>80610</v>
      </c>
      <c r="E1373" s="51">
        <v>606.12</v>
      </c>
      <c r="F1373" s="48"/>
      <c r="G1373" s="51"/>
      <c r="H1373" s="52"/>
      <c r="I1373" s="53">
        <v>45656</v>
      </c>
    </row>
    <row r="1374" spans="1:9">
      <c r="A1374" s="18">
        <v>690</v>
      </c>
      <c r="B1374" s="19" t="str">
        <f>IFERROR(VLOOKUP(A1374,CLIENTES!A:E,2,0),"CADASTRAR CLIENTE")</f>
        <v>SAO ROQUE MEDICINA DIAGNOSTICA LTDA EPP</v>
      </c>
      <c r="C1374" s="54" t="s">
        <v>3</v>
      </c>
      <c r="D1374" s="54">
        <v>80608</v>
      </c>
      <c r="E1374" s="51">
        <v>189</v>
      </c>
      <c r="F1374" s="48"/>
      <c r="G1374" s="51"/>
      <c r="H1374" s="52"/>
      <c r="I1374" s="53">
        <v>45656</v>
      </c>
    </row>
    <row r="1375" spans="1:9">
      <c r="A1375" s="47">
        <v>50554</v>
      </c>
      <c r="B1375" s="48" t="str">
        <f>IFERROR(VLOOKUP(A1375,CLIENTES!A:E,2,0),"CADASTRAR CLIENTE")</f>
        <v>SAO ROQUE MEDICINA DIAGNOSTICA</v>
      </c>
      <c r="C1375" s="54" t="s">
        <v>3</v>
      </c>
      <c r="D1375" s="54">
        <v>80690</v>
      </c>
      <c r="E1375" s="51">
        <v>189</v>
      </c>
      <c r="F1375" s="48"/>
      <c r="G1375" s="51"/>
      <c r="H1375" s="52"/>
      <c r="I1375" s="53">
        <v>45656</v>
      </c>
    </row>
    <row r="1376" spans="1:9">
      <c r="A1376" s="47">
        <v>50219</v>
      </c>
      <c r="B1376" s="48" t="str">
        <f>IFERROR(VLOOKUP(A1376,CLIENTES!A:E,2,0),"CADASTRAR CLIENTE")</f>
        <v>UNIPREV LAB DE ANALISES LOCACAO DE BENS E REPAROS LTDA EPP</v>
      </c>
      <c r="C1376" s="54" t="s">
        <v>3</v>
      </c>
      <c r="D1376" s="54">
        <v>81089</v>
      </c>
      <c r="E1376" s="51">
        <v>1924.02</v>
      </c>
      <c r="F1376" s="48"/>
      <c r="G1376" s="51"/>
      <c r="H1376" s="52"/>
      <c r="I1376" s="53">
        <v>45659</v>
      </c>
    </row>
    <row r="1377" spans="1:9">
      <c r="A1377" s="47">
        <v>50219</v>
      </c>
      <c r="B1377" s="48" t="str">
        <f>IFERROR(VLOOKUP(A1377,CLIENTES!A:E,2,0),"CADASTRAR CLIENTE")</f>
        <v>UNIPREV LAB DE ANALISES LOCACAO DE BENS E REPAROS LTDA EPP</v>
      </c>
      <c r="C1377" s="54" t="s">
        <v>3</v>
      </c>
      <c r="D1377" s="54">
        <v>100093</v>
      </c>
      <c r="E1377" s="51">
        <v>186.2</v>
      </c>
      <c r="F1377" s="48"/>
      <c r="G1377" s="51"/>
      <c r="H1377" s="52"/>
      <c r="I1377" s="53">
        <v>45659</v>
      </c>
    </row>
    <row r="1378" spans="1:9">
      <c r="A1378" s="47">
        <v>1616</v>
      </c>
      <c r="B1378" s="48" t="str">
        <f>IFERROR(VLOOKUP(A1378,CLIENTES!A:E,2,0),"CADASTRAR CLIENTE")</f>
        <v>NOVO HORIZONTE LAB.ANAL.CLIN.S/C LTDA.</v>
      </c>
      <c r="C1378" s="54" t="s">
        <v>3</v>
      </c>
      <c r="D1378" s="54">
        <v>81094</v>
      </c>
      <c r="E1378" s="51">
        <v>4754.1499999999996</v>
      </c>
      <c r="F1378" s="48"/>
      <c r="G1378" s="51"/>
      <c r="H1378" s="52"/>
      <c r="I1378" s="53">
        <v>45659</v>
      </c>
    </row>
    <row r="1379" spans="1:9">
      <c r="A1379" s="47">
        <v>2022</v>
      </c>
      <c r="B1379" s="48" t="str">
        <f>IFERROR(VLOOKUP(A1379,CLIENTES!A:E,2,0),"CADASTRAR CLIENTE")</f>
        <v>LAB. MEDICO DR. MARICONDI S/C LTDA.</v>
      </c>
      <c r="C1379" s="54" t="s">
        <v>2</v>
      </c>
      <c r="D1379" s="54">
        <v>80968</v>
      </c>
      <c r="E1379" s="51">
        <v>2513.6999999999998</v>
      </c>
      <c r="F1379" s="48"/>
      <c r="G1379" s="51"/>
      <c r="H1379" s="52"/>
      <c r="I1379" s="53">
        <v>45659</v>
      </c>
    </row>
    <row r="1380" spans="1:9">
      <c r="A1380" s="47">
        <v>3194</v>
      </c>
      <c r="B1380" s="48" t="str">
        <f>IFERROR(VLOOKUP(A1380,CLIENTES!A:E,2,0),"CADASTRAR CLIENTE")</f>
        <v>CENTRO DE DIAGNOSTICOS CONTROLE LTDA</v>
      </c>
      <c r="C1380" s="54" t="s">
        <v>3</v>
      </c>
      <c r="D1380" s="54">
        <v>81096</v>
      </c>
      <c r="E1380" s="51">
        <v>2490</v>
      </c>
      <c r="F1380" s="48"/>
      <c r="G1380" s="51"/>
      <c r="H1380" s="52"/>
      <c r="I1380" s="53">
        <v>45659</v>
      </c>
    </row>
    <row r="1381" spans="1:9">
      <c r="A1381" s="47">
        <v>741</v>
      </c>
      <c r="B1381" s="48" t="str">
        <f>IFERROR(VLOOKUP(A1381,CLIENTES!A:E,2,0),"CADASTRAR CLIENTE")</f>
        <v>LAB. ANAL. CLIN. DR. HELIO NAKABASHI SC LTDA</v>
      </c>
      <c r="C1381" s="54" t="s">
        <v>3</v>
      </c>
      <c r="D1381" s="54">
        <v>100100</v>
      </c>
      <c r="E1381" s="51">
        <v>63</v>
      </c>
      <c r="F1381" s="48"/>
      <c r="G1381" s="51"/>
      <c r="H1381" s="52"/>
      <c r="I1381" s="53">
        <v>45659</v>
      </c>
    </row>
    <row r="1382" spans="1:9">
      <c r="A1382" s="47">
        <v>741</v>
      </c>
      <c r="B1382" s="48" t="str">
        <f>IFERROR(VLOOKUP(A1382,CLIENTES!A:E,2,0),"CADASTRAR CLIENTE")</f>
        <v>LAB. ANAL. CLIN. DR. HELIO NAKABASHI SC LTDA</v>
      </c>
      <c r="C1382" s="54" t="s">
        <v>3</v>
      </c>
      <c r="D1382" s="54">
        <v>81120</v>
      </c>
      <c r="E1382" s="51">
        <v>751.9</v>
      </c>
      <c r="F1382" s="48"/>
      <c r="G1382" s="51"/>
      <c r="H1382" s="52"/>
      <c r="I1382" s="53">
        <v>45663</v>
      </c>
    </row>
    <row r="1383" spans="1:9">
      <c r="A1383" s="47">
        <v>1164</v>
      </c>
      <c r="B1383" s="48" t="str">
        <f>IFERROR(VLOOKUP(A1383,CLIENTES!A:E,2,0),"CADASTRAR CLIENTE")</f>
        <v>LAB. ANAL. CLIN. SAO LOURENCO S/C LTDA</v>
      </c>
      <c r="C1383" s="54" t="s">
        <v>3</v>
      </c>
      <c r="D1383" s="54">
        <v>81162</v>
      </c>
      <c r="E1383" s="51">
        <v>879.75</v>
      </c>
      <c r="F1383" s="48"/>
      <c r="G1383" s="51"/>
      <c r="H1383" s="52"/>
      <c r="I1383" s="53">
        <v>45663</v>
      </c>
    </row>
    <row r="1384" spans="1:9">
      <c r="A1384" s="47">
        <v>50312</v>
      </c>
      <c r="B1384" s="48" t="str">
        <f>IFERROR(VLOOKUP(A1384,CLIENTES!A:E,2,0),"CADASTRAR CLIENTE")</f>
        <v>LAB-MED LAB.ANALISES CLINICAS</v>
      </c>
      <c r="C1384" s="54" t="s">
        <v>3</v>
      </c>
      <c r="D1384" s="54">
        <v>81168</v>
      </c>
      <c r="E1384" s="51">
        <v>882.12</v>
      </c>
      <c r="F1384" s="48"/>
      <c r="G1384" s="51"/>
      <c r="H1384" s="52"/>
      <c r="I1384" s="53">
        <v>45663</v>
      </c>
    </row>
    <row r="1385" spans="1:9">
      <c r="A1385" s="47">
        <v>311</v>
      </c>
      <c r="B1385" s="48" t="str">
        <f>IFERROR(VLOOKUP(A1385,CLIENTES!A:E,2,0),"CADASTRAR CLIENTE")</f>
        <v>CENTRO DE ANAL.CLIN. UNILAB  SC LTDA.</v>
      </c>
      <c r="C1385" s="54" t="s">
        <v>3</v>
      </c>
      <c r="D1385" s="54">
        <v>81173</v>
      </c>
      <c r="E1385" s="51">
        <v>3176</v>
      </c>
      <c r="F1385" s="48"/>
      <c r="G1385" s="51"/>
      <c r="H1385" s="52"/>
      <c r="I1385" s="53">
        <v>45663</v>
      </c>
    </row>
    <row r="1386" spans="1:9">
      <c r="A1386" s="47">
        <v>885</v>
      </c>
      <c r="B1386" s="48" t="str">
        <f>IFERROR(VLOOKUP(A1386,CLIENTES!A:E,2,0),"CADASTRAR CLIENTE")</f>
        <v>MEDCLINICA MORATENSE SC LTDA ME</v>
      </c>
      <c r="C1386" s="54" t="s">
        <v>3</v>
      </c>
      <c r="D1386" s="54">
        <v>81163</v>
      </c>
      <c r="E1386" s="51">
        <v>3145.54</v>
      </c>
      <c r="F1386" s="48"/>
      <c r="G1386" s="51"/>
      <c r="H1386" s="52"/>
      <c r="I1386" s="53">
        <v>45663</v>
      </c>
    </row>
    <row r="1387" spans="1:9">
      <c r="A1387" s="47">
        <v>1240</v>
      </c>
      <c r="B1387" s="48" t="str">
        <f>IFERROR(VLOOKUP(A1387,CLIENTES!A:E,2,0),"CADASTRAR CLIENTE")</f>
        <v>MONICA VIEIRA DE CAMPOS REBELO-ME</v>
      </c>
      <c r="C1387" s="54" t="s">
        <v>3</v>
      </c>
      <c r="D1387" s="54">
        <v>81156</v>
      </c>
      <c r="E1387" s="51">
        <v>2548.64</v>
      </c>
      <c r="F1387" s="48"/>
      <c r="G1387" s="51"/>
      <c r="H1387" s="52"/>
      <c r="I1387" s="53">
        <v>45663</v>
      </c>
    </row>
    <row r="1388" spans="1:9">
      <c r="A1388" s="47">
        <v>704</v>
      </c>
      <c r="B1388" s="48" t="str">
        <f>IFERROR(VLOOKUP(A1388,CLIENTES!A:E,2,0),"CADASTRAR CLIENTE")</f>
        <v>LAB. ONUMA E BASILIO S/C LTDA</v>
      </c>
      <c r="C1388" s="54" t="s">
        <v>328</v>
      </c>
      <c r="D1388" s="54">
        <v>81172</v>
      </c>
      <c r="E1388" s="51">
        <v>2592</v>
      </c>
      <c r="F1388" s="48"/>
      <c r="G1388" s="51"/>
      <c r="H1388" s="52"/>
      <c r="I1388" s="53">
        <v>45663</v>
      </c>
    </row>
    <row r="1389" spans="1:9">
      <c r="A1389" s="47">
        <v>2702</v>
      </c>
      <c r="B1389" s="48" t="str">
        <f>IFERROR(VLOOKUP(A1389,CLIENTES!A:E,2,0),"CADASTRAR CLIENTE")</f>
        <v>SANTA CASA DE MISER. DE TAQUARITUBA</v>
      </c>
      <c r="C1389" s="54" t="s">
        <v>3</v>
      </c>
      <c r="D1389" s="54">
        <v>81167</v>
      </c>
      <c r="E1389" s="51">
        <v>1311.99</v>
      </c>
      <c r="F1389" s="48"/>
      <c r="G1389" s="51"/>
      <c r="H1389" s="52"/>
      <c r="I1389" s="53">
        <v>45663</v>
      </c>
    </row>
    <row r="1390" spans="1:9">
      <c r="A1390" s="47">
        <v>687</v>
      </c>
      <c r="B1390" s="48" t="str">
        <f>IFERROR(VLOOKUP(A1390,CLIENTES!A:E,2,0),"CADASTRAR CLIENTE")</f>
        <v>LAB ANAL CLIN VENDRAMINI S/S LTDA</v>
      </c>
      <c r="C1390" s="54" t="s">
        <v>3</v>
      </c>
      <c r="D1390" s="54">
        <v>81180</v>
      </c>
      <c r="E1390" s="51">
        <v>2601.1999999999998</v>
      </c>
      <c r="F1390" s="48"/>
      <c r="G1390" s="51"/>
      <c r="H1390" s="52"/>
      <c r="I1390" s="53">
        <v>45663</v>
      </c>
    </row>
    <row r="1391" spans="1:9">
      <c r="A1391" s="47">
        <v>2955</v>
      </c>
      <c r="B1391" s="48" t="str">
        <f>IFERROR(VLOOKUP(A1391,CLIENTES!A:E,2,0),"CADASTRAR CLIENTE")</f>
        <v>ASSOCIACAO SANTA CASA SAUDE DE ARACATUBA</v>
      </c>
      <c r="C1391" s="54" t="s">
        <v>3</v>
      </c>
      <c r="D1391" s="54">
        <v>81177</v>
      </c>
      <c r="E1391" s="51">
        <v>1654</v>
      </c>
      <c r="F1391" s="48">
        <v>1200</v>
      </c>
      <c r="G1391" s="51">
        <v>1200</v>
      </c>
      <c r="H1391" s="52"/>
      <c r="I1391" s="53">
        <v>45664</v>
      </c>
    </row>
    <row r="1392" spans="1:9">
      <c r="A1392" s="47">
        <v>2163</v>
      </c>
      <c r="B1392" s="48" t="str">
        <f>IFERROR(VLOOKUP(A1392,CLIENTES!A:E,2,0),"CADASTRAR CLIENTE")</f>
        <v>BIO-LAB SAO JUDAS TADEU S/C LTDA - ME</v>
      </c>
      <c r="C1392" s="54" t="s">
        <v>328</v>
      </c>
      <c r="D1392" s="54">
        <v>81206</v>
      </c>
      <c r="E1392" s="51">
        <v>1598.8</v>
      </c>
      <c r="F1392" s="48"/>
      <c r="G1392" s="51"/>
      <c r="H1392" s="52"/>
      <c r="I1392" s="53">
        <v>45664</v>
      </c>
    </row>
    <row r="1393" spans="1:9">
      <c r="A1393" s="47">
        <v>761</v>
      </c>
      <c r="B1393" s="48" t="str">
        <f>IFERROR(VLOOKUP(A1393,CLIENTES!A:E,2,0),"CADASTRAR CLIENTE")</f>
        <v>EXAME CENTRO DIAG.M.ARACATUBA SC LTDA.</v>
      </c>
      <c r="C1393" s="54" t="s">
        <v>3</v>
      </c>
      <c r="D1393" s="54">
        <v>81209</v>
      </c>
      <c r="E1393" s="51">
        <v>2200</v>
      </c>
      <c r="F1393" s="48"/>
      <c r="G1393" s="51"/>
      <c r="H1393" s="52"/>
      <c r="I1393" s="53">
        <v>45664</v>
      </c>
    </row>
    <row r="1394" spans="1:9">
      <c r="A1394" s="47">
        <v>712</v>
      </c>
      <c r="B1394" s="48" t="str">
        <f>IFERROR(VLOOKUP(A1394,CLIENTES!A:E,2,0),"CADASTRAR CLIENTE")</f>
        <v>MARCELO MAURICIO  DE SOUZA</v>
      </c>
      <c r="C1394" s="54" t="s">
        <v>3</v>
      </c>
      <c r="D1394" s="54">
        <v>81213</v>
      </c>
      <c r="E1394" s="51">
        <v>324.52</v>
      </c>
      <c r="F1394" s="48"/>
      <c r="G1394" s="51"/>
      <c r="H1394" s="52"/>
      <c r="I1394" s="53">
        <v>45664</v>
      </c>
    </row>
    <row r="1395" spans="1:9">
      <c r="A1395" s="47">
        <v>1652</v>
      </c>
      <c r="B1395" s="48" t="str">
        <f>IFERROR(VLOOKUP(A1395,CLIENTES!A:E,2,0),"CADASTRAR CLIENTE")</f>
        <v>LAB. SANTA CLARA ANAL.CLIN.</v>
      </c>
      <c r="C1395" s="54" t="s">
        <v>328</v>
      </c>
      <c r="D1395" s="54" t="s">
        <v>391</v>
      </c>
      <c r="E1395" s="51">
        <v>1165.0899999999999</v>
      </c>
      <c r="F1395" s="48"/>
      <c r="G1395" s="51"/>
      <c r="H1395" s="52"/>
      <c r="I1395" s="53">
        <v>45664</v>
      </c>
    </row>
    <row r="1396" spans="1:9">
      <c r="A1396" s="47">
        <v>784</v>
      </c>
      <c r="B1396" s="48" t="str">
        <f>IFERROR(VLOOKUP(A1396,CLIENTES!A:E,2,0),"CADASTRAR CLIENTE")</f>
        <v>LAB.ANAL.CLIN. ALBERT SABIN SC LTDA.</v>
      </c>
      <c r="C1396" s="54" t="s">
        <v>2</v>
      </c>
      <c r="D1396" s="54">
        <v>81201</v>
      </c>
      <c r="E1396" s="51">
        <v>3511.18</v>
      </c>
      <c r="F1396" s="48"/>
      <c r="G1396" s="51"/>
      <c r="H1396" s="52"/>
      <c r="I1396" s="53">
        <v>45664</v>
      </c>
    </row>
    <row r="1397" spans="1:9">
      <c r="A1397" s="47">
        <v>516</v>
      </c>
      <c r="B1397" s="48" t="str">
        <f>IFERROR(VLOOKUP(A1397,CLIENTES!A:E,2,0),"CADASTRAR CLIENTE")</f>
        <v>TECNOLAB PATOLOGIA CLINICA S/C LTDA</v>
      </c>
      <c r="C1397" s="54" t="s">
        <v>3</v>
      </c>
      <c r="D1397" s="54">
        <v>81020</v>
      </c>
      <c r="E1397" s="51">
        <v>666</v>
      </c>
      <c r="F1397" s="48"/>
      <c r="G1397" s="51"/>
      <c r="H1397" s="52"/>
      <c r="I1397" s="53">
        <v>45664</v>
      </c>
    </row>
    <row r="1398" spans="1:9">
      <c r="A1398" s="47">
        <v>2955</v>
      </c>
      <c r="B1398" s="48" t="str">
        <f>IFERROR(VLOOKUP(A1398,CLIENTES!A:E,2,0),"CADASTRAR CLIENTE")</f>
        <v>ASSOCIACAO SANTA CASA SAUDE DE ARACATUBA</v>
      </c>
      <c r="C1398" s="54" t="s">
        <v>3</v>
      </c>
      <c r="D1398" s="54">
        <v>81177</v>
      </c>
      <c r="E1398" s="51">
        <v>4718.2</v>
      </c>
      <c r="F1398" s="48"/>
      <c r="G1398" s="51"/>
      <c r="H1398" s="52"/>
      <c r="I1398" s="53">
        <v>45664</v>
      </c>
    </row>
    <row r="1399" spans="1:9">
      <c r="A1399" s="47">
        <v>1533</v>
      </c>
      <c r="B1399" s="48" t="str">
        <f>IFERROR(VLOOKUP(A1399,CLIENTES!A:E,2,0),"CADASTRAR CLIENTE")</f>
        <v>LABORATORIO BIOANALISE DIAGNOSTICO LTDA</v>
      </c>
      <c r="C1399" s="54" t="s">
        <v>3</v>
      </c>
      <c r="D1399" s="54" t="s">
        <v>396</v>
      </c>
      <c r="E1399" s="51">
        <v>1548.99</v>
      </c>
      <c r="F1399" s="48"/>
      <c r="G1399" s="51"/>
      <c r="H1399" s="52"/>
      <c r="I1399" s="53">
        <v>45665</v>
      </c>
    </row>
    <row r="1400" spans="1:9">
      <c r="A1400" s="47">
        <v>762</v>
      </c>
      <c r="B1400" s="48" t="str">
        <f>IFERROR(VLOOKUP(A1400,CLIENTES!A:E,2,0),"CADASTRAR CLIENTE")</f>
        <v>STA. CASA MISERICORDIA DE ARACATUBA</v>
      </c>
      <c r="C1400" s="54" t="s">
        <v>3</v>
      </c>
      <c r="D1400" s="54">
        <v>81238</v>
      </c>
      <c r="E1400" s="51">
        <v>6766</v>
      </c>
      <c r="F1400" s="48"/>
      <c r="G1400" s="51"/>
      <c r="H1400" s="52"/>
      <c r="I1400" s="53">
        <v>45665</v>
      </c>
    </row>
    <row r="1401" spans="1:9">
      <c r="A1401" s="47">
        <v>581</v>
      </c>
      <c r="B1401" s="48" t="str">
        <f>IFERROR(VLOOKUP(A1401,CLIENTES!A:E,2,0),"CADASTRAR CLIENTE")</f>
        <v>CLINILAB LABORAT. ANAL. CLIN SC LTDA</v>
      </c>
      <c r="C1401" s="54" t="s">
        <v>3</v>
      </c>
      <c r="D1401" s="54">
        <v>81239</v>
      </c>
      <c r="E1401" s="51">
        <v>2480</v>
      </c>
      <c r="F1401" s="48"/>
      <c r="G1401" s="51"/>
      <c r="H1401" s="52"/>
      <c r="I1401" s="53">
        <v>45665</v>
      </c>
    </row>
    <row r="1402" spans="1:9">
      <c r="A1402" s="47">
        <v>705</v>
      </c>
      <c r="B1402" s="48" t="str">
        <f>IFERROR(VLOOKUP(A1402,CLIENTES!A:E,2,0),"CADASTRAR CLIENTE")</f>
        <v>JOAO JOSE SCHIAVUZZO ME</v>
      </c>
      <c r="C1402" s="54" t="s">
        <v>328</v>
      </c>
      <c r="D1402" s="54" t="s">
        <v>397</v>
      </c>
      <c r="E1402" s="51">
        <v>941.6</v>
      </c>
      <c r="F1402" s="48"/>
      <c r="G1402" s="51"/>
      <c r="H1402" s="52"/>
      <c r="I1402" s="53">
        <v>45665</v>
      </c>
    </row>
    <row r="1403" spans="1:9">
      <c r="A1403" s="47">
        <v>772</v>
      </c>
      <c r="B1403" s="48" t="str">
        <f>IFERROR(VLOOKUP(A1403,CLIENTES!A:E,2,0),"CADASTRAR CLIENTE")</f>
        <v>MEGARON LABORATORIO ANAL.CLIN.SC LTDA.</v>
      </c>
      <c r="C1403" s="54" t="s">
        <v>3</v>
      </c>
      <c r="D1403" s="54">
        <v>81245</v>
      </c>
      <c r="E1403" s="51">
        <v>2480</v>
      </c>
      <c r="F1403" s="48"/>
      <c r="G1403" s="51"/>
      <c r="H1403" s="52"/>
      <c r="I1403" s="53">
        <v>45665</v>
      </c>
    </row>
    <row r="1404" spans="1:9">
      <c r="A1404" s="47">
        <v>3017</v>
      </c>
      <c r="B1404" s="48" t="str">
        <f>IFERROR(VLOOKUP(A1404,CLIENTES!A:E,2,0),"CADASTRAR CLIENTE")</f>
        <v>IMUNOLAB LABORATORIO DE ANALISES CLINICAS LTDA ME</v>
      </c>
      <c r="C1404" s="54" t="s">
        <v>3</v>
      </c>
      <c r="D1404" s="54">
        <v>81260</v>
      </c>
      <c r="E1404" s="51">
        <v>1043.08</v>
      </c>
      <c r="F1404" s="48"/>
      <c r="G1404" s="51"/>
      <c r="H1404" s="52"/>
      <c r="I1404" s="53">
        <v>45665</v>
      </c>
    </row>
    <row r="1405" spans="1:9">
      <c r="A1405" s="47">
        <v>620</v>
      </c>
      <c r="B1405" s="48" t="str">
        <f>IFERROR(VLOOKUP(A1405,CLIENTES!A:E,2,0),"CADASTRAR CLIENTE")</f>
        <v>LAB.SAO PAULO DE ANAL.CLIN.SC LTDA.</v>
      </c>
      <c r="C1405" s="54" t="s">
        <v>3</v>
      </c>
      <c r="D1405" s="54" t="s">
        <v>398</v>
      </c>
      <c r="E1405" s="51">
        <v>1328.73</v>
      </c>
      <c r="F1405" s="48"/>
      <c r="G1405" s="51"/>
      <c r="H1405" s="52"/>
      <c r="I1405" s="53">
        <v>45665</v>
      </c>
    </row>
    <row r="1406" spans="1:9">
      <c r="A1406" s="47">
        <v>50418</v>
      </c>
      <c r="B1406" s="48" t="str">
        <f>IFERROR(VLOOKUP(A1406,CLIENTES!A:E,2,0),"CADASTRAR CLIENTE")</f>
        <v>LABORATORIO SAO LUCAS DE BROTAS SS LTDA</v>
      </c>
      <c r="C1406" s="54" t="s">
        <v>3</v>
      </c>
      <c r="D1406" s="54">
        <v>81284</v>
      </c>
      <c r="E1406" s="51">
        <v>1715.49</v>
      </c>
      <c r="F1406" s="48"/>
      <c r="G1406" s="51"/>
      <c r="H1406" s="52"/>
      <c r="I1406" s="53">
        <v>45666</v>
      </c>
    </row>
    <row r="1407" spans="1:9">
      <c r="A1407" s="47">
        <v>2397</v>
      </c>
      <c r="B1407" s="48" t="str">
        <f>IFERROR(VLOOKUP(A1407,CLIENTES!A:E,2,0),"CADASTRAR CLIENTE")</f>
        <v>LAB ANAL CLINICAS SANTA RITA S/C LTDA</v>
      </c>
      <c r="C1407" s="54" t="s">
        <v>3</v>
      </c>
      <c r="D1407" s="54">
        <v>81309</v>
      </c>
      <c r="E1407" s="51">
        <v>1515</v>
      </c>
      <c r="F1407" s="48"/>
      <c r="G1407" s="51"/>
      <c r="H1407" s="52"/>
      <c r="I1407" s="53">
        <v>45666</v>
      </c>
    </row>
    <row r="1408" spans="1:9">
      <c r="A1408" s="47">
        <v>3475</v>
      </c>
      <c r="B1408" s="48" t="str">
        <f>IFERROR(VLOOKUP(A1408,CLIENTES!A:E,2,0),"CADASTRAR CLIENTE")</f>
        <v>LQF LABORATORIO QUIMICO FARMACEUTICO RIO PRETO EIRELI - ME</v>
      </c>
      <c r="C1408" s="54" t="s">
        <v>3</v>
      </c>
      <c r="D1408" s="54">
        <v>81010</v>
      </c>
      <c r="E1408" s="51">
        <v>1996.8</v>
      </c>
      <c r="F1408" s="48"/>
      <c r="G1408" s="51"/>
      <c r="H1408" s="52"/>
      <c r="I1408" s="53">
        <v>45666</v>
      </c>
    </row>
    <row r="1409" spans="1:9">
      <c r="A1409" s="47">
        <v>463</v>
      </c>
      <c r="B1409" s="48" t="str">
        <f>IFERROR(VLOOKUP(A1409,CLIENTES!A:E,2,0),"CADASTRAR CLIENTE")</f>
        <v>MASUDA &amp; MASUDA LABORATORIO CLINICO LTDA</v>
      </c>
      <c r="C1409" s="54" t="s">
        <v>3</v>
      </c>
      <c r="D1409" s="54">
        <v>81340</v>
      </c>
      <c r="E1409" s="51">
        <v>1224.45</v>
      </c>
      <c r="F1409" s="48"/>
      <c r="G1409" s="51"/>
      <c r="H1409" s="52"/>
      <c r="I1409" s="53">
        <v>45667</v>
      </c>
    </row>
    <row r="1410" spans="1:9">
      <c r="A1410" s="47">
        <v>906</v>
      </c>
      <c r="B1410" s="48" t="str">
        <f>IFERROR(VLOOKUP(A1410,CLIENTES!A:E,2,0),"CADASTRAR CLIENTE")</f>
        <v>LABORATORIO ANAL. CLIN. DESCALVADO LTDA</v>
      </c>
      <c r="C1410" s="54" t="s">
        <v>3</v>
      </c>
      <c r="D1410" s="54" t="s">
        <v>399</v>
      </c>
      <c r="E1410" s="51">
        <v>4819.07</v>
      </c>
      <c r="F1410" s="48"/>
      <c r="G1410" s="51"/>
      <c r="H1410" s="52"/>
      <c r="I1410" s="53">
        <v>45667</v>
      </c>
    </row>
    <row r="1411" spans="1:9">
      <c r="A1411" s="47">
        <v>575</v>
      </c>
      <c r="B1411" s="48" t="str">
        <f>IFERROR(VLOOKUP(A1411,CLIENTES!A:E,2,0),"CADASTRAR CLIENTE")</f>
        <v>DR MUNHOZ HOSPITAL VETERINARIO E PET SHOP</v>
      </c>
      <c r="C1411" s="54" t="s">
        <v>3</v>
      </c>
      <c r="D1411" s="54">
        <v>80937</v>
      </c>
      <c r="E1411" s="51">
        <v>1221.8499999999999</v>
      </c>
      <c r="F1411" s="48"/>
      <c r="G1411" s="51"/>
      <c r="H1411" s="52"/>
      <c r="I1411" s="53">
        <v>45667</v>
      </c>
    </row>
    <row r="1412" spans="1:9">
      <c r="A1412" s="47">
        <v>1122</v>
      </c>
      <c r="B1412" s="48" t="str">
        <f>IFERROR(VLOOKUP(A1412,CLIENTES!A:E,2,0),"CADASTRAR CLIENTE")</f>
        <v>FUNDEPAG</v>
      </c>
      <c r="C1412" s="54" t="s">
        <v>2</v>
      </c>
      <c r="D1412" s="54" t="s">
        <v>400</v>
      </c>
      <c r="E1412" s="51">
        <v>8870.5</v>
      </c>
      <c r="F1412" s="48"/>
      <c r="G1412" s="51"/>
      <c r="H1412" s="52"/>
      <c r="I1412" s="53">
        <v>45667</v>
      </c>
    </row>
    <row r="1413" spans="1:9">
      <c r="A1413" s="47">
        <v>1206</v>
      </c>
      <c r="B1413" s="48" t="str">
        <f>IFERROR(VLOOKUP(A1413,CLIENTES!A:E,2,0),"CADASTRAR CLIENTE")</f>
        <v>LABORATORIO RIO NEGRO CENTER DE MARILIA  LTDA</v>
      </c>
      <c r="C1413" s="54" t="s">
        <v>3</v>
      </c>
      <c r="D1413" s="54">
        <v>81386</v>
      </c>
      <c r="E1413" s="51">
        <v>1097.79</v>
      </c>
      <c r="F1413" s="48"/>
      <c r="G1413" s="51"/>
      <c r="H1413" s="52"/>
      <c r="I1413" s="53">
        <v>45670</v>
      </c>
    </row>
    <row r="1414" spans="1:9">
      <c r="A1414" s="47">
        <v>325</v>
      </c>
      <c r="B1414" s="48" t="str">
        <f>IFERROR(VLOOKUP(A1414,CLIENTES!A:E,2,0),"CADASTRAR CLIENTE")</f>
        <v>EXAME-LABORAT. DE ANAL. CLIN. CITODIAGNOSTICO S/S LTDA</v>
      </c>
      <c r="C1414" s="54" t="s">
        <v>3</v>
      </c>
      <c r="D1414" s="54" t="s">
        <v>402</v>
      </c>
      <c r="E1414" s="51">
        <v>1457.9</v>
      </c>
      <c r="F1414" s="48"/>
      <c r="G1414" s="51"/>
      <c r="H1414" s="52"/>
      <c r="I1414" s="53">
        <v>45670</v>
      </c>
    </row>
    <row r="1415" spans="1:9">
      <c r="A1415" s="47">
        <v>1493</v>
      </c>
      <c r="B1415" s="48" t="str">
        <f>IFERROR(VLOOKUP(A1415,CLIENTES!A:E,2,0),"CADASTRAR CLIENTE")</f>
        <v>CEDIMA  CENTRO DE DIAG MONTE AZUL ANAL CLIN E CIT</v>
      </c>
      <c r="C1415" s="54" t="s">
        <v>3</v>
      </c>
      <c r="D1415" s="54">
        <v>81375</v>
      </c>
      <c r="E1415" s="51">
        <v>2023.08</v>
      </c>
      <c r="F1415" s="48"/>
      <c r="G1415" s="51"/>
      <c r="H1415" s="52"/>
      <c r="I1415" s="53">
        <v>45670</v>
      </c>
    </row>
    <row r="1416" spans="1:9">
      <c r="A1416" s="47">
        <v>480</v>
      </c>
      <c r="B1416" s="48" t="str">
        <f>IFERROR(VLOOKUP(A1416,CLIENTES!A:E,2,0),"CADASTRAR CLIENTE")</f>
        <v>LAB SAO LUCAS</v>
      </c>
      <c r="C1416" s="54" t="s">
        <v>3</v>
      </c>
      <c r="D1416" s="54">
        <v>81256</v>
      </c>
      <c r="E1416" s="51">
        <v>1217.5999999999999</v>
      </c>
      <c r="F1416" s="48"/>
      <c r="G1416" s="51"/>
      <c r="H1416" s="52"/>
      <c r="I1416" s="53">
        <v>45670</v>
      </c>
    </row>
    <row r="1417" spans="1:9">
      <c r="A1417" s="47">
        <v>690</v>
      </c>
      <c r="B1417" s="48" t="str">
        <f>IFERROR(VLOOKUP(A1417,CLIENTES!A:E,2,0),"CADASTRAR CLIENTE")</f>
        <v>SAO ROQUE MEDICINA DIAGNOSTICA LTDA EPP</v>
      </c>
      <c r="C1417" s="54" t="s">
        <v>328</v>
      </c>
      <c r="D1417" s="54" t="s">
        <v>401</v>
      </c>
      <c r="E1417" s="51">
        <v>1901.6</v>
      </c>
      <c r="F1417" s="48"/>
      <c r="G1417" s="51"/>
      <c r="H1417" s="52"/>
      <c r="I1417" s="53">
        <v>45670</v>
      </c>
    </row>
    <row r="1418" spans="1:9">
      <c r="A1418" s="47">
        <v>746</v>
      </c>
      <c r="B1418" s="48" t="str">
        <f>IFERROR(VLOOKUP(A1418,CLIENTES!A:E,2,0),"CADASTRAR CLIENTE")</f>
        <v>LAB.ANAL.CLIN.BIOCLIN SC LTDA.</v>
      </c>
      <c r="C1418" s="54" t="s">
        <v>328</v>
      </c>
      <c r="D1418" s="54">
        <v>81388</v>
      </c>
      <c r="E1418" s="51">
        <v>3937.67</v>
      </c>
      <c r="F1418" s="48"/>
      <c r="G1418" s="51"/>
      <c r="H1418" s="52"/>
      <c r="I1418" s="53">
        <v>45670</v>
      </c>
    </row>
    <row r="1419" spans="1:9">
      <c r="A1419" s="47">
        <v>687</v>
      </c>
      <c r="B1419" s="48" t="str">
        <f>IFERROR(VLOOKUP(A1419,CLIENTES!A:E,2,0),"CADASTRAR CLIENTE")</f>
        <v>LAB ANAL CLIN VENDRAMINI S/S LTDA</v>
      </c>
      <c r="C1419" s="54" t="s">
        <v>3</v>
      </c>
      <c r="D1419" s="54">
        <v>81413</v>
      </c>
      <c r="E1419" s="51">
        <v>360</v>
      </c>
      <c r="F1419" s="48"/>
      <c r="G1419" s="51"/>
      <c r="H1419" s="52"/>
      <c r="I1419" s="53">
        <v>45670</v>
      </c>
    </row>
    <row r="1420" spans="1:9">
      <c r="A1420" s="47">
        <v>784</v>
      </c>
      <c r="B1420" s="48" t="str">
        <f>IFERROR(VLOOKUP(A1420,CLIENTES!A:E,2,0),"CADASTRAR CLIENTE")</f>
        <v>LAB.ANAL.CLIN. ALBERT SABIN SC LTDA.</v>
      </c>
      <c r="C1420" s="54" t="s">
        <v>3</v>
      </c>
      <c r="D1420" s="54">
        <v>81426</v>
      </c>
      <c r="E1420" s="51">
        <v>8689</v>
      </c>
      <c r="F1420" s="48"/>
      <c r="G1420" s="51"/>
      <c r="H1420" s="52"/>
      <c r="I1420" s="53">
        <v>45670</v>
      </c>
    </row>
    <row r="1421" spans="1:9">
      <c r="A1421" s="47">
        <v>2911</v>
      </c>
      <c r="B1421" s="48" t="str">
        <f>IFERROR(VLOOKUP(A1421,CLIENTES!A:E,2,0),"CADASTRAR CLIENTE")</f>
        <v>BIOLIFE-LABORATORIO DE ANALISES CLINICAS LTDA</v>
      </c>
      <c r="C1421" s="54" t="s">
        <v>3</v>
      </c>
      <c r="D1421" s="54" t="s">
        <v>403</v>
      </c>
      <c r="E1421" s="51">
        <v>989.4</v>
      </c>
      <c r="F1421" s="48"/>
      <c r="G1421" s="51"/>
      <c r="H1421" s="52"/>
      <c r="I1421" s="53">
        <v>45670</v>
      </c>
    </row>
    <row r="1422" spans="1:9">
      <c r="A1422" s="47">
        <v>960</v>
      </c>
      <c r="B1422" s="48" t="str">
        <f>IFERROR(VLOOKUP(A1422,CLIENTES!A:E,2,0),"CADASTRAR CLIENTE")</f>
        <v>LUIS VALERIO FILHO-ME</v>
      </c>
      <c r="C1422" s="54" t="s">
        <v>3</v>
      </c>
      <c r="D1422" s="54" t="s">
        <v>406</v>
      </c>
      <c r="E1422" s="51">
        <v>1380.18</v>
      </c>
      <c r="F1422" s="48"/>
      <c r="G1422" s="51"/>
      <c r="H1422" s="52"/>
      <c r="I1422" s="53">
        <v>45670</v>
      </c>
    </row>
    <row r="1423" spans="1:9">
      <c r="A1423" s="47">
        <v>581</v>
      </c>
      <c r="B1423" s="48" t="str">
        <f>IFERROR(VLOOKUP(A1423,CLIENTES!A:E,2,0),"CADASTRAR CLIENTE")</f>
        <v>CLINILAB LABORAT. ANAL. CLIN SC LTDA</v>
      </c>
      <c r="C1423" s="54" t="s">
        <v>3</v>
      </c>
      <c r="D1423" s="54" t="s">
        <v>404</v>
      </c>
      <c r="E1423" s="51">
        <v>2660.14</v>
      </c>
      <c r="F1423" s="48"/>
      <c r="G1423" s="51"/>
      <c r="H1423" s="52"/>
      <c r="I1423" s="53">
        <v>45670</v>
      </c>
    </row>
    <row r="1424" spans="1:9">
      <c r="A1424" s="47">
        <v>575</v>
      </c>
      <c r="B1424" s="48" t="str">
        <f>IFERROR(VLOOKUP(A1424,CLIENTES!A:E,2,0),"CADASTRAR CLIENTE")</f>
        <v>DR MUNHOZ HOSPITAL VETERINARIO E PET SHOP</v>
      </c>
      <c r="C1424" s="54" t="s">
        <v>3</v>
      </c>
      <c r="D1424" s="54">
        <v>80937</v>
      </c>
      <c r="E1424" s="51">
        <v>1090.7</v>
      </c>
      <c r="F1424" s="48"/>
      <c r="G1424" s="51"/>
      <c r="H1424" s="52"/>
      <c r="I1424" s="53">
        <v>45671</v>
      </c>
    </row>
    <row r="1425" spans="1:9">
      <c r="A1425" s="47">
        <v>1616</v>
      </c>
      <c r="B1425" s="48" t="str">
        <f>IFERROR(VLOOKUP(A1425,CLIENTES!A:E,2,0),"CADASTRAR CLIENTE")</f>
        <v>NOVO HORIZONTE LAB.ANAL.CLIN.S/C LTDA.</v>
      </c>
      <c r="C1425" s="54" t="s">
        <v>3</v>
      </c>
      <c r="D1425" s="54">
        <v>81442</v>
      </c>
      <c r="E1425" s="51">
        <v>152</v>
      </c>
      <c r="F1425" s="48"/>
      <c r="G1425" s="51"/>
      <c r="H1425" s="52"/>
      <c r="I1425" s="53">
        <v>45671</v>
      </c>
    </row>
    <row r="1426" spans="1:9">
      <c r="A1426" s="47">
        <v>3018</v>
      </c>
      <c r="B1426" s="48" t="str">
        <f>IFERROR(VLOOKUP(A1426,CLIENTES!A:E,2,0),"CADASTRAR CLIENTE")</f>
        <v>NP- LABORATORIO DE ANALISES CLINICAS LTDA</v>
      </c>
      <c r="C1426" s="54" t="s">
        <v>3</v>
      </c>
      <c r="D1426" s="54">
        <v>81290</v>
      </c>
      <c r="E1426" s="51">
        <v>377.8</v>
      </c>
      <c r="F1426" s="48"/>
      <c r="G1426" s="51"/>
      <c r="H1426" s="52"/>
      <c r="I1426" s="53">
        <v>45671</v>
      </c>
    </row>
    <row r="1427" spans="1:9">
      <c r="A1427" s="47">
        <v>500005</v>
      </c>
      <c r="B1427" s="48" t="str">
        <f>IFERROR(VLOOKUP(A1427,CLIENTES!A:E,2,0),"CADASTRAR CLIENTE")</f>
        <v>ASSOCIACAO EDUCACIONAL DE ENSINO SUPERIOR</v>
      </c>
      <c r="C1427" s="54" t="s">
        <v>3</v>
      </c>
      <c r="D1427" s="54">
        <v>81445</v>
      </c>
      <c r="E1427" s="51">
        <v>4290.3</v>
      </c>
      <c r="F1427" s="48"/>
      <c r="G1427" s="51"/>
      <c r="H1427" s="52"/>
      <c r="I1427" s="53">
        <v>45671</v>
      </c>
    </row>
    <row r="1428" spans="1:9">
      <c r="A1428" s="47">
        <v>412</v>
      </c>
      <c r="B1428" s="48" t="str">
        <f>IFERROR(VLOOKUP(A1428,CLIENTES!A:E,2,0),"CADASTRAR CLIENTE")</f>
        <v>LAB.ANAL.CLIN.SAO MANUEL SC LTDA.</v>
      </c>
      <c r="C1428" s="54" t="s">
        <v>2</v>
      </c>
      <c r="D1428" s="54" t="s">
        <v>405</v>
      </c>
      <c r="E1428" s="51">
        <v>418.1</v>
      </c>
      <c r="F1428" s="48"/>
      <c r="G1428" s="51"/>
      <c r="H1428" s="52"/>
      <c r="I1428" s="53">
        <v>45671</v>
      </c>
    </row>
    <row r="1429" spans="1:9">
      <c r="A1429" s="47">
        <v>432</v>
      </c>
      <c r="B1429" s="48" t="str">
        <f>IFERROR(VLOOKUP(A1429,CLIENTES!A:E,2,0),"CADASTRAR CLIENTE")</f>
        <v>LABORATORIO PASTEUR HEMATOLOGIA E MICROBIOLOGIA S/S LTDA</v>
      </c>
      <c r="C1429" s="54" t="s">
        <v>3</v>
      </c>
      <c r="D1429" s="54">
        <v>81009</v>
      </c>
      <c r="E1429" s="51">
        <v>4596.6000000000004</v>
      </c>
      <c r="F1429" s="48"/>
      <c r="G1429" s="51"/>
      <c r="H1429" s="52"/>
      <c r="I1429" s="53">
        <v>45671</v>
      </c>
    </row>
    <row r="1430" spans="1:9">
      <c r="A1430" s="47">
        <v>1164</v>
      </c>
      <c r="B1430" s="48" t="str">
        <f>IFERROR(VLOOKUP(A1430,CLIENTES!A:E,2,0),"CADASTRAR CLIENTE")</f>
        <v>LAB. ANAL. CLIN. SAO LOURENCO S/C LTDA</v>
      </c>
      <c r="C1430" s="54" t="s">
        <v>3</v>
      </c>
      <c r="D1430" s="54">
        <v>81461</v>
      </c>
      <c r="E1430" s="51">
        <v>930.03</v>
      </c>
      <c r="F1430" s="48"/>
      <c r="G1430" s="51"/>
      <c r="H1430" s="52"/>
      <c r="I1430" s="53">
        <v>45671</v>
      </c>
    </row>
    <row r="1431" spans="1:9">
      <c r="A1431" s="47">
        <v>1616</v>
      </c>
      <c r="B1431" s="48" t="str">
        <f>IFERROR(VLOOKUP(A1431,CLIENTES!A:E,2,0),"CADASTRAR CLIENTE")</f>
        <v>NOVO HORIZONTE LAB.ANAL.CLIN.S/C LTDA.</v>
      </c>
      <c r="C1431" s="54" t="s">
        <v>3</v>
      </c>
      <c r="D1431" s="54">
        <v>81475</v>
      </c>
      <c r="E1431" s="51">
        <v>1960</v>
      </c>
      <c r="F1431" s="48"/>
      <c r="G1431" s="51"/>
      <c r="H1431" s="52"/>
      <c r="I1431" s="53">
        <v>45671</v>
      </c>
    </row>
    <row r="1432" spans="1:9">
      <c r="A1432" s="47">
        <v>784</v>
      </c>
      <c r="B1432" s="48" t="str">
        <f>IFERROR(VLOOKUP(A1432,CLIENTES!A:E,2,0),"CADASTRAR CLIENTE")</f>
        <v>LAB.ANAL.CLIN. ALBERT SABIN SC LTDA.</v>
      </c>
      <c r="C1432" s="54" t="s">
        <v>3</v>
      </c>
      <c r="D1432" s="54">
        <v>81477</v>
      </c>
      <c r="E1432" s="51">
        <v>544</v>
      </c>
      <c r="F1432" s="48"/>
      <c r="G1432" s="51"/>
      <c r="H1432" s="52"/>
      <c r="I1432" s="53">
        <v>45671</v>
      </c>
    </row>
    <row r="1433" spans="1:9">
      <c r="A1433" s="47">
        <v>761</v>
      </c>
      <c r="B1433" s="48" t="str">
        <f>IFERROR(VLOOKUP(A1433,CLIENTES!A:E,2,0),"CADASTRAR CLIENTE")</f>
        <v>EXAME CENTRO DIAG.M.ARACATUBA SC LTDA.</v>
      </c>
      <c r="C1433" s="54" t="s">
        <v>3</v>
      </c>
      <c r="D1433" s="54" t="s">
        <v>407</v>
      </c>
      <c r="E1433" s="51">
        <v>700.04</v>
      </c>
      <c r="F1433" s="48"/>
      <c r="G1433" s="51"/>
      <c r="H1433" s="52"/>
      <c r="I1433" s="53">
        <v>45671</v>
      </c>
    </row>
    <row r="1434" spans="1:9">
      <c r="A1434" s="47">
        <v>50794</v>
      </c>
      <c r="B1434" s="48" t="str">
        <f>IFERROR(VLOOKUP(A1434,CLIENTES!A:E,2,0),"CADASTRAR CLIENTE")</f>
        <v>LABORATORIO GUIMARAES LTDA</v>
      </c>
      <c r="C1434" s="54" t="s">
        <v>3</v>
      </c>
      <c r="D1434" s="54" t="s">
        <v>408</v>
      </c>
      <c r="E1434" s="51">
        <v>676.13</v>
      </c>
      <c r="F1434" s="48"/>
      <c r="G1434" s="51"/>
      <c r="H1434" s="52"/>
      <c r="I1434" s="53">
        <v>45671</v>
      </c>
    </row>
    <row r="1435" spans="1:9">
      <c r="A1435" s="47">
        <v>1502</v>
      </c>
      <c r="B1435" s="48" t="str">
        <f>IFERROR(VLOOKUP(A1435,CLIENTES!A:E,2,0),"CADASTRAR CLIENTE")</f>
        <v>ASSOC.CASA DE SAUDE BEN. DE INDIAPORA</v>
      </c>
      <c r="C1435" s="54" t="s">
        <v>3</v>
      </c>
      <c r="D1435" s="54">
        <v>81489</v>
      </c>
      <c r="E1435" s="51">
        <v>2260</v>
      </c>
      <c r="F1435" s="48"/>
      <c r="G1435" s="51"/>
      <c r="H1435" s="52"/>
      <c r="I1435" s="53">
        <v>45671</v>
      </c>
    </row>
    <row r="1436" spans="1:9">
      <c r="A1436" s="47">
        <v>2980</v>
      </c>
      <c r="B1436" s="48" t="str">
        <f>IFERROR(VLOOKUP(A1436,CLIENTES!A:E,2,0),"CADASTRAR CLIENTE")</f>
        <v>ALMEIDA &amp; FLAITT LABORATORIOS DE ANALISES CLINICAS LTDA</v>
      </c>
      <c r="C1436" s="54" t="s">
        <v>3</v>
      </c>
      <c r="D1436" s="54" t="s">
        <v>409</v>
      </c>
      <c r="E1436" s="51">
        <v>703.43</v>
      </c>
      <c r="F1436" s="48"/>
      <c r="G1436" s="51"/>
      <c r="H1436" s="52"/>
      <c r="I1436" s="53">
        <v>45672</v>
      </c>
    </row>
    <row r="1437" spans="1:9">
      <c r="A1437" s="47">
        <v>724</v>
      </c>
      <c r="B1437" s="48" t="str">
        <f>IFERROR(VLOOKUP(A1437,CLIENTES!A:E,2,0),"CADASTRAR CLIENTE")</f>
        <v>LAB. ANAL. CLIN. DRA SILVIA M.MANZATO LARANJO SC LTDA.</v>
      </c>
      <c r="C1437" s="54" t="s">
        <v>3</v>
      </c>
      <c r="D1437" s="54">
        <v>81526</v>
      </c>
      <c r="E1437" s="51">
        <v>748.35</v>
      </c>
      <c r="F1437" s="48"/>
      <c r="G1437" s="51"/>
      <c r="H1437" s="52"/>
      <c r="I1437" s="53">
        <v>45672</v>
      </c>
    </row>
    <row r="1438" spans="1:9">
      <c r="A1438" s="47">
        <v>500243</v>
      </c>
      <c r="B1438" s="48" t="str">
        <f>IFERROR(VLOOKUP(A1438,CLIENTES!A:E,2,0),"CADASTRAR CLIENTE")</f>
        <v>UNIMED DE IBITINGA COOPERATIVA DE TRABALHO MEDICO</v>
      </c>
      <c r="C1438" s="54" t="s">
        <v>3</v>
      </c>
      <c r="D1438" s="54">
        <v>84518</v>
      </c>
      <c r="E1438" s="51">
        <v>602.54999999999995</v>
      </c>
      <c r="F1438" s="48"/>
      <c r="G1438" s="51"/>
      <c r="H1438" s="52"/>
      <c r="I1438" s="53">
        <v>45672</v>
      </c>
    </row>
    <row r="1439" spans="1:9">
      <c r="A1439" s="47">
        <v>3153</v>
      </c>
      <c r="B1439" s="48" t="str">
        <f>IFERROR(VLOOKUP(A1439,CLIENTES!A:E,2,0),"CADASTRAR CLIENTE")</f>
        <v>UNIMED DE TUPA COOPERATIVA DE TRABALHO MEDICO</v>
      </c>
      <c r="C1439" s="54" t="s">
        <v>3</v>
      </c>
      <c r="D1439" s="54">
        <v>81298</v>
      </c>
      <c r="E1439" s="51">
        <v>1381.2</v>
      </c>
      <c r="F1439" s="48"/>
      <c r="G1439" s="51"/>
      <c r="H1439" s="52"/>
      <c r="I1439" s="53">
        <v>45672</v>
      </c>
    </row>
    <row r="1440" spans="1:9">
      <c r="A1440" s="47">
        <v>1813</v>
      </c>
      <c r="B1440" s="48" t="str">
        <f>IFERROR(VLOOKUP(A1440,CLIENTES!A:E,2,0),"CADASTRAR CLIENTE")</f>
        <v>BIOMED LAB.ANAL.CLIN. SC  LTDA</v>
      </c>
      <c r="C1440" s="54" t="s">
        <v>3</v>
      </c>
      <c r="D1440" s="54">
        <v>81543</v>
      </c>
      <c r="E1440" s="51">
        <v>1379.4</v>
      </c>
      <c r="F1440" s="48"/>
      <c r="G1440" s="51"/>
      <c r="H1440" s="52"/>
      <c r="I1440" s="53">
        <v>45672</v>
      </c>
    </row>
    <row r="1441" spans="1:9">
      <c r="A1441" s="47">
        <v>960</v>
      </c>
      <c r="B1441" s="48" t="str">
        <f>IFERROR(VLOOKUP(A1441,CLIENTES!A:E,2,0),"CADASTRAR CLIENTE")</f>
        <v>LUIS VALERIO FILHO-ME</v>
      </c>
      <c r="C1441" s="54" t="s">
        <v>3</v>
      </c>
      <c r="D1441" s="54">
        <v>81596</v>
      </c>
      <c r="E1441" s="51"/>
      <c r="F1441" s="48">
        <v>8950</v>
      </c>
      <c r="G1441" s="51">
        <v>8950</v>
      </c>
      <c r="H1441" s="52"/>
      <c r="I1441" s="53">
        <v>45674</v>
      </c>
    </row>
    <row r="1442" spans="1:9">
      <c r="A1442" s="47">
        <v>311</v>
      </c>
      <c r="B1442" s="48" t="str">
        <f>IFERROR(VLOOKUP(A1442,CLIENTES!A:E,2,0),"CADASTRAR CLIENTE")</f>
        <v>CENTRO DE ANAL.CLIN. UNILAB  SC LTDA.</v>
      </c>
      <c r="C1442" s="54" t="s">
        <v>3</v>
      </c>
      <c r="D1442" s="54">
        <v>81598</v>
      </c>
      <c r="E1442" s="51">
        <v>1832</v>
      </c>
      <c r="F1442" s="48"/>
      <c r="G1442" s="51"/>
      <c r="H1442" s="52"/>
      <c r="I1442" s="53">
        <v>45674</v>
      </c>
    </row>
    <row r="1443" spans="1:9">
      <c r="A1443" s="47">
        <v>475</v>
      </c>
      <c r="B1443" s="48" t="str">
        <f>IFERROR(VLOOKUP(A1443,CLIENTES!A:E,2,0),"CADASTRAR CLIENTE")</f>
        <v>LABORATORIO DE ANALISES CLINICAS SRC LTDA</v>
      </c>
      <c r="C1443" s="54" t="s">
        <v>2</v>
      </c>
      <c r="D1443" s="54" t="s">
        <v>413</v>
      </c>
      <c r="E1443" s="51">
        <v>19691.009999999998</v>
      </c>
      <c r="F1443" s="48"/>
      <c r="G1443" s="51"/>
      <c r="H1443" s="52"/>
      <c r="I1443" s="53">
        <v>45674</v>
      </c>
    </row>
    <row r="1444" spans="1:9">
      <c r="A1444" s="47">
        <v>3194</v>
      </c>
      <c r="B1444" s="48" t="str">
        <f>IFERROR(VLOOKUP(A1444,CLIENTES!A:E,2,0),"CADASTRAR CLIENTE")</f>
        <v>CENTRO DE DIAGNOSTICOS CONTROLE LTDA</v>
      </c>
      <c r="C1444" s="54" t="s">
        <v>3</v>
      </c>
      <c r="D1444" s="54" t="s">
        <v>414</v>
      </c>
      <c r="E1444" s="51">
        <v>2713.4</v>
      </c>
      <c r="F1444" s="48"/>
      <c r="G1444" s="51"/>
      <c r="H1444" s="52"/>
      <c r="I1444" s="53">
        <v>45674</v>
      </c>
    </row>
    <row r="1445" spans="1:9">
      <c r="A1445" s="47">
        <v>500149</v>
      </c>
      <c r="B1445" s="48" t="str">
        <f>IFERROR(VLOOKUP(A1445,CLIENTES!A:E,2,0),"CADASTRAR CLIENTE")</f>
        <v>SAO ROQUE MEDICINA DIAGNOSTICA LTDA</v>
      </c>
      <c r="C1445" s="54" t="s">
        <v>3</v>
      </c>
      <c r="D1445" s="54">
        <v>81611</v>
      </c>
      <c r="E1445" s="51">
        <v>2473</v>
      </c>
      <c r="F1445" s="48"/>
      <c r="G1445" s="51"/>
      <c r="H1445" s="52"/>
      <c r="I1445" s="53">
        <v>45674</v>
      </c>
    </row>
    <row r="1446" spans="1:9">
      <c r="A1446" s="47">
        <v>762</v>
      </c>
      <c r="B1446" s="48" t="str">
        <f>IFERROR(VLOOKUP(A1446,CLIENTES!A:E,2,0),"CADASTRAR CLIENTE")</f>
        <v>STA. CASA MISERICORDIA DE ARACATUBA</v>
      </c>
      <c r="C1446" s="54" t="s">
        <v>3</v>
      </c>
      <c r="D1446" s="54">
        <v>81016</v>
      </c>
      <c r="E1446" s="51">
        <v>1794</v>
      </c>
      <c r="F1446" s="48"/>
      <c r="G1446" s="51"/>
      <c r="H1446" s="52"/>
      <c r="I1446" s="53">
        <v>45674</v>
      </c>
    </row>
    <row r="1447" spans="1:9">
      <c r="A1447" s="47">
        <v>1813</v>
      </c>
      <c r="B1447" s="48" t="str">
        <f>IFERROR(VLOOKUP(A1447,CLIENTES!A:E,2,0),"CADASTRAR CLIENTE")</f>
        <v>BIOMED LAB.ANAL.CLIN. SC  LTDA</v>
      </c>
      <c r="C1447" s="54" t="s">
        <v>3</v>
      </c>
      <c r="D1447" s="54">
        <v>81647</v>
      </c>
      <c r="E1447" s="51">
        <v>57.8</v>
      </c>
      <c r="F1447" s="48"/>
      <c r="G1447" s="51"/>
      <c r="H1447" s="52"/>
      <c r="I1447" s="53">
        <v>45677</v>
      </c>
    </row>
    <row r="1448" spans="1:9">
      <c r="A1448" s="47">
        <v>3077</v>
      </c>
      <c r="B1448" s="48" t="str">
        <f>IFERROR(VLOOKUP(A1448,CLIENTES!A:E,2,0),"CADASTRAR CLIENTE")</f>
        <v>CBI ANALISES CLINICAS S/S LTDA</v>
      </c>
      <c r="C1448" s="54" t="s">
        <v>328</v>
      </c>
      <c r="D1448" s="54">
        <v>81659</v>
      </c>
      <c r="E1448" s="51">
        <v>364</v>
      </c>
      <c r="F1448" s="48"/>
      <c r="G1448" s="51"/>
      <c r="H1448" s="52"/>
      <c r="I1448" s="53">
        <v>45677</v>
      </c>
    </row>
    <row r="1449" spans="1:9">
      <c r="A1449" s="47">
        <v>516</v>
      </c>
      <c r="B1449" s="48" t="str">
        <f>IFERROR(VLOOKUP(A1449,CLIENTES!A:E,2,0),"CADASTRAR CLIENTE")</f>
        <v>TECNOLAB PATOLOGIA CLINICA S/C LTDA</v>
      </c>
      <c r="C1449" s="54" t="s">
        <v>2</v>
      </c>
      <c r="D1449" s="54">
        <v>81664</v>
      </c>
      <c r="E1449" s="51">
        <v>2572.2399999999998</v>
      </c>
      <c r="F1449" s="48"/>
      <c r="G1449" s="51"/>
      <c r="H1449" s="52"/>
      <c r="I1449" s="53">
        <v>45677</v>
      </c>
    </row>
    <row r="1450" spans="1:9">
      <c r="A1450" s="47">
        <v>3018</v>
      </c>
      <c r="B1450" s="48" t="str">
        <f>IFERROR(VLOOKUP(A1450,CLIENTES!A:E,2,0),"CADASTRAR CLIENTE")</f>
        <v>NP- LABORATORIO DE ANALISES CLINICAS LTDA</v>
      </c>
      <c r="C1450" s="54" t="s">
        <v>3</v>
      </c>
      <c r="D1450" s="54">
        <v>81575</v>
      </c>
      <c r="E1450" s="51">
        <v>549</v>
      </c>
      <c r="F1450" s="48"/>
      <c r="G1450" s="51"/>
      <c r="H1450" s="52"/>
      <c r="I1450" s="53">
        <v>45678</v>
      </c>
    </row>
    <row r="1451" spans="1:9">
      <c r="A1451" s="47">
        <v>2702</v>
      </c>
      <c r="B1451" s="48" t="str">
        <f>IFERROR(VLOOKUP(A1451,CLIENTES!A:E,2,0),"CADASTRAR CLIENTE")</f>
        <v>SANTA CASA DE MISER. DE TAQUARITUBA</v>
      </c>
      <c r="C1451" s="54" t="s">
        <v>3</v>
      </c>
      <c r="D1451" s="54">
        <v>81687</v>
      </c>
      <c r="E1451" s="51">
        <v>2388.2399999999998</v>
      </c>
      <c r="F1451" s="48"/>
      <c r="G1451" s="51"/>
      <c r="H1451" s="52"/>
      <c r="I1451" s="53">
        <v>45678</v>
      </c>
    </row>
    <row r="1452" spans="1:9">
      <c r="A1452" s="47">
        <v>3077</v>
      </c>
      <c r="B1452" s="48" t="str">
        <f>IFERROR(VLOOKUP(A1452,CLIENTES!A:E,2,0),"CADASTRAR CLIENTE")</f>
        <v>CBI ANALISES CLINICAS S/S LTDA</v>
      </c>
      <c r="C1452" s="54" t="s">
        <v>3</v>
      </c>
      <c r="D1452" s="54">
        <v>81690</v>
      </c>
      <c r="E1452" s="51">
        <v>164.2</v>
      </c>
      <c r="F1452" s="48"/>
      <c r="G1452" s="51"/>
      <c r="H1452" s="52"/>
      <c r="I1452" s="53">
        <v>45678</v>
      </c>
    </row>
    <row r="1453" spans="1:9">
      <c r="A1453" s="47">
        <v>1533</v>
      </c>
      <c r="B1453" s="48" t="str">
        <f>IFERROR(VLOOKUP(A1453,CLIENTES!A:E,2,0),"CADASTRAR CLIENTE")</f>
        <v>LABORATORIO BIOANALISE DIAGNOSTICO LTDA</v>
      </c>
      <c r="C1453" s="54" t="s">
        <v>3</v>
      </c>
      <c r="D1453" s="54">
        <v>81731</v>
      </c>
      <c r="E1453" s="51">
        <v>1628.1</v>
      </c>
      <c r="F1453" s="48"/>
      <c r="G1453" s="51"/>
      <c r="H1453" s="52"/>
      <c r="I1453" s="53">
        <v>45679</v>
      </c>
    </row>
    <row r="1454" spans="1:9">
      <c r="A1454" s="47">
        <v>1971</v>
      </c>
      <c r="B1454" s="48" t="str">
        <f>IFERROR(VLOOKUP(A1454,CLIENTES!A:E,2,0),"CADASTRAR CLIENTE")</f>
        <v>LABORATORIO POPULAR LAB 7 LTDA</v>
      </c>
      <c r="C1454" s="54" t="s">
        <v>3</v>
      </c>
      <c r="D1454" s="54">
        <v>81734</v>
      </c>
      <c r="E1454" s="51">
        <v>1298</v>
      </c>
      <c r="F1454" s="48"/>
      <c r="G1454" s="51"/>
      <c r="H1454" s="52"/>
      <c r="I1454" s="53">
        <v>45679</v>
      </c>
    </row>
    <row r="1455" spans="1:9">
      <c r="A1455" s="47">
        <v>823</v>
      </c>
      <c r="B1455" s="48" t="str">
        <f>IFERROR(VLOOKUP(A1455,CLIENTES!A:E,2,0),"CADASTRAR CLIENTE")</f>
        <v>SANCHES x SANCHES S/C LTDA</v>
      </c>
      <c r="C1455" s="54" t="s">
        <v>3</v>
      </c>
      <c r="D1455" s="54" t="s">
        <v>415</v>
      </c>
      <c r="E1455" s="51">
        <v>6016.8</v>
      </c>
      <c r="F1455" s="48"/>
      <c r="G1455" s="51"/>
      <c r="H1455" s="52"/>
      <c r="I1455" s="53">
        <v>45679</v>
      </c>
    </row>
    <row r="1456" spans="1:9">
      <c r="A1456" s="47">
        <v>712</v>
      </c>
      <c r="B1456" s="48" t="str">
        <f>IFERROR(VLOOKUP(A1456,CLIENTES!A:E,2,0),"CADASTRAR CLIENTE")</f>
        <v>MARCELO MAURICIO  DE SOUZA</v>
      </c>
      <c r="C1456" s="54" t="s">
        <v>3</v>
      </c>
      <c r="D1456" s="54">
        <v>81748</v>
      </c>
      <c r="E1456" s="51">
        <v>355.6</v>
      </c>
      <c r="F1456" s="48"/>
      <c r="G1456" s="51"/>
      <c r="H1456" s="52"/>
      <c r="I1456" s="53">
        <v>45679</v>
      </c>
    </row>
    <row r="1457" spans="1:9">
      <c r="A1457" s="47">
        <v>1026</v>
      </c>
      <c r="B1457" s="48" t="str">
        <f>IFERROR(VLOOKUP(A1457,CLIENTES!A:E,2,0),"CADASTRAR CLIENTE")</f>
        <v>LABSC SERVICOS LABORATORIAIS LTDA</v>
      </c>
      <c r="C1457" s="54" t="s">
        <v>3</v>
      </c>
      <c r="D1457" s="54">
        <v>81757</v>
      </c>
      <c r="E1457" s="51">
        <v>1210</v>
      </c>
      <c r="F1457" s="48"/>
      <c r="G1457" s="51"/>
      <c r="H1457" s="52"/>
      <c r="I1457" s="53">
        <v>45679</v>
      </c>
    </row>
    <row r="1458" spans="1:9">
      <c r="A1458" s="47">
        <v>432</v>
      </c>
      <c r="B1458" s="48" t="str">
        <f>IFERROR(VLOOKUP(A1458,CLIENTES!A:E,2,0),"CADASTRAR CLIENTE")</f>
        <v>LABORATORIO PASTEUR HEMATOLOGIA E MICROBIOLOGIA S/S LTDA</v>
      </c>
      <c r="C1458" s="54" t="s">
        <v>3</v>
      </c>
      <c r="D1458" s="54">
        <v>100233</v>
      </c>
      <c r="E1458" s="51">
        <v>178.25</v>
      </c>
      <c r="F1458" s="48"/>
      <c r="G1458" s="51"/>
      <c r="H1458" s="52"/>
      <c r="I1458" s="53">
        <v>45679</v>
      </c>
    </row>
    <row r="1459" spans="1:9">
      <c r="A1459" s="47">
        <v>500005</v>
      </c>
      <c r="B1459" s="48" t="str">
        <f>IFERROR(VLOOKUP(A1459,CLIENTES!A:E,2,0),"CADASTRAR CLIENTE")</f>
        <v>ASSOCIACAO EDUCACIONAL DE ENSINO SUPERIOR</v>
      </c>
      <c r="C1459" s="54" t="s">
        <v>328</v>
      </c>
      <c r="D1459" s="54">
        <v>81758</v>
      </c>
      <c r="E1459" s="51">
        <v>2100</v>
      </c>
      <c r="F1459" s="48"/>
      <c r="G1459" s="51"/>
      <c r="H1459" s="52"/>
      <c r="I1459" s="53">
        <v>45679</v>
      </c>
    </row>
    <row r="1460" spans="1:9">
      <c r="A1460" s="47">
        <v>2415</v>
      </c>
      <c r="B1460" s="48" t="str">
        <f>IFERROR(VLOOKUP(A1460,CLIENTES!A:E,2,0),"CADASTRAR CLIENTE")</f>
        <v>ROSSETTO E BARROS LABORATORIO DE ANALISES CLINICAS LTDA</v>
      </c>
      <c r="C1460" s="54" t="s">
        <v>3</v>
      </c>
      <c r="D1460" s="54">
        <v>81699</v>
      </c>
      <c r="E1460" s="51">
        <v>1584</v>
      </c>
      <c r="F1460" s="48"/>
      <c r="G1460" s="51"/>
      <c r="H1460" s="52"/>
      <c r="I1460" s="53">
        <v>45679</v>
      </c>
    </row>
    <row r="1461" spans="1:9">
      <c r="A1461" s="47">
        <v>746</v>
      </c>
      <c r="B1461" s="48" t="str">
        <f>IFERROR(VLOOKUP(A1461,CLIENTES!A:E,2,0),"CADASTRAR CLIENTE")</f>
        <v>LAB.ANAL.CLIN.BIOCLIN SC LTDA.</v>
      </c>
      <c r="C1461" s="54" t="s">
        <v>3</v>
      </c>
      <c r="D1461" s="54">
        <v>81388</v>
      </c>
      <c r="E1461" s="51">
        <v>195</v>
      </c>
      <c r="F1461" s="48"/>
      <c r="G1461" s="51"/>
      <c r="H1461" s="52"/>
      <c r="I1461" s="53">
        <v>45680</v>
      </c>
    </row>
    <row r="1462" spans="1:9">
      <c r="A1462" s="47">
        <v>1206</v>
      </c>
      <c r="B1462" s="48" t="str">
        <f>IFERROR(VLOOKUP(A1462,CLIENTES!A:E,2,0),"CADASTRAR CLIENTE")</f>
        <v>LABORATORIO RIO NEGRO CENTER DE MARILIA  LTDA</v>
      </c>
      <c r="C1462" s="54" t="s">
        <v>3</v>
      </c>
      <c r="D1462" s="54">
        <v>81800</v>
      </c>
      <c r="E1462" s="51">
        <v>675.84</v>
      </c>
      <c r="F1462" s="48"/>
      <c r="G1462" s="51"/>
      <c r="H1462" s="52"/>
      <c r="I1462" s="53">
        <v>45680</v>
      </c>
    </row>
    <row r="1463" spans="1:9">
      <c r="A1463" s="47">
        <v>687</v>
      </c>
      <c r="B1463" s="48" t="str">
        <f>IFERROR(VLOOKUP(A1463,CLIENTES!A:E,2,0),"CADASTRAR CLIENTE")</f>
        <v>LAB ANAL CLIN VENDRAMINI S/S LTDA</v>
      </c>
      <c r="C1463" s="54" t="s">
        <v>3</v>
      </c>
      <c r="D1463" s="54">
        <v>81896</v>
      </c>
      <c r="E1463" s="51">
        <v>398</v>
      </c>
      <c r="F1463" s="48"/>
      <c r="G1463" s="51"/>
      <c r="H1463" s="52"/>
      <c r="I1463" s="53">
        <v>45680</v>
      </c>
    </row>
    <row r="1464" spans="1:9">
      <c r="A1464" s="47">
        <v>3017</v>
      </c>
      <c r="B1464" s="48" t="str">
        <f>IFERROR(VLOOKUP(A1464,CLIENTES!A:E,2,0),"CADASTRAR CLIENTE")</f>
        <v>IMUNOLAB LABORATORIO DE ANALISES CLINICAS LTDA ME</v>
      </c>
      <c r="C1464" s="54" t="s">
        <v>3</v>
      </c>
      <c r="D1464" s="54">
        <v>81802</v>
      </c>
      <c r="E1464" s="51">
        <v>1183.33</v>
      </c>
      <c r="F1464" s="48"/>
      <c r="G1464" s="51"/>
      <c r="H1464" s="52"/>
      <c r="I1464" s="53">
        <v>45680</v>
      </c>
    </row>
    <row r="1465" spans="1:9">
      <c r="A1465" s="47">
        <v>463</v>
      </c>
      <c r="B1465" s="48" t="str">
        <f>IFERROR(VLOOKUP(A1465,CLIENTES!A:E,2,0),"CADASTRAR CLIENTE")</f>
        <v>MASUDA &amp; MASUDA LABORATORIO CLINICO LTDA</v>
      </c>
      <c r="C1465" s="54" t="s">
        <v>3</v>
      </c>
      <c r="D1465" s="54">
        <v>81789</v>
      </c>
      <c r="E1465" s="51">
        <v>1026.8699999999999</v>
      </c>
      <c r="F1465" s="48"/>
      <c r="G1465" s="51"/>
      <c r="H1465" s="52"/>
      <c r="I1465" s="53">
        <v>45680</v>
      </c>
    </row>
    <row r="1466" spans="1:9">
      <c r="A1466" s="47">
        <v>3018</v>
      </c>
      <c r="B1466" s="48" t="str">
        <f>IFERROR(VLOOKUP(A1466,CLIENTES!A:E,2,0),"CADASTRAR CLIENTE")</f>
        <v>NP- LABORATORIO DE ANALISES CLINICAS LTDA</v>
      </c>
      <c r="C1466" s="54" t="s">
        <v>3</v>
      </c>
      <c r="D1466" s="54">
        <v>100143</v>
      </c>
      <c r="E1466" s="51">
        <v>404</v>
      </c>
      <c r="F1466" s="48"/>
      <c r="G1466" s="51"/>
      <c r="H1466" s="52"/>
      <c r="I1466" s="53">
        <v>45680</v>
      </c>
    </row>
    <row r="1467" spans="1:9">
      <c r="A1467" s="47">
        <v>197</v>
      </c>
      <c r="B1467" s="48" t="str">
        <f>IFERROR(VLOOKUP(A1467,CLIENTES!A:E,2,0),"CADASTRAR CLIENTE")</f>
        <v>LAB.ANAL.CLIN.DE ITAPETININGA</v>
      </c>
      <c r="C1467" s="54" t="s">
        <v>3</v>
      </c>
      <c r="D1467" s="54">
        <v>81801</v>
      </c>
      <c r="E1467" s="51">
        <v>1188.0999999999999</v>
      </c>
      <c r="F1467" s="48"/>
      <c r="G1467" s="51"/>
      <c r="H1467" s="52"/>
      <c r="I1467" s="53">
        <v>45680</v>
      </c>
    </row>
    <row r="1468" spans="1:9">
      <c r="A1468" s="47">
        <v>412</v>
      </c>
      <c r="B1468" s="48" t="str">
        <f>IFERROR(VLOOKUP(A1468,CLIENTES!A:E,2,0),"CADASTRAR CLIENTE")</f>
        <v>LAB.ANAL.CLIN.SAO MANUEL SC LTDA.</v>
      </c>
      <c r="C1468" s="54" t="s">
        <v>3</v>
      </c>
      <c r="D1468" s="54" t="s">
        <v>416</v>
      </c>
      <c r="E1468" s="51">
        <v>336.65</v>
      </c>
      <c r="F1468" s="48"/>
      <c r="G1468" s="51"/>
      <c r="H1468" s="52"/>
      <c r="I1468" s="53">
        <v>45680</v>
      </c>
    </row>
    <row r="1469" spans="1:9">
      <c r="A1469" s="47">
        <v>475</v>
      </c>
      <c r="B1469" s="48" t="str">
        <f>IFERROR(VLOOKUP(A1469,CLIENTES!A:E,2,0),"CADASTRAR CLIENTE")</f>
        <v>LABORATORIO DE ANALISES CLINICAS SRC LTDA</v>
      </c>
      <c r="C1469" s="54" t="s">
        <v>2</v>
      </c>
      <c r="D1469" s="54">
        <v>81007</v>
      </c>
      <c r="E1469" s="51">
        <v>3283.4</v>
      </c>
      <c r="F1469" s="48"/>
      <c r="G1469" s="51"/>
      <c r="H1469" s="52"/>
      <c r="I1469" s="53">
        <v>45681</v>
      </c>
    </row>
    <row r="1470" spans="1:9">
      <c r="A1470" s="47">
        <v>1493</v>
      </c>
      <c r="B1470" s="48" t="str">
        <f>IFERROR(VLOOKUP(A1470,CLIENTES!A:E,2,0),"CADASTRAR CLIENTE")</f>
        <v>CEDIMA  CENTRO DE DIAG MONTE AZUL ANAL CLIN E CIT</v>
      </c>
      <c r="C1470" s="54" t="s">
        <v>3</v>
      </c>
      <c r="D1470" s="54">
        <v>81843</v>
      </c>
      <c r="E1470" s="51">
        <v>505.8</v>
      </c>
      <c r="F1470" s="48"/>
      <c r="G1470" s="51"/>
      <c r="H1470" s="52"/>
      <c r="I1470" s="53">
        <v>45681</v>
      </c>
    </row>
    <row r="1471" spans="1:9">
      <c r="A1471" s="47">
        <v>2022</v>
      </c>
      <c r="B1471" s="48" t="str">
        <f>IFERROR(VLOOKUP(A1471,CLIENTES!A:E,2,0),"CADASTRAR CLIENTE")</f>
        <v>LAB. MEDICO DR. MARICONDI S/C LTDA.</v>
      </c>
      <c r="C1471" s="54" t="s">
        <v>3</v>
      </c>
      <c r="D1471" s="54" t="s">
        <v>418</v>
      </c>
      <c r="E1471" s="51">
        <v>1134.6600000000001</v>
      </c>
      <c r="F1471" s="48"/>
      <c r="G1471" s="51"/>
      <c r="H1471" s="52"/>
      <c r="I1471" s="53">
        <v>45681</v>
      </c>
    </row>
    <row r="1472" spans="1:9">
      <c r="A1472" s="47">
        <v>1652</v>
      </c>
      <c r="B1472" s="48" t="str">
        <f>IFERROR(VLOOKUP(A1472,CLIENTES!A:E,2,0),"CADASTRAR CLIENTE")</f>
        <v>LAB. SANTA CLARA ANAL.CLIN.</v>
      </c>
      <c r="C1472" s="54" t="s">
        <v>328</v>
      </c>
      <c r="D1472" s="54" t="s">
        <v>417</v>
      </c>
      <c r="E1472" s="51">
        <v>1714.3</v>
      </c>
      <c r="F1472" s="48"/>
      <c r="G1472" s="51"/>
      <c r="H1472" s="52"/>
      <c r="I1472" s="53">
        <v>45681</v>
      </c>
    </row>
    <row r="1473" spans="1:9">
      <c r="A1473" s="47">
        <v>704</v>
      </c>
      <c r="B1473" s="48" t="str">
        <f>IFERROR(VLOOKUP(A1473,CLIENTES!A:E,2,0),"CADASTRAR CLIENTE")</f>
        <v>LAB. ONUMA E BASILIO S/C LTDA</v>
      </c>
      <c r="C1473" s="54" t="s">
        <v>3</v>
      </c>
      <c r="D1473" s="54">
        <v>81689</v>
      </c>
      <c r="E1473" s="51">
        <v>2550</v>
      </c>
      <c r="F1473" s="48"/>
      <c r="G1473" s="51"/>
      <c r="H1473" s="52"/>
      <c r="I1473" s="53">
        <v>45681</v>
      </c>
    </row>
    <row r="1474" spans="1:9">
      <c r="A1474" s="47">
        <v>3190</v>
      </c>
      <c r="B1474" s="48" t="str">
        <f>IFERROR(VLOOKUP(A1474,CLIENTES!A:E,2,0),"CADASTRAR CLIENTE")</f>
        <v>C D A CENTRO DE DIAGNOSTICO VETERINARIO</v>
      </c>
      <c r="C1474" s="54" t="s">
        <v>3</v>
      </c>
      <c r="D1474" s="54">
        <v>81528</v>
      </c>
      <c r="E1474" s="51">
        <v>1123.4000000000001</v>
      </c>
      <c r="F1474" s="48"/>
      <c r="G1474" s="51"/>
      <c r="H1474" s="52"/>
      <c r="I1474" s="53">
        <v>45684</v>
      </c>
    </row>
    <row r="1475" spans="1:9">
      <c r="A1475" s="47">
        <v>51175</v>
      </c>
      <c r="B1475" s="48" t="str">
        <f>IFERROR(VLOOKUP(A1475,CLIENTES!A:E,2,0),"CADASTRAR CLIENTE")</f>
        <v>CLINICA MEDICA E ODONTOLOGICA AMOR SAUDE TUPA LTDA</v>
      </c>
      <c r="C1475" s="54" t="s">
        <v>3</v>
      </c>
      <c r="D1475" s="54">
        <v>81878</v>
      </c>
      <c r="E1475" s="51">
        <v>556</v>
      </c>
      <c r="F1475" s="48"/>
      <c r="G1475" s="51"/>
      <c r="H1475" s="52"/>
      <c r="I1475" s="53">
        <v>45684</v>
      </c>
    </row>
    <row r="1476" spans="1:9">
      <c r="A1476" s="47">
        <v>1164</v>
      </c>
      <c r="B1476" s="48" t="str">
        <f>IFERROR(VLOOKUP(A1476,CLIENTES!A:E,2,0),"CADASTRAR CLIENTE")</f>
        <v>LAB. ANAL. CLIN. SAO LOURENCO S/C LTDA</v>
      </c>
      <c r="C1476" s="54" t="s">
        <v>3</v>
      </c>
      <c r="D1476" s="54">
        <v>81880</v>
      </c>
      <c r="E1476" s="51">
        <v>1798</v>
      </c>
      <c r="F1476" s="48"/>
      <c r="G1476" s="51"/>
      <c r="H1476" s="52"/>
      <c r="I1476" s="53">
        <v>45684</v>
      </c>
    </row>
    <row r="1477" spans="1:9">
      <c r="A1477" s="47">
        <v>50576</v>
      </c>
      <c r="B1477" s="48" t="str">
        <f>IFERROR(VLOOKUP(A1477,CLIENTES!A:E,2,0),"CADASTRAR CLIENTE")</f>
        <v>ANDRIAO CANEPPA E SILVA LTDA ME</v>
      </c>
      <c r="C1477" s="54" t="s">
        <v>3</v>
      </c>
      <c r="D1477" s="54" t="s">
        <v>419</v>
      </c>
      <c r="E1477" s="51">
        <v>2824.2</v>
      </c>
      <c r="F1477" s="48"/>
      <c r="G1477" s="51"/>
      <c r="H1477" s="52"/>
      <c r="I1477" s="53">
        <v>45684</v>
      </c>
    </row>
    <row r="1478" spans="1:9">
      <c r="A1478" s="47">
        <v>50219</v>
      </c>
      <c r="B1478" s="48" t="str">
        <f>IFERROR(VLOOKUP(A1478,CLIENTES!A:E,2,0),"CADASTRAR CLIENTE")</f>
        <v>UNIPREV LAB DE ANALISES LOCACAO DE BENS E REPAROS LTDA EPP</v>
      </c>
      <c r="C1478" s="54" t="s">
        <v>3</v>
      </c>
      <c r="D1478" s="54">
        <v>81915</v>
      </c>
      <c r="E1478" s="51">
        <v>741.3</v>
      </c>
      <c r="F1478" s="48"/>
      <c r="G1478" s="51"/>
      <c r="H1478" s="52"/>
      <c r="I1478" s="53">
        <v>45685</v>
      </c>
    </row>
    <row r="1479" spans="1:9">
      <c r="A1479" s="47">
        <v>432</v>
      </c>
      <c r="B1479" s="48" t="str">
        <f>IFERROR(VLOOKUP(A1479,CLIENTES!A:E,2,0),"CADASTRAR CLIENTE")</f>
        <v>LABORATORIO PASTEUR HEMATOLOGIA E MICROBIOLOGIA S/S LTDA</v>
      </c>
      <c r="C1479" s="54" t="s">
        <v>3</v>
      </c>
      <c r="D1479" s="54">
        <v>81914</v>
      </c>
      <c r="E1479" s="51">
        <v>1824</v>
      </c>
      <c r="F1479" s="48"/>
      <c r="G1479" s="51"/>
      <c r="H1479" s="52"/>
      <c r="I1479" s="53">
        <v>45685</v>
      </c>
    </row>
    <row r="1480" spans="1:9">
      <c r="A1480" s="47">
        <v>874</v>
      </c>
      <c r="B1480" s="48" t="str">
        <f>IFERROR(VLOOKUP(A1480,CLIENTES!A:E,2,0),"CADASTRAR CLIENTE")</f>
        <v>LAB.ANAL.CLIN ABI JAUDI SC LTDA.</v>
      </c>
      <c r="C1480" s="54" t="s">
        <v>3</v>
      </c>
      <c r="D1480" s="54">
        <v>80995</v>
      </c>
      <c r="E1480" s="51">
        <v>570.05999999999995</v>
      </c>
      <c r="F1480" s="48"/>
      <c r="G1480" s="51"/>
      <c r="H1480" s="52"/>
      <c r="I1480" s="53">
        <v>45685</v>
      </c>
    </row>
    <row r="1481" spans="1:9">
      <c r="A1481" s="47">
        <v>480</v>
      </c>
      <c r="B1481" s="48" t="str">
        <f>IFERROR(VLOOKUP(A1481,CLIENTES!A:E,2,0),"CADASTRAR CLIENTE")</f>
        <v>LAB SAO LUCAS</v>
      </c>
      <c r="C1481" s="54" t="s">
        <v>3</v>
      </c>
      <c r="D1481" s="54">
        <v>81935</v>
      </c>
      <c r="E1481" s="51">
        <v>3907.2</v>
      </c>
      <c r="F1481" s="48"/>
      <c r="G1481" s="51"/>
      <c r="H1481" s="52"/>
      <c r="I1481" s="53">
        <v>45685</v>
      </c>
    </row>
    <row r="1482" spans="1:9">
      <c r="A1482" s="47">
        <v>500434</v>
      </c>
      <c r="B1482" s="48" t="str">
        <f>IFERROR(VLOOKUP(A1482,CLIENTES!A:E,2,0),"CADASTRAR CLIENTE")</f>
        <v>MS10 COMERCIAL DE VIDRARIAS PARA LABORATORIOS LTDA</v>
      </c>
      <c r="C1482" s="54" t="s">
        <v>3</v>
      </c>
      <c r="D1482" s="54">
        <v>81910</v>
      </c>
      <c r="E1482" s="51">
        <v>479</v>
      </c>
      <c r="F1482" s="48"/>
      <c r="G1482" s="51"/>
      <c r="H1482" s="52"/>
      <c r="I1482" s="53">
        <v>45685</v>
      </c>
    </row>
    <row r="1483" spans="1:9">
      <c r="A1483" s="47">
        <v>1623</v>
      </c>
      <c r="B1483" s="48" t="str">
        <f>IFERROR(VLOOKUP(A1483,CLIENTES!A:E,2,0),"CADASTRAR CLIENTE")</f>
        <v>LAB.ANAL.CLIN. E REP. BADY BASSIT LTDA</v>
      </c>
      <c r="C1483" s="54" t="s">
        <v>3</v>
      </c>
      <c r="D1483" s="54" t="s">
        <v>423</v>
      </c>
      <c r="E1483" s="51">
        <v>663.86</v>
      </c>
      <c r="F1483" s="48"/>
      <c r="G1483" s="51"/>
      <c r="H1483" s="52"/>
      <c r="I1483" s="53">
        <v>45685</v>
      </c>
    </row>
    <row r="1484" spans="1:9">
      <c r="A1484" s="47">
        <v>980</v>
      </c>
      <c r="B1484" s="48" t="str">
        <f>IFERROR(VLOOKUP(A1484,CLIENTES!A:E,2,0),"CADASTRAR CLIENTE")</f>
        <v>LAB. GUARARAPES  ANAL. CLIN. SC LTDA</v>
      </c>
      <c r="C1484" s="54" t="s">
        <v>3</v>
      </c>
      <c r="D1484" s="54">
        <v>81651</v>
      </c>
      <c r="E1484" s="51">
        <v>496.7</v>
      </c>
      <c r="F1484" s="48"/>
      <c r="G1484" s="51"/>
      <c r="H1484" s="52"/>
      <c r="I1484" s="53">
        <v>45686</v>
      </c>
    </row>
    <row r="1485" spans="1:9">
      <c r="A1485" s="47">
        <v>3240</v>
      </c>
      <c r="B1485" s="48" t="str">
        <f>IFERROR(VLOOKUP(A1485,CLIENTES!A:E,2,0),"CADASTRAR CLIENTE")</f>
        <v>LABORLOPES LABORATORIO DE  ANALISES CLINICAS LTDA</v>
      </c>
      <c r="C1485" s="54" t="s">
        <v>3</v>
      </c>
      <c r="D1485" s="54" t="s">
        <v>424</v>
      </c>
      <c r="E1485" s="51">
        <v>754.95</v>
      </c>
      <c r="F1485" s="48"/>
      <c r="G1485" s="51"/>
      <c r="H1485" s="52"/>
      <c r="I1485" s="53">
        <v>45686</v>
      </c>
    </row>
    <row r="1486" spans="1:9">
      <c r="A1486" s="47">
        <v>1726</v>
      </c>
      <c r="B1486" s="48" t="str">
        <f>IFERROR(VLOOKUP(A1486,CLIENTES!A:E,2,0),"CADASTRAR CLIENTE")</f>
        <v>IRMANDADE DA SANTA CASA DE MISERIC. DE MOGI MIRIM</v>
      </c>
      <c r="C1486" s="54" t="s">
        <v>2</v>
      </c>
      <c r="D1486" s="54">
        <v>81547</v>
      </c>
      <c r="E1486" s="51">
        <v>553.79999999999995</v>
      </c>
      <c r="F1486" s="48"/>
      <c r="G1486" s="51"/>
      <c r="H1486" s="52"/>
      <c r="I1486" s="53">
        <v>45686</v>
      </c>
    </row>
    <row r="1487" spans="1:9">
      <c r="A1487" s="47">
        <v>50728</v>
      </c>
      <c r="B1487" s="48" t="str">
        <f>IFERROR(VLOOKUP(A1487,CLIENTES!A:E,2,0),"CADASTRAR CLIENTE")</f>
        <v>SESTITO &amp; TORRES CLINICA MEDICA</v>
      </c>
      <c r="C1487" s="54" t="s">
        <v>3</v>
      </c>
      <c r="D1487" s="54">
        <v>82023</v>
      </c>
      <c r="E1487" s="51">
        <v>526</v>
      </c>
      <c r="F1487" s="48"/>
      <c r="G1487" s="51"/>
      <c r="H1487" s="52"/>
      <c r="I1487" s="53">
        <v>45687</v>
      </c>
    </row>
    <row r="1488" spans="1:9">
      <c r="A1488" s="47">
        <v>712</v>
      </c>
      <c r="B1488" s="48" t="str">
        <f>IFERROR(VLOOKUP(A1488,CLIENTES!A:E,2,0),"CADASTRAR CLIENTE")</f>
        <v>MARCELO MAURICIO  DE SOUZA</v>
      </c>
      <c r="C1488" s="54" t="s">
        <v>3</v>
      </c>
      <c r="D1488" s="54">
        <v>82023</v>
      </c>
      <c r="E1488" s="51">
        <v>1200</v>
      </c>
      <c r="F1488" s="48"/>
      <c r="G1488" s="51"/>
      <c r="H1488" s="52"/>
      <c r="I1488" s="53">
        <v>45687</v>
      </c>
    </row>
    <row r="1489" spans="1:9">
      <c r="A1489" s="47">
        <v>1206</v>
      </c>
      <c r="B1489" s="48" t="str">
        <f>IFERROR(VLOOKUP(A1489,CLIENTES!A:E,2,0),"CADASTRAR CLIENTE")</f>
        <v>LABORATORIO RIO NEGRO CENTER DE MARILIA  LTDA</v>
      </c>
      <c r="C1489" s="54" t="s">
        <v>3</v>
      </c>
      <c r="D1489" s="54">
        <v>82061</v>
      </c>
      <c r="E1489" s="51">
        <v>1097.79</v>
      </c>
      <c r="F1489" s="48"/>
      <c r="G1489" s="51"/>
      <c r="H1489" s="52"/>
      <c r="I1489" s="53">
        <v>45688</v>
      </c>
    </row>
    <row r="1490" spans="1:9">
      <c r="A1490" s="47">
        <v>980</v>
      </c>
      <c r="B1490" s="48" t="str">
        <f>IFERROR(VLOOKUP(A1490,CLIENTES!A:E,2,0),"CADASTRAR CLIENTE")</f>
        <v>LAB. GUARARAPES  ANAL. CLIN. SC LTDA</v>
      </c>
      <c r="C1490" s="54" t="s">
        <v>3</v>
      </c>
      <c r="D1490" s="54">
        <v>82060</v>
      </c>
      <c r="E1490" s="51">
        <v>1001</v>
      </c>
      <c r="F1490" s="48"/>
      <c r="G1490" s="51"/>
      <c r="H1490" s="52"/>
      <c r="I1490" s="53">
        <v>45688</v>
      </c>
    </row>
    <row r="1491" spans="1:9">
      <c r="A1491" s="47">
        <v>741</v>
      </c>
      <c r="B1491" s="48" t="str">
        <f>IFERROR(VLOOKUP(A1491,CLIENTES!A:E,2,0),"CADASTRAR CLIENTE")</f>
        <v>LAB. ANAL. CLIN. DR. HELIO NAKABASHI SC LTDA</v>
      </c>
      <c r="C1491" s="54" t="s">
        <v>3</v>
      </c>
      <c r="D1491" s="54">
        <v>81783</v>
      </c>
      <c r="E1491" s="51">
        <v>704</v>
      </c>
      <c r="F1491" s="48"/>
      <c r="G1491" s="51"/>
      <c r="H1491" s="52"/>
      <c r="I1491" s="53">
        <v>45688</v>
      </c>
    </row>
    <row r="1492" spans="1:9">
      <c r="A1492" s="47">
        <v>2911</v>
      </c>
      <c r="B1492" s="48" t="str">
        <f>IFERROR(VLOOKUP(A1492,CLIENTES!A:E,2,0),"CADASTRAR CLIENTE")</f>
        <v>BIOLIFE-LABORATORIO DE ANALISES CLINICAS LTDA</v>
      </c>
      <c r="C1492" s="54" t="s">
        <v>3</v>
      </c>
      <c r="D1492" s="54" t="s">
        <v>425</v>
      </c>
      <c r="E1492" s="51">
        <v>2223.16</v>
      </c>
      <c r="F1492" s="48"/>
      <c r="G1492" s="51"/>
      <c r="H1492" s="52"/>
      <c r="I1492" s="53">
        <v>45688</v>
      </c>
    </row>
    <row r="1493" spans="1:9">
      <c r="A1493" s="47">
        <v>51042</v>
      </c>
      <c r="B1493" s="48" t="str">
        <f>IFERROR(VLOOKUP(A1493,CLIENTES!A:E,2,0),"CADASTRAR CLIENTE")</f>
        <v>CLINICAO ANDRADINA PET SHOP E CLINICA VETERINARIA LTDA</v>
      </c>
      <c r="C1493" s="54" t="s">
        <v>3</v>
      </c>
      <c r="D1493" s="54">
        <v>82087</v>
      </c>
      <c r="E1493" s="51">
        <v>277.11</v>
      </c>
      <c r="F1493" s="48"/>
      <c r="G1493" s="51"/>
      <c r="H1493" s="52"/>
      <c r="I1493" s="53">
        <v>45691</v>
      </c>
    </row>
    <row r="1494" spans="1:9">
      <c r="A1494" s="47">
        <v>50219</v>
      </c>
      <c r="B1494" s="48" t="str">
        <f>IFERROR(VLOOKUP(A1494,CLIENTES!A:E,2,0),"CADASTRAR CLIENTE")</f>
        <v>UNIPREV LAB DE ANALISES LOCACAO DE BENS E REPAROS LTDA EPP</v>
      </c>
      <c r="C1494" s="54" t="s">
        <v>3</v>
      </c>
      <c r="D1494" s="54" t="s">
        <v>426</v>
      </c>
      <c r="E1494" s="51">
        <v>3650.04</v>
      </c>
      <c r="F1494" s="48"/>
      <c r="G1494" s="51"/>
      <c r="H1494" s="52"/>
      <c r="I1494" s="53">
        <v>45691</v>
      </c>
    </row>
    <row r="1495" spans="1:9">
      <c r="A1495" s="47">
        <v>1206</v>
      </c>
      <c r="B1495" s="48" t="str">
        <f>IFERROR(VLOOKUP(A1495,CLIENTES!A:E,2,0),"CADASTRAR CLIENTE")</f>
        <v>LABORATORIO RIO NEGRO CENTER DE MARILIA  LTDA</v>
      </c>
      <c r="C1495" s="54" t="s">
        <v>3</v>
      </c>
      <c r="D1495" s="54">
        <v>82104</v>
      </c>
      <c r="E1495" s="51">
        <v>929.01</v>
      </c>
      <c r="F1495" s="48"/>
      <c r="G1495" s="51"/>
      <c r="H1495" s="52"/>
      <c r="I1495" s="53">
        <v>45691</v>
      </c>
    </row>
    <row r="1496" spans="1:9">
      <c r="A1496" s="47">
        <v>3190</v>
      </c>
      <c r="B1496" s="48" t="str">
        <f>IFERROR(VLOOKUP(A1496,CLIENTES!A:E,2,0),"CADASTRAR CLIENTE")</f>
        <v>C D A CENTRO DE DIAGNOSTICO VETERINARIO</v>
      </c>
      <c r="C1496" s="54" t="s">
        <v>3</v>
      </c>
      <c r="D1496" s="54" t="s">
        <v>427</v>
      </c>
      <c r="E1496" s="51">
        <v>289.2</v>
      </c>
      <c r="F1496" s="48"/>
      <c r="G1496" s="51"/>
      <c r="H1496" s="52"/>
      <c r="I1496" s="53">
        <v>45691</v>
      </c>
    </row>
    <row r="1497" spans="1:9">
      <c r="A1497" s="47">
        <v>620</v>
      </c>
      <c r="B1497" s="48" t="str">
        <f>IFERROR(VLOOKUP(A1497,CLIENTES!A:E,2,0),"CADASTRAR CLIENTE")</f>
        <v>LAB.SAO PAULO DE ANAL.CLIN.SC LTDA.</v>
      </c>
      <c r="C1497" s="54" t="s">
        <v>3</v>
      </c>
      <c r="D1497" s="54">
        <v>81593</v>
      </c>
      <c r="E1497" s="51">
        <v>386</v>
      </c>
      <c r="F1497" s="48"/>
      <c r="G1497" s="51"/>
      <c r="H1497" s="52"/>
      <c r="I1497" s="53">
        <v>45691</v>
      </c>
    </row>
    <row r="1498" spans="1:9">
      <c r="A1498" s="47">
        <v>2022</v>
      </c>
      <c r="B1498" s="48" t="str">
        <f>IFERROR(VLOOKUP(A1498,CLIENTES!A:E,2,0),"CADASTRAR CLIENTE")</f>
        <v>LAB. MEDICO DR. MARICONDI S/C LTDA.</v>
      </c>
      <c r="C1498" s="54" t="s">
        <v>3</v>
      </c>
      <c r="D1498" s="54" t="s">
        <v>428</v>
      </c>
      <c r="E1498" s="51">
        <v>2636.75</v>
      </c>
      <c r="F1498" s="48"/>
      <c r="G1498" s="51"/>
      <c r="H1498" s="52"/>
      <c r="I1498" s="53">
        <v>45691</v>
      </c>
    </row>
    <row r="1499" spans="1:9">
      <c r="A1499" s="47">
        <v>1493</v>
      </c>
      <c r="B1499" s="48" t="str">
        <f>IFERROR(VLOOKUP(A1499,CLIENTES!A:E,2,0),"CADASTRAR CLIENTE")</f>
        <v>CEDIMA  CENTRO DE DIAG MONTE AZUL ANAL CLIN E CIT</v>
      </c>
      <c r="C1499" s="54" t="s">
        <v>328</v>
      </c>
      <c r="D1499" s="54">
        <v>82117</v>
      </c>
      <c r="E1499" s="51">
        <v>1443.23</v>
      </c>
      <c r="F1499" s="48"/>
      <c r="G1499" s="51"/>
      <c r="H1499" s="52"/>
      <c r="I1499" s="53">
        <v>45691</v>
      </c>
    </row>
    <row r="1500" spans="1:9">
      <c r="A1500" s="47">
        <v>690</v>
      </c>
      <c r="B1500" s="48" t="str">
        <f>IFERROR(VLOOKUP(A1500,CLIENTES!A:E,2,0),"CADASTRAR CLIENTE")</f>
        <v>SAO ROQUE MEDICINA DIAGNOSTICA LTDA EPP</v>
      </c>
      <c r="C1500" s="54" t="s">
        <v>3</v>
      </c>
      <c r="D1500" s="54" t="s">
        <v>429</v>
      </c>
      <c r="E1500" s="51">
        <v>1277.5</v>
      </c>
      <c r="F1500" s="48"/>
      <c r="G1500" s="51"/>
      <c r="H1500" s="52"/>
      <c r="I1500" s="53">
        <v>45692</v>
      </c>
    </row>
    <row r="1501" spans="1:9">
      <c r="A1501" s="47">
        <v>772</v>
      </c>
      <c r="B1501" s="48" t="str">
        <f>IFERROR(VLOOKUP(A1501,CLIENTES!A:E,2,0),"CADASTRAR CLIENTE")</f>
        <v>MEGARON LABORATORIO ANAL.CLIN.SC LTDA.</v>
      </c>
      <c r="C1501" s="54" t="s">
        <v>3</v>
      </c>
      <c r="D1501" s="54" t="s">
        <v>430</v>
      </c>
      <c r="E1501" s="51">
        <v>2392.3000000000002</v>
      </c>
      <c r="F1501" s="48"/>
      <c r="G1501" s="51"/>
      <c r="H1501" s="52"/>
      <c r="I1501" s="53">
        <v>45692</v>
      </c>
    </row>
    <row r="1502" spans="1:9">
      <c r="A1502" s="47">
        <v>1813</v>
      </c>
      <c r="B1502" s="48" t="str">
        <f>IFERROR(VLOOKUP(A1502,CLIENTES!A:E,2,0),"CADASTRAR CLIENTE")</f>
        <v>BIOMED LAB.ANAL.CLIN. SC  LTDA</v>
      </c>
      <c r="C1502" s="54" t="s">
        <v>3</v>
      </c>
      <c r="D1502" s="54">
        <v>82136</v>
      </c>
      <c r="E1502" s="51">
        <v>1812.65</v>
      </c>
      <c r="F1502" s="48"/>
      <c r="G1502" s="51"/>
      <c r="H1502" s="52"/>
      <c r="I1502" s="53">
        <v>45692</v>
      </c>
    </row>
    <row r="1503" spans="1:9">
      <c r="A1503" s="47">
        <v>784</v>
      </c>
      <c r="B1503" s="48" t="str">
        <f>IFERROR(VLOOKUP(A1503,CLIENTES!A:E,2,0),"CADASTRAR CLIENTE")</f>
        <v>LAB.ANAL.CLIN. ALBERT SABIN SC LTDA.</v>
      </c>
      <c r="C1503" s="54" t="s">
        <v>2</v>
      </c>
      <c r="D1503" s="54">
        <v>82150</v>
      </c>
      <c r="E1503" s="51">
        <v>3517.34</v>
      </c>
      <c r="F1503" s="48"/>
      <c r="G1503" s="51"/>
      <c r="H1503" s="52"/>
      <c r="I1503" s="53">
        <v>45692</v>
      </c>
    </row>
    <row r="1504" spans="1:9">
      <c r="A1504" s="47">
        <v>761</v>
      </c>
      <c r="B1504" s="48" t="str">
        <f>IFERROR(VLOOKUP(A1504,CLIENTES!A:E,2,0),"CADASTRAR CLIENTE")</f>
        <v>EXAME CENTRO DIAG.M.ARACATUBA SC LTDA.</v>
      </c>
      <c r="C1504" s="54" t="s">
        <v>3</v>
      </c>
      <c r="D1504" s="54" t="s">
        <v>431</v>
      </c>
      <c r="E1504" s="51">
        <v>401</v>
      </c>
      <c r="F1504" s="48"/>
      <c r="G1504" s="51"/>
      <c r="H1504" s="52"/>
      <c r="I1504" s="53">
        <v>45692</v>
      </c>
    </row>
    <row r="1505" spans="1:9">
      <c r="A1505" s="47">
        <v>1842</v>
      </c>
      <c r="B1505" s="48" t="str">
        <f>IFERROR(VLOOKUP(A1505,CLIENTES!A:E,2,0),"CADASTRAR CLIENTE")</f>
        <v>LABORATORIO UNILABVET EIRELI</v>
      </c>
      <c r="C1505" s="54" t="s">
        <v>3</v>
      </c>
      <c r="D1505" s="54" t="s">
        <v>432</v>
      </c>
      <c r="E1505" s="51">
        <v>705.05</v>
      </c>
      <c r="F1505" s="48"/>
      <c r="G1505" s="51"/>
      <c r="H1505" s="52"/>
      <c r="I1505" s="53">
        <v>45692</v>
      </c>
    </row>
    <row r="1506" spans="1:9">
      <c r="A1506" s="47">
        <v>1533</v>
      </c>
      <c r="B1506" s="48" t="str">
        <f>IFERROR(VLOOKUP(A1506,CLIENTES!A:E,2,0),"CADASTRAR CLIENTE")</f>
        <v>LABORATORIO BIOANALISE DIAGNOSTICO LTDA</v>
      </c>
      <c r="C1506" s="54" t="s">
        <v>3</v>
      </c>
      <c r="D1506" s="54">
        <v>82194</v>
      </c>
      <c r="E1506" s="51">
        <v>615.5</v>
      </c>
      <c r="F1506" s="48"/>
      <c r="G1506" s="51"/>
      <c r="H1506" s="52"/>
      <c r="I1506" s="53">
        <v>45693</v>
      </c>
    </row>
    <row r="1507" spans="1:9">
      <c r="A1507" s="47">
        <v>704</v>
      </c>
      <c r="B1507" s="48" t="str">
        <f>IFERROR(VLOOKUP(A1507,CLIENTES!A:E,2,0),"CADASTRAR CLIENTE")</f>
        <v>LAB. ONUMA E BASILIO S/C LTDA</v>
      </c>
      <c r="C1507" s="54" t="s">
        <v>3</v>
      </c>
      <c r="D1507" s="54" t="s">
        <v>433</v>
      </c>
      <c r="E1507" s="51">
        <v>1963.02</v>
      </c>
      <c r="F1507" s="48"/>
      <c r="G1507" s="51"/>
      <c r="H1507" s="52"/>
      <c r="I1507" s="53">
        <v>45693</v>
      </c>
    </row>
    <row r="1508" spans="1:9">
      <c r="A1508" s="47">
        <v>1240</v>
      </c>
      <c r="B1508" s="48" t="str">
        <f>IFERROR(VLOOKUP(A1508,CLIENTES!A:E,2,0),"CADASTRAR CLIENTE")</f>
        <v>MONICA VIEIRA DE CAMPOS REBELO-ME</v>
      </c>
      <c r="C1508" s="54" t="s">
        <v>3</v>
      </c>
      <c r="D1508" s="54">
        <v>82230</v>
      </c>
      <c r="E1508" s="51">
        <v>2608.6799999999998</v>
      </c>
      <c r="F1508" s="48"/>
      <c r="G1508" s="51"/>
      <c r="H1508" s="52"/>
      <c r="I1508" s="53">
        <v>45693</v>
      </c>
    </row>
    <row r="1509" spans="1:9">
      <c r="A1509" s="47">
        <v>762</v>
      </c>
      <c r="B1509" s="48" t="str">
        <f>IFERROR(VLOOKUP(A1509,CLIENTES!A:E,2,0),"CADASTRAR CLIENTE")</f>
        <v>STA. CASA MISERICORDIA DE ARACATUBA</v>
      </c>
      <c r="C1509" s="54" t="s">
        <v>2</v>
      </c>
      <c r="D1509" s="54">
        <v>82237</v>
      </c>
      <c r="E1509" s="51">
        <v>6436.6</v>
      </c>
      <c r="F1509" s="48"/>
      <c r="G1509" s="51"/>
      <c r="H1509" s="52"/>
      <c r="I1509" s="53">
        <v>45693</v>
      </c>
    </row>
    <row r="1510" spans="1:9">
      <c r="A1510" s="47">
        <v>725</v>
      </c>
      <c r="B1510" s="48" t="str">
        <f>IFERROR(VLOOKUP(A1510,CLIENTES!A:E,2,0),"CADASTRAR CLIENTE")</f>
        <v>LAB. ANAL. CLIN. DR. ALUISIO CASELLA</v>
      </c>
      <c r="C1510" s="54" t="s">
        <v>2</v>
      </c>
      <c r="D1510" s="54">
        <v>82262</v>
      </c>
      <c r="E1510" s="51">
        <v>1062.4000000000001</v>
      </c>
      <c r="F1510" s="48"/>
      <c r="G1510" s="51"/>
      <c r="H1510" s="52"/>
      <c r="I1510" s="53">
        <v>45694</v>
      </c>
    </row>
    <row r="1511" spans="1:9">
      <c r="A1511" s="47">
        <v>475</v>
      </c>
      <c r="B1511" s="48" t="str">
        <f>IFERROR(VLOOKUP(A1511,CLIENTES!A:E,2,0),"CADASTRAR CLIENTE")</f>
        <v>LABORATORIO DE ANALISES CLINICAS SRC LTDA</v>
      </c>
      <c r="C1511" s="54" t="s">
        <v>2</v>
      </c>
      <c r="D1511" s="54" t="s">
        <v>434</v>
      </c>
      <c r="E1511" s="51">
        <v>17488.41</v>
      </c>
      <c r="F1511" s="48"/>
      <c r="G1511" s="51"/>
      <c r="H1511" s="52"/>
      <c r="I1511" s="53">
        <v>45695</v>
      </c>
    </row>
    <row r="1512" spans="1:9">
      <c r="A1512" s="47">
        <v>412</v>
      </c>
      <c r="B1512" s="48" t="str">
        <f>IFERROR(VLOOKUP(A1512,CLIENTES!A:E,2,0),"CADASTRAR CLIENTE")</f>
        <v>LAB.ANAL.CLIN.SAO MANUEL SC LTDA.</v>
      </c>
      <c r="C1512" s="54" t="s">
        <v>328</v>
      </c>
      <c r="D1512" s="54">
        <v>82282</v>
      </c>
      <c r="E1512" s="51">
        <v>1021.6</v>
      </c>
      <c r="F1512" s="48"/>
      <c r="G1512" s="51"/>
      <c r="H1512" s="52"/>
      <c r="I1512" s="53">
        <v>45698</v>
      </c>
    </row>
    <row r="1513" spans="1:9">
      <c r="A1513" s="47">
        <v>784</v>
      </c>
      <c r="B1513" s="48" t="str">
        <f>IFERROR(VLOOKUP(A1513,CLIENTES!A:E,2,0),"CADASTRAR CLIENTE")</f>
        <v>LAB.ANAL.CLIN. ALBERT SABIN SC LTDA.</v>
      </c>
      <c r="C1513" s="54" t="s">
        <v>3</v>
      </c>
      <c r="D1513" s="54">
        <v>82338</v>
      </c>
      <c r="E1513" s="51">
        <v>1100</v>
      </c>
      <c r="F1513" s="48"/>
      <c r="G1513" s="51"/>
      <c r="H1513" s="52"/>
      <c r="I1513" s="53">
        <v>45698</v>
      </c>
    </row>
    <row r="1514" spans="1:9">
      <c r="A1514" s="47">
        <v>1206</v>
      </c>
      <c r="B1514" s="48" t="str">
        <f>IFERROR(VLOOKUP(A1514,CLIENTES!A:E,2,0),"CADASTRAR CLIENTE")</f>
        <v>LABORATORIO RIO NEGRO CENTER DE MARILIA  LTDA</v>
      </c>
      <c r="C1514" s="54" t="s">
        <v>3</v>
      </c>
      <c r="D1514" s="54">
        <v>82326</v>
      </c>
      <c r="E1514" s="51">
        <v>390</v>
      </c>
      <c r="F1514" s="48"/>
      <c r="G1514" s="51"/>
      <c r="H1514" s="52"/>
      <c r="I1514" s="53">
        <v>45698</v>
      </c>
    </row>
    <row r="1515" spans="1:9">
      <c r="A1515" s="47">
        <v>50936</v>
      </c>
      <c r="B1515" s="48" t="str">
        <f>IFERROR(VLOOKUP(A1515,CLIENTES!A:E,2,0),"CADASTRAR CLIENTE")</f>
        <v>LABORATORIO DE ANALISES CLINICAS SAO JOSE LTDA</v>
      </c>
      <c r="C1515" s="54" t="s">
        <v>3</v>
      </c>
      <c r="D1515" s="54">
        <v>82321</v>
      </c>
      <c r="E1515" s="51">
        <v>592.5</v>
      </c>
      <c r="F1515" s="48"/>
      <c r="G1515" s="51"/>
      <c r="H1515" s="52"/>
      <c r="I1515" s="53">
        <v>45695</v>
      </c>
    </row>
    <row r="1516" spans="1:9">
      <c r="A1516" s="47">
        <v>618</v>
      </c>
      <c r="B1516" s="48" t="str">
        <f>IFERROR(VLOOKUP(A1516,CLIENTES!A:E,2,0),"CADASTRAR CLIENTE")</f>
        <v>LAB. ANAL. CLIN. POMPEIA</v>
      </c>
      <c r="C1516" s="54" t="s">
        <v>3</v>
      </c>
      <c r="D1516" s="54" t="s">
        <v>435</v>
      </c>
      <c r="E1516" s="51">
        <v>6078.24</v>
      </c>
      <c r="F1516" s="48"/>
      <c r="G1516" s="51"/>
      <c r="H1516" s="52"/>
      <c r="I1516" s="53">
        <v>45698</v>
      </c>
    </row>
    <row r="1517" spans="1:9">
      <c r="A1517" s="47">
        <v>432</v>
      </c>
      <c r="B1517" s="48" t="str">
        <f>IFERROR(VLOOKUP(A1517,CLIENTES!A:E,2,0),"CADASTRAR CLIENTE")</f>
        <v>LABORATORIO PASTEUR HEMATOLOGIA E MICROBIOLOGIA S/S LTDA</v>
      </c>
      <c r="C1517" s="54" t="s">
        <v>3</v>
      </c>
      <c r="D1517" s="54" t="s">
        <v>436</v>
      </c>
      <c r="E1517" s="51">
        <v>7688.16</v>
      </c>
      <c r="F1517" s="48"/>
      <c r="G1517" s="51"/>
      <c r="H1517" s="52"/>
      <c r="I1517" s="53">
        <v>45698</v>
      </c>
    </row>
    <row r="1518" spans="1:9">
      <c r="A1518" s="47">
        <v>50554</v>
      </c>
      <c r="B1518" s="48" t="str">
        <f>IFERROR(VLOOKUP(A1518,CLIENTES!A:E,2,0),"CADASTRAR CLIENTE")</f>
        <v>SAO ROQUE MEDICINA DIAGNOSTICA</v>
      </c>
      <c r="C1518" s="54" t="s">
        <v>3</v>
      </c>
      <c r="D1518" s="54" t="s">
        <v>437</v>
      </c>
      <c r="E1518" s="51">
        <v>7132.98</v>
      </c>
      <c r="F1518" s="48"/>
      <c r="G1518" s="51"/>
      <c r="H1518" s="52"/>
      <c r="I1518" s="53">
        <v>45698</v>
      </c>
    </row>
    <row r="1519" spans="1:9">
      <c r="A1519" s="47">
        <v>575</v>
      </c>
      <c r="B1519" s="48" t="str">
        <f>IFERROR(VLOOKUP(A1519,CLIENTES!A:E,2,0),"CADASTRAR CLIENTE")</f>
        <v>DR MUNHOZ HOSPITAL VETERINARIO E PET SHOP</v>
      </c>
      <c r="C1519" s="54" t="s">
        <v>3</v>
      </c>
      <c r="D1519" s="54" t="s">
        <v>438</v>
      </c>
      <c r="E1519" s="51">
        <v>974.6</v>
      </c>
      <c r="F1519" s="48"/>
      <c r="G1519" s="51"/>
      <c r="H1519" s="52"/>
      <c r="I1519" s="53">
        <v>45698</v>
      </c>
    </row>
    <row r="1520" spans="1:9">
      <c r="A1520" s="47">
        <v>500243</v>
      </c>
      <c r="B1520" s="48" t="str">
        <f>IFERROR(VLOOKUP(A1520,CLIENTES!A:E,2,0),"CADASTRAR CLIENTE")</f>
        <v>UNIMED DE IBITINGA COOPERATIVA DE TRABALHO MEDICO</v>
      </c>
      <c r="C1520" s="54" t="s">
        <v>328</v>
      </c>
      <c r="D1520" s="54">
        <v>82395</v>
      </c>
      <c r="E1520" s="51">
        <v>438.3</v>
      </c>
      <c r="F1520" s="48"/>
      <c r="G1520" s="51"/>
      <c r="H1520" s="52"/>
      <c r="I1520" s="53">
        <v>45698</v>
      </c>
    </row>
    <row r="1521" spans="1:9">
      <c r="A1521" s="47">
        <v>3153</v>
      </c>
      <c r="B1521" s="48" t="str">
        <f>IFERROR(VLOOKUP(A1521,CLIENTES!A:E,2,0),"CADASTRAR CLIENTE")</f>
        <v>UNIMED DE TUPA COOPERATIVA DE TRABALHO MEDICO</v>
      </c>
      <c r="C1521" s="54" t="s">
        <v>3</v>
      </c>
      <c r="D1521" s="54">
        <v>82400</v>
      </c>
      <c r="E1521" s="51">
        <v>2213.2199999999998</v>
      </c>
      <c r="F1521" s="48"/>
      <c r="G1521" s="51"/>
      <c r="H1521" s="52"/>
      <c r="I1521" s="53">
        <v>45698</v>
      </c>
    </row>
    <row r="1522" spans="1:9">
      <c r="A1522" s="47">
        <v>50554</v>
      </c>
      <c r="B1522" s="48" t="str">
        <f>IFERROR(VLOOKUP(A1522,CLIENTES!A:E,2,0),"CADASTRAR CLIENTE")</f>
        <v>SAO ROQUE MEDICINA DIAGNOSTICA</v>
      </c>
      <c r="C1522" s="54" t="s">
        <v>3</v>
      </c>
      <c r="D1522" s="54">
        <v>82386</v>
      </c>
      <c r="E1522" s="51">
        <v>24898.799999999999</v>
      </c>
      <c r="F1522" s="48"/>
      <c r="G1522" s="51"/>
      <c r="H1522" s="52"/>
      <c r="I1522" s="53">
        <v>45698</v>
      </c>
    </row>
    <row r="1523" spans="1:9">
      <c r="A1523" s="47">
        <v>690</v>
      </c>
      <c r="B1523" s="48" t="str">
        <f>IFERROR(VLOOKUP(A1523,CLIENTES!A:E,2,0),"CADASTRAR CLIENTE")</f>
        <v>SAO ROQUE MEDICINA DIAGNOSTICA LTDA EPP</v>
      </c>
      <c r="C1523" s="54" t="s">
        <v>3</v>
      </c>
      <c r="D1523" s="54" t="s">
        <v>442</v>
      </c>
      <c r="E1523" s="51">
        <v>13199.15</v>
      </c>
      <c r="F1523" s="48"/>
      <c r="G1523" s="51"/>
      <c r="H1523" s="52"/>
      <c r="I1523" s="53">
        <v>45698</v>
      </c>
    </row>
    <row r="1524" spans="1:9">
      <c r="A1524" s="47">
        <v>3475</v>
      </c>
      <c r="B1524" s="48" t="str">
        <f>IFERROR(VLOOKUP(A1524,CLIENTES!A:E,2,0),"CADASTRAR CLIENTE")</f>
        <v>LQF LABORATORIO QUIMICO FARMACEUTICO RIO PRETO EIRELI - ME</v>
      </c>
      <c r="C1524" s="54" t="s">
        <v>3</v>
      </c>
      <c r="D1524" s="54" t="s">
        <v>439</v>
      </c>
      <c r="E1524" s="51">
        <v>746.9</v>
      </c>
      <c r="F1524" s="48"/>
      <c r="G1524" s="51"/>
      <c r="H1524" s="52"/>
      <c r="I1524" s="53">
        <v>45698</v>
      </c>
    </row>
    <row r="1525" spans="1:9">
      <c r="A1525" s="47">
        <v>500005</v>
      </c>
      <c r="B1525" s="48" t="str">
        <f>IFERROR(VLOOKUP(A1525,CLIENTES!A:E,2,0),"CADASTRAR CLIENTE")</f>
        <v>ASSOCIACAO EDUCACIONAL DE ENSINO SUPERIOR</v>
      </c>
      <c r="C1525" s="54" t="s">
        <v>3</v>
      </c>
      <c r="D1525" s="54">
        <v>81993</v>
      </c>
      <c r="E1525" s="51"/>
      <c r="F1525" s="48"/>
      <c r="G1525" s="51">
        <v>2100</v>
      </c>
      <c r="H1525" s="52"/>
      <c r="I1525" s="53">
        <v>45699</v>
      </c>
    </row>
    <row r="1526" spans="1:9">
      <c r="A1526" s="47">
        <v>50576</v>
      </c>
      <c r="B1526" s="48" t="str">
        <f>IFERROR(VLOOKUP(A1526,CLIENTES!A:E,2,0),"CADASTRAR CLIENTE")</f>
        <v>ANDRIAO CANEPPA E SILVA LTDA ME</v>
      </c>
      <c r="C1526" s="54" t="s">
        <v>3</v>
      </c>
      <c r="D1526" s="54">
        <v>82306</v>
      </c>
      <c r="E1526" s="51"/>
      <c r="F1526" s="48"/>
      <c r="G1526" s="51">
        <v>1520</v>
      </c>
      <c r="H1526" s="52"/>
      <c r="I1526" s="53">
        <v>45699</v>
      </c>
    </row>
    <row r="1527" spans="1:9">
      <c r="A1527" s="47">
        <v>1026</v>
      </c>
      <c r="B1527" s="48" t="str">
        <f>IFERROR(VLOOKUP(A1527,CLIENTES!A:E,2,0),"CADASTRAR CLIENTE")</f>
        <v>LABSC SERVICOS LABORATORIAIS LTDA</v>
      </c>
      <c r="C1527" s="54" t="s">
        <v>3</v>
      </c>
      <c r="D1527" s="54">
        <v>82429</v>
      </c>
      <c r="E1527" s="51">
        <v>416.2</v>
      </c>
      <c r="F1527" s="48"/>
      <c r="G1527" s="51"/>
      <c r="H1527" s="52"/>
      <c r="I1527" s="53">
        <v>45699</v>
      </c>
    </row>
    <row r="1528" spans="1:9">
      <c r="A1528" s="47">
        <v>325</v>
      </c>
      <c r="B1528" s="48" t="str">
        <f>IFERROR(VLOOKUP(A1528,CLIENTES!A:E,2,0),"CADASTRAR CLIENTE")</f>
        <v>EXAME-LABORAT. DE ANAL. CLIN. CITODIAGNOSTICO S/S LTDA</v>
      </c>
      <c r="C1528" s="54" t="s">
        <v>3</v>
      </c>
      <c r="D1528" s="54">
        <v>82457</v>
      </c>
      <c r="E1528" s="51">
        <v>2194.19</v>
      </c>
      <c r="F1528" s="48"/>
      <c r="G1528" s="51"/>
      <c r="H1528" s="52"/>
      <c r="I1528" s="53">
        <v>45699</v>
      </c>
    </row>
    <row r="1529" spans="1:9">
      <c r="A1529" s="47">
        <v>50418</v>
      </c>
      <c r="B1529" s="48" t="str">
        <f>IFERROR(VLOOKUP(A1529,CLIENTES!A:E,2,0),"CADASTRAR CLIENTE")</f>
        <v>LABORATORIO SAO LUCAS DE BROTAS SS LTDA</v>
      </c>
      <c r="C1529" s="54" t="s">
        <v>3</v>
      </c>
      <c r="D1529" s="54">
        <v>82424</v>
      </c>
      <c r="E1529" s="51">
        <v>1438.64</v>
      </c>
      <c r="F1529" s="48"/>
      <c r="G1529" s="51"/>
      <c r="H1529" s="52"/>
      <c r="I1529" s="53">
        <v>45700</v>
      </c>
    </row>
    <row r="1530" spans="1:9">
      <c r="A1530" s="47">
        <v>311</v>
      </c>
      <c r="B1530" s="48" t="str">
        <f>IFERROR(VLOOKUP(A1530,CLIENTES!A:E,2,0),"CADASTRAR CLIENTE")</f>
        <v>CENTRO DE ANAL.CLIN. UNILAB  SC LTDA.</v>
      </c>
      <c r="C1530" s="54" t="s">
        <v>3</v>
      </c>
      <c r="D1530" s="54">
        <v>82375</v>
      </c>
      <c r="E1530" s="51">
        <v>2569</v>
      </c>
      <c r="F1530" s="48"/>
      <c r="G1530" s="51"/>
      <c r="H1530" s="52"/>
      <c r="I1530" s="53">
        <v>45700</v>
      </c>
    </row>
    <row r="1531" spans="1:9">
      <c r="A1531" s="47">
        <v>234</v>
      </c>
      <c r="B1531" s="48" t="str">
        <f>IFERROR(VLOOKUP(A1531,CLIENTES!A:E,2,0),"CADASTRAR CLIENTE")</f>
        <v>PLACIDO COMERCIO DE MATERIAIS CIRURGICOS E HOSPITALARES EIRELI ME</v>
      </c>
      <c r="C1531" s="54" t="s">
        <v>3</v>
      </c>
      <c r="D1531" s="54">
        <v>82045</v>
      </c>
      <c r="E1531" s="51">
        <v>448</v>
      </c>
      <c r="F1531" s="48"/>
      <c r="G1531" s="51"/>
      <c r="H1531" s="52"/>
      <c r="I1531" s="53">
        <v>45700</v>
      </c>
    </row>
    <row r="1532" spans="1:9">
      <c r="A1532" s="47">
        <v>3194</v>
      </c>
      <c r="B1532" s="48" t="str">
        <f>IFERROR(VLOOKUP(A1532,CLIENTES!A:E,2,0),"CADASTRAR CLIENTE")</f>
        <v>CENTRO DE DIAGNOSTICOS CONTROLE LTDA</v>
      </c>
      <c r="C1532" s="54" t="s">
        <v>3</v>
      </c>
      <c r="D1532" s="54">
        <v>82475</v>
      </c>
      <c r="E1532" s="51">
        <v>4751.5</v>
      </c>
      <c r="F1532" s="48"/>
      <c r="G1532" s="51"/>
      <c r="H1532" s="52"/>
      <c r="I1532" s="53">
        <v>45700</v>
      </c>
    </row>
    <row r="1533" spans="1:9">
      <c r="A1533" s="47">
        <v>50554</v>
      </c>
      <c r="B1533" s="48" t="str">
        <f>IFERROR(VLOOKUP(A1533,CLIENTES!A:E,2,0),"CADASTRAR CLIENTE")</f>
        <v>SAO ROQUE MEDICINA DIAGNOSTICA</v>
      </c>
      <c r="C1533" s="54" t="s">
        <v>3</v>
      </c>
      <c r="D1533" s="54">
        <v>82471</v>
      </c>
      <c r="E1533" s="51">
        <v>5421</v>
      </c>
      <c r="F1533" s="48"/>
      <c r="G1533" s="51"/>
      <c r="H1533" s="52"/>
      <c r="I1533" s="53">
        <v>45700</v>
      </c>
    </row>
    <row r="1534" spans="1:9">
      <c r="A1534" s="47">
        <v>575</v>
      </c>
      <c r="B1534" s="48" t="str">
        <f>IFERROR(VLOOKUP(A1534,CLIENTES!A:E,2,0),"CADASTRAR CLIENTE")</f>
        <v>DR MUNHOZ HOSPITAL VETERINARIO E PET SHOP</v>
      </c>
      <c r="C1534" s="54" t="s">
        <v>3</v>
      </c>
      <c r="D1534" s="54" t="s">
        <v>443</v>
      </c>
      <c r="E1534" s="51">
        <v>930.99</v>
      </c>
      <c r="F1534" s="48"/>
      <c r="G1534" s="51"/>
      <c r="H1534" s="52"/>
      <c r="I1534" s="53">
        <v>45700</v>
      </c>
    </row>
    <row r="1535" spans="1:9">
      <c r="A1535" s="47">
        <v>3077</v>
      </c>
      <c r="B1535" s="48" t="str">
        <f>IFERROR(VLOOKUP(A1535,CLIENTES!A:E,2,0),"CADASTRAR CLIENTE")</f>
        <v>CBI ANALISES CLINICAS S/S LTDA</v>
      </c>
      <c r="C1535" s="54" t="s">
        <v>3</v>
      </c>
      <c r="D1535" s="54">
        <v>82480</v>
      </c>
      <c r="E1535" s="51">
        <v>823.05</v>
      </c>
      <c r="F1535" s="48"/>
      <c r="G1535" s="51"/>
      <c r="H1535" s="52"/>
      <c r="I1535" s="53">
        <v>45700</v>
      </c>
    </row>
    <row r="1536" spans="1:9">
      <c r="A1536" s="47">
        <v>618</v>
      </c>
      <c r="B1536" s="48" t="str">
        <f>IFERROR(VLOOKUP(A1536,CLIENTES!A:E,2,0),"CADASTRAR CLIENTE")</f>
        <v>LAB. ANAL. CLIN. POMPEIA</v>
      </c>
      <c r="C1536" s="54" t="s">
        <v>3</v>
      </c>
      <c r="D1536" s="54">
        <v>82494</v>
      </c>
      <c r="E1536" s="51">
        <v>289</v>
      </c>
      <c r="F1536" s="48"/>
      <c r="G1536" s="51"/>
      <c r="H1536" s="52"/>
      <c r="I1536" s="53">
        <v>45700</v>
      </c>
    </row>
    <row r="1537" spans="1:9">
      <c r="A1537" s="47">
        <v>906</v>
      </c>
      <c r="B1537" s="48" t="str">
        <f>IFERROR(VLOOKUP(A1537,CLIENTES!A:E,2,0),"CADASTRAR CLIENTE")</f>
        <v>LABORATORIO ANAL. CLIN. DESCALVADO LTDA</v>
      </c>
      <c r="C1537" s="54" t="s">
        <v>3</v>
      </c>
      <c r="D1537" s="54" t="s">
        <v>444</v>
      </c>
      <c r="E1537" s="51">
        <v>2466.69</v>
      </c>
      <c r="F1537" s="48"/>
      <c r="G1537" s="51"/>
      <c r="H1537" s="52"/>
      <c r="I1537" s="53">
        <v>45700</v>
      </c>
    </row>
    <row r="1538" spans="1:9">
      <c r="A1538" s="47">
        <v>432</v>
      </c>
      <c r="B1538" s="48" t="str">
        <f>IFERROR(VLOOKUP(A1538,CLIENTES!A:E,2,0),"CADASTRAR CLIENTE")</f>
        <v>LABORATORIO PASTEUR HEMATOLOGIA E MICROBIOLOGIA S/S LTDA</v>
      </c>
      <c r="C1538" s="54" t="s">
        <v>3</v>
      </c>
      <c r="D1538" s="54">
        <v>82440</v>
      </c>
      <c r="E1538" s="51">
        <v>124.62</v>
      </c>
      <c r="F1538" s="48"/>
      <c r="G1538" s="51"/>
      <c r="H1538" s="52"/>
      <c r="I1538" s="53">
        <v>45700</v>
      </c>
    </row>
    <row r="1539" spans="1:9">
      <c r="A1539" s="47">
        <v>581</v>
      </c>
      <c r="B1539" s="48" t="str">
        <f>IFERROR(VLOOKUP(A1539,CLIENTES!A:E,2,0),"CADASTRAR CLIENTE")</f>
        <v>CLINILAB LABORAT. ANAL. CLIN SC LTDA</v>
      </c>
      <c r="C1539" s="54" t="s">
        <v>3</v>
      </c>
      <c r="D1539" s="54">
        <v>82403</v>
      </c>
      <c r="E1539" s="51">
        <v>934</v>
      </c>
      <c r="F1539" s="48"/>
      <c r="G1539" s="51"/>
      <c r="H1539" s="52"/>
      <c r="I1539" s="53">
        <v>45701</v>
      </c>
    </row>
    <row r="1540" spans="1:9">
      <c r="A1540" s="47">
        <v>1371</v>
      </c>
      <c r="B1540" s="48" t="str">
        <f>IFERROR(VLOOKUP(A1540,CLIENTES!A:E,2,0),"CADASTRAR CLIENTE")</f>
        <v>MICHELE LOPES BERGAMIM-ME</v>
      </c>
      <c r="C1540" s="54" t="s">
        <v>3</v>
      </c>
      <c r="D1540" s="54">
        <v>82517</v>
      </c>
      <c r="E1540" s="51">
        <v>1949.2</v>
      </c>
      <c r="F1540" s="48"/>
      <c r="G1540" s="51"/>
      <c r="H1540" s="52"/>
      <c r="I1540" s="53">
        <v>45701</v>
      </c>
    </row>
    <row r="1541" spans="1:9">
      <c r="A1541" s="47">
        <v>1971</v>
      </c>
      <c r="B1541" s="48" t="str">
        <f>IFERROR(VLOOKUP(A1541,CLIENTES!A:E,2,0),"CADASTRAR CLIENTE")</f>
        <v>LABORATORIO POPULAR LAB 7 LTDA</v>
      </c>
      <c r="C1541" s="54" t="s">
        <v>3</v>
      </c>
      <c r="D1541" s="54" t="s">
        <v>445</v>
      </c>
      <c r="E1541" s="51">
        <v>820.45</v>
      </c>
      <c r="F1541" s="48"/>
      <c r="G1541" s="51"/>
      <c r="H1541" s="52"/>
      <c r="I1541" s="53">
        <v>45701</v>
      </c>
    </row>
    <row r="1542" spans="1:9">
      <c r="A1542" s="47">
        <v>746</v>
      </c>
      <c r="B1542" s="48" t="str">
        <f>IFERROR(VLOOKUP(A1542,CLIENTES!A:E,2,0),"CADASTRAR CLIENTE")</f>
        <v>LAB.ANAL.CLIN.BIOCLIN SC LTDA.</v>
      </c>
      <c r="C1542" s="54" t="s">
        <v>328</v>
      </c>
      <c r="D1542" s="54" t="s">
        <v>446</v>
      </c>
      <c r="E1542" s="51">
        <v>5723.64</v>
      </c>
      <c r="F1542" s="48"/>
      <c r="G1542" s="51"/>
      <c r="H1542" s="52"/>
      <c r="I1542" s="53">
        <v>45701</v>
      </c>
    </row>
    <row r="1543" spans="1:9">
      <c r="A1543" s="47">
        <v>480</v>
      </c>
      <c r="B1543" s="48" t="str">
        <f>IFERROR(VLOOKUP(A1543,CLIENTES!A:E,2,0),"CADASTRAR CLIENTE")</f>
        <v>LAB SAO LUCAS</v>
      </c>
      <c r="C1543" s="54" t="s">
        <v>3</v>
      </c>
      <c r="D1543" s="54" t="s">
        <v>447</v>
      </c>
      <c r="E1543" s="51">
        <v>4033.5</v>
      </c>
      <c r="F1543" s="48"/>
      <c r="G1543" s="51"/>
      <c r="H1543" s="52"/>
      <c r="I1543" s="53">
        <v>45701</v>
      </c>
    </row>
    <row r="1544" spans="1:9">
      <c r="A1544" s="47">
        <v>50576</v>
      </c>
      <c r="B1544" s="48" t="str">
        <f>IFERROR(VLOOKUP(A1544,CLIENTES!A:E,2,0),"CADASTRAR CLIENTE")</f>
        <v>ANDRIAO CANEPPA E SILVA LTDA ME</v>
      </c>
      <c r="C1544" s="54" t="s">
        <v>3</v>
      </c>
      <c r="D1544" s="54" t="s">
        <v>449</v>
      </c>
      <c r="E1544" s="51">
        <v>1171.45</v>
      </c>
      <c r="F1544" s="48"/>
      <c r="G1544" s="51"/>
      <c r="H1544" s="52"/>
      <c r="I1544" s="53">
        <v>45701</v>
      </c>
    </row>
    <row r="1545" spans="1:9">
      <c r="A1545" s="47">
        <v>475</v>
      </c>
      <c r="B1545" s="48" t="str">
        <f>IFERROR(VLOOKUP(A1545,CLIENTES!A:E,2,0),"CADASTRAR CLIENTE")</f>
        <v>LABORATORIO DE ANALISES CLINICAS SRC LTDA</v>
      </c>
      <c r="C1545" s="54" t="s">
        <v>2</v>
      </c>
      <c r="D1545" s="54" t="s">
        <v>448</v>
      </c>
      <c r="E1545" s="51">
        <v>8213.98</v>
      </c>
      <c r="F1545" s="48"/>
      <c r="G1545" s="51"/>
      <c r="H1545" s="52"/>
      <c r="I1545" s="53">
        <v>45702</v>
      </c>
    </row>
    <row r="1546" spans="1:9">
      <c r="A1546" s="47">
        <v>784</v>
      </c>
      <c r="B1546" s="48" t="str">
        <f>IFERROR(VLOOKUP(A1546,CLIENTES!A:E,2,0),"CADASTRAR CLIENTE")</f>
        <v>LAB.ANAL.CLIN. ALBERT SABIN SC LTDA.</v>
      </c>
      <c r="C1546" s="54" t="s">
        <v>3</v>
      </c>
      <c r="D1546" s="54">
        <v>82581</v>
      </c>
      <c r="E1546" s="51">
        <v>8968.5</v>
      </c>
      <c r="F1546" s="48"/>
      <c r="G1546" s="51"/>
      <c r="H1546" s="52"/>
      <c r="I1546" s="53">
        <v>45702</v>
      </c>
    </row>
    <row r="1547" spans="1:9">
      <c r="A1547" s="47">
        <v>311</v>
      </c>
      <c r="B1547" s="48" t="str">
        <f>IFERROR(VLOOKUP(A1547,CLIENTES!A:E,2,0),"CADASTRAR CLIENTE")</f>
        <v>CENTRO DE ANAL.CLIN. UNILAB  SC LTDA.</v>
      </c>
      <c r="C1547" s="54" t="s">
        <v>3</v>
      </c>
      <c r="D1547" s="54">
        <v>82586</v>
      </c>
      <c r="E1547" s="51">
        <v>2519.06</v>
      </c>
      <c r="F1547" s="48"/>
      <c r="G1547" s="51"/>
      <c r="H1547" s="52"/>
      <c r="I1547" s="53">
        <v>45702</v>
      </c>
    </row>
    <row r="1548" spans="1:9">
      <c r="A1548" s="47">
        <v>2022</v>
      </c>
      <c r="B1548" s="48" t="str">
        <f>IFERROR(VLOOKUP(A1548,CLIENTES!A:E,2,0),"CADASTRAR CLIENTE")</f>
        <v>LAB. MEDICO DR. MARICONDI S/C LTDA.</v>
      </c>
      <c r="C1548" s="54" t="s">
        <v>3</v>
      </c>
      <c r="D1548" s="54">
        <v>82243</v>
      </c>
      <c r="E1548" s="51">
        <v>2458.36</v>
      </c>
      <c r="F1548" s="48"/>
      <c r="G1548" s="51"/>
      <c r="H1548" s="52"/>
      <c r="I1548" s="53">
        <v>45702</v>
      </c>
    </row>
    <row r="1549" spans="1:9">
      <c r="A1549" s="47">
        <v>620</v>
      </c>
      <c r="B1549" s="48" t="str">
        <f>IFERROR(VLOOKUP(A1549,CLIENTES!A:E,2,0),"CADASTRAR CLIENTE")</f>
        <v>LAB.SAO PAULO DE ANAL.CLIN.SC LTDA.</v>
      </c>
      <c r="C1549" s="54" t="s">
        <v>3</v>
      </c>
      <c r="D1549" s="54">
        <v>82607</v>
      </c>
      <c r="E1549" s="51">
        <v>1725.78</v>
      </c>
      <c r="F1549" s="48"/>
      <c r="G1549" s="51"/>
      <c r="H1549" s="52"/>
      <c r="I1549" s="53">
        <v>45702</v>
      </c>
    </row>
    <row r="1550" spans="1:9">
      <c r="A1550" s="47">
        <v>1533</v>
      </c>
      <c r="B1550" s="48" t="str">
        <f>IFERROR(VLOOKUP(A1550,CLIENTES!A:E,2,0),"CADASTRAR CLIENTE")</f>
        <v>LABORATORIO BIOANALISE DIAGNOSTICO LTDA</v>
      </c>
      <c r="C1550" s="54" t="s">
        <v>3</v>
      </c>
      <c r="D1550" s="54">
        <v>82608</v>
      </c>
      <c r="E1550" s="51">
        <v>1073.5</v>
      </c>
      <c r="F1550" s="48"/>
      <c r="G1550" s="51"/>
      <c r="H1550" s="52"/>
      <c r="I1550" s="53">
        <v>45702</v>
      </c>
    </row>
    <row r="1551" spans="1:9">
      <c r="A1551" s="47">
        <v>1206</v>
      </c>
      <c r="B1551" s="48" t="str">
        <f>IFERROR(VLOOKUP(A1551,CLIENTES!A:E,2,0),"CADASTRAR CLIENTE")</f>
        <v>LABORATORIO RIO NEGRO CENTER DE MARILIA  LTDA</v>
      </c>
      <c r="C1551" s="54" t="s">
        <v>328</v>
      </c>
      <c r="D1551" s="54">
        <v>82612</v>
      </c>
      <c r="E1551" s="51">
        <v>1002.33</v>
      </c>
      <c r="F1551" s="48"/>
      <c r="G1551" s="51"/>
      <c r="H1551" s="52"/>
      <c r="I1551" s="53">
        <v>45705</v>
      </c>
    </row>
    <row r="1552" spans="1:9">
      <c r="A1552" s="47">
        <v>50576</v>
      </c>
      <c r="B1552" s="48" t="str">
        <f>IFERROR(VLOOKUP(A1552,CLIENTES!A:E,2,0),"CADASTRAR CLIENTE")</f>
        <v>ANDRIAO CANEPPA E SILVA LTDA ME</v>
      </c>
      <c r="C1552" s="54" t="s">
        <v>3</v>
      </c>
      <c r="D1552" s="54">
        <v>82611</v>
      </c>
      <c r="E1552" s="51">
        <v>702</v>
      </c>
      <c r="F1552" s="48"/>
      <c r="G1552" s="51"/>
      <c r="H1552" s="52"/>
      <c r="I1552" s="53">
        <v>45705</v>
      </c>
    </row>
    <row r="1553" spans="1:9">
      <c r="A1553" s="47">
        <v>687</v>
      </c>
      <c r="B1553" s="48" t="str">
        <f>IFERROR(VLOOKUP(A1553,CLIENTES!A:E,2,0),"CADASTRAR CLIENTE")</f>
        <v>LAB ANAL CLIN VENDRAMINI S/S LTDA</v>
      </c>
      <c r="C1553" s="54" t="s">
        <v>3</v>
      </c>
      <c r="D1553" s="54">
        <v>82466</v>
      </c>
      <c r="E1553" s="51">
        <v>571.54999999999995</v>
      </c>
      <c r="F1553" s="48"/>
      <c r="G1553" s="51"/>
      <c r="H1553" s="52"/>
      <c r="I1553" s="53">
        <v>45705</v>
      </c>
    </row>
    <row r="1554" spans="1:9">
      <c r="A1554" s="47">
        <v>516</v>
      </c>
      <c r="B1554" s="48" t="str">
        <f>IFERROR(VLOOKUP(A1554,CLIENTES!A:E,2,0),"CADASTRAR CLIENTE")</f>
        <v>TECNOLAB PATOLOGIA CLINICA S/C LTDA</v>
      </c>
      <c r="C1554" s="54" t="s">
        <v>3</v>
      </c>
      <c r="D1554" s="54" t="s">
        <v>450</v>
      </c>
      <c r="E1554" s="51">
        <v>7579.3</v>
      </c>
      <c r="F1554" s="48"/>
      <c r="G1554" s="51"/>
      <c r="H1554" s="52"/>
      <c r="I1554" s="53">
        <v>45705</v>
      </c>
    </row>
    <row r="1555" spans="1:9">
      <c r="A1555" s="47">
        <v>1164</v>
      </c>
      <c r="B1555" s="48" t="str">
        <f>IFERROR(VLOOKUP(A1555,CLIENTES!A:E,2,0),"CADASTRAR CLIENTE")</f>
        <v>LAB. ANAL. CLIN. SAO LOURENCO S/C LTDA</v>
      </c>
      <c r="C1555" s="54" t="s">
        <v>3</v>
      </c>
      <c r="D1555" s="54" t="s">
        <v>451</v>
      </c>
      <c r="E1555" s="51">
        <v>977.97</v>
      </c>
      <c r="F1555" s="48"/>
      <c r="G1555" s="51"/>
      <c r="H1555" s="52"/>
      <c r="I1555" s="53">
        <v>45706</v>
      </c>
    </row>
    <row r="1556" spans="1:9">
      <c r="A1556" s="47">
        <v>50219</v>
      </c>
      <c r="B1556" s="48" t="str">
        <f>IFERROR(VLOOKUP(A1556,CLIENTES!A:E,2,0),"CADASTRAR CLIENTE")</f>
        <v>UNIPREV LAB DE ANALISES LOCACAO DE BENS E REPAROS LTDA EPP</v>
      </c>
      <c r="C1556" s="54" t="s">
        <v>3</v>
      </c>
      <c r="D1556" s="54">
        <v>82697</v>
      </c>
      <c r="E1556" s="51">
        <v>1225</v>
      </c>
      <c r="F1556" s="48"/>
      <c r="G1556" s="51"/>
      <c r="H1556" s="52"/>
      <c r="I1556" s="53">
        <v>45706</v>
      </c>
    </row>
    <row r="1557" spans="1:9">
      <c r="A1557" s="47">
        <v>516</v>
      </c>
      <c r="B1557" s="48" t="str">
        <f>IFERROR(VLOOKUP(A1557,CLIENTES!A:E,2,0),"CADASTRAR CLIENTE")</f>
        <v>TECNOLAB PATOLOGIA CLINICA S/C LTDA</v>
      </c>
      <c r="C1557" s="54" t="s">
        <v>2</v>
      </c>
      <c r="D1557" s="54">
        <v>82696</v>
      </c>
      <c r="E1557" s="51">
        <v>7733.08</v>
      </c>
      <c r="F1557" s="48"/>
      <c r="G1557" s="51"/>
      <c r="H1557" s="52"/>
      <c r="I1557" s="53">
        <v>45706</v>
      </c>
    </row>
    <row r="1558" spans="1:9">
      <c r="A1558" s="47">
        <v>50185</v>
      </c>
      <c r="B1558" s="48" t="str">
        <f>IFERROR(VLOOKUP(A1558,CLIENTES!A:E,2,0),"CADASTRAR CLIENTE")</f>
        <v>ANIMALAB SS LTDA</v>
      </c>
      <c r="C1558" s="54" t="s">
        <v>3</v>
      </c>
      <c r="D1558" s="54">
        <v>82693</v>
      </c>
      <c r="E1558" s="51">
        <v>238.2</v>
      </c>
      <c r="F1558" s="48"/>
      <c r="G1558" s="51"/>
      <c r="H1558" s="52"/>
      <c r="I1558" s="53">
        <v>45706</v>
      </c>
    </row>
    <row r="1559" spans="1:9">
      <c r="A1559" s="47">
        <v>1726</v>
      </c>
      <c r="B1559" s="48" t="str">
        <f>IFERROR(VLOOKUP(A1559,CLIENTES!A:E,2,0),"CADASTRAR CLIENTE")</f>
        <v>IRMANDADE DA SANTA CASA DE MISERIC. DE MOGI MIRIM</v>
      </c>
      <c r="C1559" s="54" t="s">
        <v>2</v>
      </c>
      <c r="D1559" s="54">
        <v>82700</v>
      </c>
      <c r="E1559" s="51">
        <v>390.7</v>
      </c>
      <c r="F1559" s="48"/>
      <c r="G1559" s="51"/>
      <c r="H1559" s="52"/>
      <c r="I1559" s="53">
        <v>45706</v>
      </c>
    </row>
    <row r="1560" spans="1:9">
      <c r="A1560" s="47">
        <v>906</v>
      </c>
      <c r="B1560" s="48" t="str">
        <f>IFERROR(VLOOKUP(A1560,CLIENTES!A:E,2,0),"CADASTRAR CLIENTE")</f>
        <v>LABORATORIO ANAL. CLIN. DESCALVADO LTDA</v>
      </c>
      <c r="C1560" s="54" t="s">
        <v>3</v>
      </c>
      <c r="D1560" s="54">
        <v>82709</v>
      </c>
      <c r="E1560" s="51">
        <v>1404</v>
      </c>
      <c r="F1560" s="48"/>
      <c r="G1560" s="51"/>
      <c r="H1560" s="52"/>
      <c r="I1560" s="53">
        <v>45706</v>
      </c>
    </row>
    <row r="1561" spans="1:9">
      <c r="A1561" s="47">
        <v>311</v>
      </c>
      <c r="B1561" s="48" t="str">
        <f>IFERROR(VLOOKUP(A1561,CLIENTES!A:E,2,0),"CADASTRAR CLIENTE")</f>
        <v>CENTRO DE ANAL.CLIN. UNILAB  SC LTDA.</v>
      </c>
      <c r="C1561" s="54" t="s">
        <v>3</v>
      </c>
      <c r="D1561" s="54" t="s">
        <v>452</v>
      </c>
      <c r="E1561" s="51">
        <v>3459.3</v>
      </c>
      <c r="F1561" s="48"/>
      <c r="G1561" s="51"/>
      <c r="H1561" s="52"/>
      <c r="I1561" s="53">
        <v>45706</v>
      </c>
    </row>
    <row r="1562" spans="1:9">
      <c r="A1562" s="47">
        <v>761</v>
      </c>
      <c r="B1562" s="48" t="str">
        <f>IFERROR(VLOOKUP(A1562,CLIENTES!A:E,2,0),"CADASTRAR CLIENTE")</f>
        <v>EXAME CENTRO DIAG.M.ARACATUBA SC LTDA.</v>
      </c>
      <c r="C1562" s="54" t="s">
        <v>3</v>
      </c>
      <c r="D1562" s="54" t="s">
        <v>453</v>
      </c>
      <c r="E1562" s="51">
        <v>304</v>
      </c>
      <c r="F1562" s="48"/>
      <c r="G1562" s="51"/>
      <c r="H1562" s="52"/>
      <c r="I1562" s="53">
        <v>45706</v>
      </c>
    </row>
    <row r="1563" spans="1:9">
      <c r="A1563" s="47">
        <v>2702</v>
      </c>
      <c r="B1563" s="48" t="str">
        <f>IFERROR(VLOOKUP(A1563,CLIENTES!A:E,2,0),"CADASTRAR CLIENTE")</f>
        <v>SANTA CASA DE MISER. DE TAQUARITUBA</v>
      </c>
      <c r="C1563" s="54" t="s">
        <v>3</v>
      </c>
      <c r="D1563" s="54">
        <v>81768</v>
      </c>
      <c r="E1563" s="51">
        <v>2173.38</v>
      </c>
      <c r="F1563" s="48"/>
      <c r="G1563" s="51"/>
      <c r="H1563" s="52"/>
      <c r="I1563" s="53">
        <v>45707</v>
      </c>
    </row>
    <row r="1564" spans="1:9">
      <c r="A1564" s="47">
        <v>705</v>
      </c>
      <c r="B1564" s="48" t="str">
        <f>IFERROR(VLOOKUP(A1564,CLIENTES!A:E,2,0),"CADASTRAR CLIENTE")</f>
        <v>JOAO JOSE SCHIAVUZZO ME</v>
      </c>
      <c r="C1564" s="54" t="s">
        <v>328</v>
      </c>
      <c r="D1564" s="54" t="s">
        <v>454</v>
      </c>
      <c r="E1564" s="51">
        <v>1406.1</v>
      </c>
      <c r="F1564" s="48"/>
      <c r="G1564" s="51"/>
      <c r="H1564" s="52"/>
      <c r="I1564" s="53">
        <v>45707</v>
      </c>
    </row>
    <row r="1565" spans="1:9">
      <c r="A1565" s="47">
        <v>3017</v>
      </c>
      <c r="B1565" s="48" t="str">
        <f>IFERROR(VLOOKUP(A1565,CLIENTES!A:E,2,0),"CADASTRAR CLIENTE")</f>
        <v>IMUNOLAB LABORATORIO DE ANALISES CLINICAS LTDA ME</v>
      </c>
      <c r="C1565" s="54" t="s">
        <v>3</v>
      </c>
      <c r="D1565" s="54">
        <v>82758</v>
      </c>
      <c r="E1565" s="51">
        <v>849.38</v>
      </c>
      <c r="F1565" s="48"/>
      <c r="G1565" s="51"/>
      <c r="H1565" s="52"/>
      <c r="I1565" s="53">
        <v>45707</v>
      </c>
    </row>
    <row r="1566" spans="1:9">
      <c r="A1566" s="47">
        <v>1493</v>
      </c>
      <c r="B1566" s="48" t="str">
        <f>IFERROR(VLOOKUP(A1566,CLIENTES!A:E,2,0),"CADASTRAR CLIENTE")</f>
        <v>CEDIMA  CENTRO DE DIAG MONTE AZUL ANAL CLIN E CIT</v>
      </c>
      <c r="C1566" s="54" t="s">
        <v>328</v>
      </c>
      <c r="D1566" s="54">
        <v>82762</v>
      </c>
      <c r="E1566" s="51">
        <v>1966.05</v>
      </c>
      <c r="F1566" s="48"/>
      <c r="G1566" s="51"/>
      <c r="H1566" s="52"/>
      <c r="I1566" s="53">
        <v>45707</v>
      </c>
    </row>
    <row r="1567" spans="1:9">
      <c r="A1567" s="47">
        <v>581</v>
      </c>
      <c r="B1567" s="48" t="str">
        <f>IFERROR(VLOOKUP(A1567,CLIENTES!A:E,2,0),"CADASTRAR CLIENTE")</f>
        <v>CLINILAB LABORAT. ANAL. CLIN SC LTDA</v>
      </c>
      <c r="C1567" s="54" t="s">
        <v>2</v>
      </c>
      <c r="D1567" s="54" t="s">
        <v>455</v>
      </c>
      <c r="E1567" s="51">
        <v>565.35</v>
      </c>
      <c r="F1567" s="48"/>
      <c r="G1567" s="51"/>
      <c r="H1567" s="52"/>
      <c r="I1567" s="53">
        <v>45707</v>
      </c>
    </row>
    <row r="1568" spans="1:9">
      <c r="A1568" s="47">
        <v>1616</v>
      </c>
      <c r="B1568" s="48" t="str">
        <f>IFERROR(VLOOKUP(A1568,CLIENTES!A:E,2,0),"CADASTRAR CLIENTE")</f>
        <v>NOVO HORIZONTE LAB.ANAL.CLIN.S/C LTDA.</v>
      </c>
      <c r="C1568" s="54" t="s">
        <v>3</v>
      </c>
      <c r="D1568" s="54">
        <v>82775</v>
      </c>
      <c r="E1568" s="51">
        <v>854.2</v>
      </c>
      <c r="F1568" s="48"/>
      <c r="G1568" s="51"/>
      <c r="H1568" s="52"/>
      <c r="I1568" s="53">
        <v>45708</v>
      </c>
    </row>
    <row r="1569" spans="1:9">
      <c r="A1569" s="47">
        <v>1240</v>
      </c>
      <c r="B1569" s="48" t="str">
        <f>IFERROR(VLOOKUP(A1569,CLIENTES!A:E,2,0),"CADASTRAR CLIENTE")</f>
        <v>MONICA VIEIRA DE CAMPOS REBELO-ME</v>
      </c>
      <c r="C1569" s="54" t="s">
        <v>3</v>
      </c>
      <c r="D1569" s="54">
        <v>82801</v>
      </c>
      <c r="E1569" s="51">
        <v>2216.35</v>
      </c>
      <c r="F1569" s="48"/>
      <c r="G1569" s="51"/>
      <c r="H1569" s="52"/>
      <c r="I1569" s="53">
        <v>45708</v>
      </c>
    </row>
    <row r="1570" spans="1:9">
      <c r="A1570" s="47">
        <v>708</v>
      </c>
      <c r="B1570" s="48" t="str">
        <f>IFERROR(VLOOKUP(A1570,CLIENTES!A:E,2,0),"CADASTRAR CLIENTE")</f>
        <v>IMEDI INST.MEDICO DE PAT.E DIAGNOSTICO SC LTDA.</v>
      </c>
      <c r="C1570" s="54" t="s">
        <v>3</v>
      </c>
      <c r="D1570" s="54" t="s">
        <v>456</v>
      </c>
      <c r="E1570" s="51">
        <v>2168.0300000000002</v>
      </c>
      <c r="F1570" s="48"/>
      <c r="G1570" s="51"/>
      <c r="H1570" s="52"/>
      <c r="I1570" s="53">
        <v>45708</v>
      </c>
    </row>
    <row r="1571" spans="1:9">
      <c r="A1571" s="47">
        <v>762</v>
      </c>
      <c r="B1571" s="48" t="str">
        <f>IFERROR(VLOOKUP(A1571,CLIENTES!A:E,2,0),"CADASTRAR CLIENTE")</f>
        <v>STA. CASA MISERICORDIA DE ARACATUBA</v>
      </c>
      <c r="C1571" s="54" t="s">
        <v>3</v>
      </c>
      <c r="D1571" s="54">
        <v>82025</v>
      </c>
      <c r="E1571" s="51">
        <v>3904.6</v>
      </c>
      <c r="F1571" s="48"/>
      <c r="G1571" s="51"/>
      <c r="H1571" s="52"/>
      <c r="I1571" s="53">
        <v>45708</v>
      </c>
    </row>
    <row r="1572" spans="1:9">
      <c r="A1572" s="47">
        <v>784</v>
      </c>
      <c r="B1572" s="48" t="str">
        <f>IFERROR(VLOOKUP(A1572,CLIENTES!A:E,2,0),"CADASTRAR CLIENTE")</f>
        <v>LAB.ANAL.CLIN. ALBERT SABIN SC LTDA.</v>
      </c>
      <c r="C1572" s="54" t="s">
        <v>3</v>
      </c>
      <c r="D1572" s="54">
        <v>82820</v>
      </c>
      <c r="E1572" s="51">
        <v>1488</v>
      </c>
      <c r="F1572" s="48"/>
      <c r="G1572" s="51"/>
      <c r="H1572" s="52"/>
      <c r="I1572" s="53">
        <v>45708</v>
      </c>
    </row>
    <row r="1573" spans="1:9">
      <c r="A1573" s="47">
        <v>1122</v>
      </c>
      <c r="B1573" s="48" t="str">
        <f>IFERROR(VLOOKUP(A1573,CLIENTES!A:E,2,0),"CADASTRAR CLIENTE")</f>
        <v>FUNDEPAG</v>
      </c>
      <c r="C1573" s="54" t="s">
        <v>3</v>
      </c>
      <c r="D1573" s="54">
        <v>82825</v>
      </c>
      <c r="E1573" s="51">
        <v>4724.7</v>
      </c>
      <c r="F1573" s="48"/>
      <c r="G1573" s="51" t="s">
        <v>327</v>
      </c>
      <c r="H1573" s="52"/>
      <c r="I1573" s="53">
        <v>45709</v>
      </c>
    </row>
    <row r="1574" spans="1:9">
      <c r="A1574" s="47">
        <v>980</v>
      </c>
      <c r="B1574" s="48" t="str">
        <f>IFERROR(VLOOKUP(A1574,CLIENTES!A:E,2,0),"CADASTRAR CLIENTE")</f>
        <v>LAB. GUARARAPES  ANAL. CLIN. SC LTDA</v>
      </c>
      <c r="C1574" s="54" t="s">
        <v>3</v>
      </c>
      <c r="D1574" s="54" t="s">
        <v>457</v>
      </c>
      <c r="E1574" s="51">
        <v>787.3</v>
      </c>
      <c r="F1574" s="48"/>
      <c r="G1574" s="51"/>
      <c r="H1574" s="52"/>
      <c r="I1574" s="53">
        <v>45709</v>
      </c>
    </row>
    <row r="1575" spans="1:9">
      <c r="A1575" s="47">
        <v>823</v>
      </c>
      <c r="B1575" s="48" t="str">
        <f>IFERROR(VLOOKUP(A1575,CLIENTES!A:E,2,0),"CADASTRAR CLIENTE")</f>
        <v>SANCHES x SANCHES S/C LTDA</v>
      </c>
      <c r="C1575" s="54" t="s">
        <v>3</v>
      </c>
      <c r="D1575" s="54">
        <v>82025</v>
      </c>
      <c r="E1575" s="51">
        <v>7177.7</v>
      </c>
      <c r="F1575" s="48"/>
      <c r="G1575" s="51"/>
      <c r="H1575" s="52"/>
      <c r="I1575" s="53">
        <v>45709</v>
      </c>
    </row>
    <row r="1576" spans="1:9">
      <c r="A1576" s="47">
        <v>2022</v>
      </c>
      <c r="B1576" s="48" t="str">
        <f>IFERROR(VLOOKUP(A1576,CLIENTES!A:E,2,0),"CADASTRAR CLIENTE")</f>
        <v>LAB. MEDICO DR. MARICONDI S/C LTDA.</v>
      </c>
      <c r="C1576" s="54" t="s">
        <v>3</v>
      </c>
      <c r="D1576" s="54"/>
      <c r="E1576" s="51">
        <v>404</v>
      </c>
      <c r="F1576" s="48"/>
      <c r="G1576" s="51"/>
      <c r="H1576" s="52"/>
      <c r="I1576" s="53">
        <v>45709</v>
      </c>
    </row>
    <row r="1577" spans="1:9">
      <c r="A1577" s="47">
        <v>475</v>
      </c>
      <c r="B1577" s="48" t="str">
        <f>IFERROR(VLOOKUP(A1577,CLIENTES!A:E,2,0),"CADASTRAR CLIENTE")</f>
        <v>LABORATORIO DE ANALISES CLINICAS SRC LTDA</v>
      </c>
      <c r="C1577" s="54" t="s">
        <v>2</v>
      </c>
      <c r="D1577" s="54" t="s">
        <v>458</v>
      </c>
      <c r="E1577" s="51">
        <v>23529.9</v>
      </c>
      <c r="F1577" s="48"/>
      <c r="G1577" s="51"/>
      <c r="H1577" s="52"/>
      <c r="I1577" s="53">
        <v>45712</v>
      </c>
    </row>
    <row r="1578" spans="1:9">
      <c r="A1578" s="47">
        <v>690</v>
      </c>
      <c r="B1578" s="48" t="str">
        <f>IFERROR(VLOOKUP(A1578,CLIENTES!A:E,2,0),"CADASTRAR CLIENTE")</f>
        <v>SAO ROQUE MEDICINA DIAGNOSTICA LTDA EPP</v>
      </c>
      <c r="C1578" s="54" t="s">
        <v>3</v>
      </c>
      <c r="D1578" s="54">
        <v>100432</v>
      </c>
      <c r="E1578" s="51">
        <v>34.799999999999997</v>
      </c>
      <c r="F1578" s="48"/>
      <c r="G1578" s="51"/>
      <c r="H1578" s="52"/>
      <c r="I1578" s="53">
        <v>45712</v>
      </c>
    </row>
    <row r="1579" spans="1:9">
      <c r="A1579" s="47">
        <v>1206</v>
      </c>
      <c r="B1579" s="48" t="str">
        <f>IFERROR(VLOOKUP(A1579,CLIENTES!A:E,2,0),"CADASTRAR CLIENTE")</f>
        <v>LABORATORIO RIO NEGRO CENTER DE MARILIA  LTDA</v>
      </c>
      <c r="C1579" s="54" t="s">
        <v>3</v>
      </c>
      <c r="D1579" s="54">
        <v>82887</v>
      </c>
      <c r="E1579" s="51">
        <v>929.01</v>
      </c>
      <c r="F1579" s="48"/>
      <c r="G1579" s="51"/>
      <c r="H1579" s="52"/>
      <c r="I1579" s="53">
        <v>45712</v>
      </c>
    </row>
    <row r="1580" spans="1:9">
      <c r="A1580" s="47">
        <v>2163</v>
      </c>
      <c r="B1580" s="48" t="str">
        <f>IFERROR(VLOOKUP(A1580,CLIENTES!A:E,2,0),"CADASTRAR CLIENTE")</f>
        <v>BIO-LAB SAO JUDAS TADEU S/C LTDA - ME</v>
      </c>
      <c r="C1580" s="54" t="s">
        <v>3</v>
      </c>
      <c r="D1580" s="54">
        <v>82890</v>
      </c>
      <c r="E1580" s="51">
        <v>486.9</v>
      </c>
      <c r="F1580" s="48"/>
      <c r="G1580" s="51"/>
      <c r="H1580" s="52"/>
      <c r="I1580" s="53">
        <v>45712</v>
      </c>
    </row>
    <row r="1581" spans="1:9">
      <c r="A1581" s="47">
        <v>1813</v>
      </c>
      <c r="B1581" s="48" t="str">
        <f>IFERROR(VLOOKUP(A1581,CLIENTES!A:E,2,0),"CADASTRAR CLIENTE")</f>
        <v>BIOMED LAB.ANAL.CLIN. SC  LTDA</v>
      </c>
      <c r="C1581" s="54" t="s">
        <v>3</v>
      </c>
      <c r="D1581" s="54">
        <v>82893</v>
      </c>
      <c r="E1581" s="51">
        <v>915</v>
      </c>
      <c r="F1581" s="48"/>
      <c r="G1581" s="51"/>
      <c r="H1581" s="52"/>
      <c r="I1581" s="53">
        <v>45712</v>
      </c>
    </row>
    <row r="1582" spans="1:9">
      <c r="A1582" s="47">
        <v>1842</v>
      </c>
      <c r="B1582" s="48" t="str">
        <f>IFERROR(VLOOKUP(A1582,CLIENTES!A:E,2,0),"CADASTRAR CLIENTE")</f>
        <v>LABORATORIO UNILABVET EIRELI</v>
      </c>
      <c r="C1582" s="54" t="s">
        <v>3</v>
      </c>
      <c r="D1582" s="54">
        <v>82900</v>
      </c>
      <c r="E1582" s="51">
        <v>136</v>
      </c>
      <c r="F1582" s="48"/>
      <c r="G1582" s="51"/>
      <c r="H1582" s="52"/>
      <c r="I1582" s="53">
        <v>45712</v>
      </c>
    </row>
    <row r="1583" spans="1:9">
      <c r="A1583" s="47">
        <v>822</v>
      </c>
      <c r="B1583" s="48" t="str">
        <f>IFERROR(VLOOKUP(A1583,CLIENTES!A:E,2,0),"CADASTRAR CLIENTE")</f>
        <v>SAO LUCAS LABORATORIO ANAL. CLIN. S/C LTDA</v>
      </c>
      <c r="C1583" s="54" t="s">
        <v>3</v>
      </c>
      <c r="D1583" s="54" t="s">
        <v>459</v>
      </c>
      <c r="E1583" s="51">
        <v>4095.15</v>
      </c>
      <c r="F1583" s="48"/>
      <c r="G1583" s="51"/>
      <c r="H1583" s="52"/>
      <c r="I1583" s="53">
        <v>45712</v>
      </c>
    </row>
    <row r="1584" spans="1:9">
      <c r="A1584" s="47">
        <v>463</v>
      </c>
      <c r="B1584" s="48" t="str">
        <f>IFERROR(VLOOKUP(A1584,CLIENTES!A:E,2,0),"CADASTRAR CLIENTE")</f>
        <v>MASUDA &amp; MASUDA LABORATORIO CLINICO LTDA</v>
      </c>
      <c r="C1584" s="54" t="s">
        <v>3</v>
      </c>
      <c r="D1584" s="54">
        <v>82909</v>
      </c>
      <c r="E1584" s="51">
        <v>2177.7800000000002</v>
      </c>
      <c r="F1584" s="48"/>
      <c r="G1584" s="51"/>
      <c r="H1584" s="52"/>
      <c r="I1584" s="53">
        <v>45713</v>
      </c>
    </row>
    <row r="1585" spans="1:9">
      <c r="A1585" s="47">
        <v>50554</v>
      </c>
      <c r="B1585" s="48" t="str">
        <f>IFERROR(VLOOKUP(A1585,CLIENTES!A:E,2,0),"CADASTRAR CLIENTE")</f>
        <v>SAO ROQUE MEDICINA DIAGNOSTICA</v>
      </c>
      <c r="C1585" s="54" t="s">
        <v>3</v>
      </c>
      <c r="D1585" s="54">
        <v>82920</v>
      </c>
      <c r="E1585" s="51"/>
      <c r="F1585" s="48"/>
      <c r="G1585" s="51">
        <v>1695</v>
      </c>
      <c r="H1585" s="52"/>
      <c r="I1585" s="53">
        <v>45713</v>
      </c>
    </row>
    <row r="1586" spans="1:9">
      <c r="A1586" s="47">
        <v>1813</v>
      </c>
      <c r="B1586" s="48" t="str">
        <f>IFERROR(VLOOKUP(A1586,CLIENTES!A:E,2,0),"CADASTRAR CLIENTE")</f>
        <v>BIOMED LAB.ANAL.CLIN. SC  LTDA</v>
      </c>
      <c r="C1586" s="54" t="s">
        <v>3</v>
      </c>
      <c r="D1586" s="54">
        <v>82912</v>
      </c>
      <c r="E1586" s="51">
        <v>274.39999999999998</v>
      </c>
      <c r="F1586" s="48"/>
      <c r="G1586" s="51"/>
      <c r="H1586" s="52"/>
      <c r="I1586" s="53">
        <v>45713</v>
      </c>
    </row>
    <row r="1587" spans="1:9">
      <c r="A1587" s="47">
        <v>50554</v>
      </c>
      <c r="B1587" s="48" t="str">
        <f>IFERROR(VLOOKUP(A1587,CLIENTES!A:E,2,0),"CADASTRAR CLIENTE")</f>
        <v>SAO ROQUE MEDICINA DIAGNOSTICA</v>
      </c>
      <c r="C1587" s="54" t="s">
        <v>3</v>
      </c>
      <c r="D1587" s="54">
        <v>82946</v>
      </c>
      <c r="E1587" s="51">
        <v>104</v>
      </c>
      <c r="F1587" s="48"/>
      <c r="G1587" s="51"/>
      <c r="H1587" s="52"/>
      <c r="I1587" s="53">
        <v>45713</v>
      </c>
    </row>
    <row r="1588" spans="1:9">
      <c r="A1588" s="47">
        <v>516</v>
      </c>
      <c r="B1588" s="48" t="str">
        <f>IFERROR(VLOOKUP(A1588,CLIENTES!A:E,2,0),"CADASTRAR CLIENTE")</f>
        <v>TECNOLAB PATOLOGIA CLINICA S/C LTDA</v>
      </c>
      <c r="C1588" s="54" t="s">
        <v>3</v>
      </c>
      <c r="D1588" s="54">
        <v>82947</v>
      </c>
      <c r="E1588" s="51">
        <v>1838.5</v>
      </c>
      <c r="F1588" s="48"/>
      <c r="G1588" s="51"/>
      <c r="H1588" s="52"/>
      <c r="I1588" s="53">
        <v>45713</v>
      </c>
    </row>
    <row r="1589" spans="1:9">
      <c r="A1589" s="47">
        <v>1989</v>
      </c>
      <c r="B1589" s="48" t="str">
        <f>IFERROR(VLOOKUP(A1589,CLIENTES!A:E,2,0),"CADASTRAR CLIENTE")</f>
        <v>SAO FRANCISCO ANAL. CLIN.</v>
      </c>
      <c r="C1589" s="54" t="s">
        <v>3</v>
      </c>
      <c r="D1589" s="54">
        <v>82302</v>
      </c>
      <c r="E1589" s="51">
        <v>606.13</v>
      </c>
      <c r="F1589" s="48"/>
      <c r="G1589" s="51"/>
      <c r="H1589" s="52"/>
      <c r="I1589" s="53">
        <v>45713</v>
      </c>
    </row>
    <row r="1590" spans="1:9">
      <c r="A1590" s="47">
        <v>50554</v>
      </c>
      <c r="B1590" s="48" t="str">
        <f>IFERROR(VLOOKUP(A1590,CLIENTES!A:E,2,0),"CADASTRAR CLIENTE")</f>
        <v>SAO ROQUE MEDICINA DIAGNOSTICA</v>
      </c>
      <c r="C1590" s="54" t="s">
        <v>3</v>
      </c>
      <c r="D1590" s="54">
        <v>82303</v>
      </c>
      <c r="E1590" s="51">
        <v>189</v>
      </c>
      <c r="F1590" s="48"/>
      <c r="G1590" s="51"/>
      <c r="H1590" s="52"/>
      <c r="I1590" s="53">
        <v>45713</v>
      </c>
    </row>
    <row r="1591" spans="1:9">
      <c r="A1591" s="47">
        <v>690</v>
      </c>
      <c r="B1591" s="48" t="str">
        <f>IFERROR(VLOOKUP(A1591,CLIENTES!A:E,2,0),"CADASTRAR CLIENTE")</f>
        <v>SAO ROQUE MEDICINA DIAGNOSTICA LTDA EPP</v>
      </c>
      <c r="C1591" s="54" t="s">
        <v>3</v>
      </c>
      <c r="D1591" s="54">
        <v>82294</v>
      </c>
      <c r="E1591" s="51">
        <v>189</v>
      </c>
      <c r="F1591" s="48"/>
      <c r="G1591" s="51"/>
      <c r="H1591" s="52"/>
      <c r="I1591" s="53">
        <v>45713</v>
      </c>
    </row>
    <row r="1592" spans="1:9">
      <c r="A1592" s="47">
        <v>2415</v>
      </c>
      <c r="B1592" s="48" t="str">
        <f>IFERROR(VLOOKUP(A1592,CLIENTES!A:E,2,0),"CADASTRAR CLIENTE")</f>
        <v>ROSSETTO E BARROS LABORATORIO DE ANALISES CLINICAS LTDA</v>
      </c>
      <c r="C1592" s="54" t="s">
        <v>3</v>
      </c>
      <c r="D1592" s="54">
        <v>82959</v>
      </c>
      <c r="E1592" s="51">
        <v>1487.44</v>
      </c>
      <c r="F1592" s="48"/>
      <c r="G1592" s="51"/>
      <c r="H1592" s="52"/>
      <c r="I1592" s="53">
        <v>45713</v>
      </c>
    </row>
    <row r="1593" spans="1:9">
      <c r="A1593" s="47">
        <v>500481</v>
      </c>
      <c r="B1593" s="48" t="str">
        <f>IFERROR(VLOOKUP(A1593,CLIENTES!A:E,2,0),"CADASTRAR CLIENTE")</f>
        <v>OBERON CENTRO VETERINARIO LTDA</v>
      </c>
      <c r="C1593" s="54" t="s">
        <v>3</v>
      </c>
      <c r="D1593" s="54">
        <v>82969</v>
      </c>
      <c r="E1593" s="51">
        <v>980.7</v>
      </c>
      <c r="F1593" s="48"/>
      <c r="G1593" s="51"/>
      <c r="H1593" s="52"/>
      <c r="I1593" s="53">
        <v>45713</v>
      </c>
    </row>
    <row r="1594" spans="1:9">
      <c r="A1594" s="47">
        <v>1533</v>
      </c>
      <c r="B1594" s="48" t="str">
        <f>IFERROR(VLOOKUP(A1594,CLIENTES!A:E,2,0),"CADASTRAR CLIENTE")</f>
        <v>LABORATORIO BIOANALISE DIAGNOSTICO LTDA</v>
      </c>
      <c r="C1594" s="54" t="s">
        <v>3</v>
      </c>
      <c r="D1594" s="54">
        <v>82977</v>
      </c>
      <c r="E1594" s="51">
        <v>1054.25</v>
      </c>
      <c r="F1594" s="48"/>
      <c r="G1594" s="51"/>
      <c r="H1594" s="52"/>
      <c r="I1594" s="53">
        <v>45714</v>
      </c>
    </row>
    <row r="1595" spans="1:9">
      <c r="A1595" s="47">
        <v>3194</v>
      </c>
      <c r="B1595" s="48" t="str">
        <f>IFERROR(VLOOKUP(A1595,CLIENTES!A:E,2,0),"CADASTRAR CLIENTE")</f>
        <v>CENTRO DE DIAGNOSTICOS CONTROLE LTDA</v>
      </c>
      <c r="C1595" s="54" t="s">
        <v>3</v>
      </c>
      <c r="D1595" s="54">
        <v>82986</v>
      </c>
      <c r="E1595" s="51">
        <v>360</v>
      </c>
      <c r="F1595" s="48"/>
      <c r="G1595" s="51"/>
      <c r="H1595" s="52"/>
      <c r="I1595" s="53">
        <v>45714</v>
      </c>
    </row>
    <row r="1596" spans="1:9">
      <c r="A1596" s="47">
        <v>475</v>
      </c>
      <c r="B1596" s="48" t="str">
        <f>IFERROR(VLOOKUP(A1596,CLIENTES!A:E,2,0),"CADASTRAR CLIENTE")</f>
        <v>LABORATORIO DE ANALISES CLINICAS SRC LTDA</v>
      </c>
      <c r="C1596" s="54" t="s">
        <v>2</v>
      </c>
      <c r="D1596" s="54">
        <v>82988</v>
      </c>
      <c r="E1596" s="51">
        <v>9300</v>
      </c>
      <c r="F1596" s="48"/>
      <c r="G1596" s="51"/>
      <c r="H1596" s="52"/>
      <c r="I1596" s="53">
        <v>45714</v>
      </c>
    </row>
    <row r="1597" spans="1:9">
      <c r="A1597" s="47">
        <v>705</v>
      </c>
      <c r="B1597" s="48" t="str">
        <f>IFERROR(VLOOKUP(A1597,CLIENTES!A:E,2,0),"CADASTRAR CLIENTE")</f>
        <v>JOAO JOSE SCHIAVUZZO ME</v>
      </c>
      <c r="C1597" s="54" t="s">
        <v>328</v>
      </c>
      <c r="D1597" s="54">
        <v>82850</v>
      </c>
      <c r="E1597" s="51">
        <v>420.2</v>
      </c>
      <c r="F1597" s="48"/>
      <c r="G1597" s="51"/>
      <c r="H1597" s="52"/>
      <c r="I1597" s="53">
        <v>45714</v>
      </c>
    </row>
    <row r="1598" spans="1:9">
      <c r="A1598" s="47">
        <v>50576</v>
      </c>
      <c r="B1598" s="48" t="str">
        <f>IFERROR(VLOOKUP(A1598,CLIENTES!A:E,2,0),"CADASTRAR CLIENTE")</f>
        <v>ANDRIAO CANEPPA E SILVA LTDA ME</v>
      </c>
      <c r="C1598" s="54" t="s">
        <v>3</v>
      </c>
      <c r="D1598" s="54">
        <v>82982</v>
      </c>
      <c r="E1598" s="51">
        <v>2509.9</v>
      </c>
      <c r="F1598" s="48"/>
      <c r="G1598" s="51"/>
      <c r="H1598" s="52"/>
      <c r="I1598" s="53">
        <v>45714</v>
      </c>
    </row>
    <row r="1599" spans="1:9">
      <c r="A1599" s="47">
        <v>1206</v>
      </c>
      <c r="B1599" s="48" t="str">
        <f>IFERROR(VLOOKUP(A1599,CLIENTES!A:E,2,0),"CADASTRAR CLIENTE")</f>
        <v>LABORATORIO RIO NEGRO CENTER DE MARILIA  LTDA</v>
      </c>
      <c r="C1599" s="54" t="s">
        <v>3</v>
      </c>
      <c r="D1599" s="54">
        <v>82999</v>
      </c>
      <c r="E1599" s="51">
        <v>929.01</v>
      </c>
      <c r="F1599" s="48"/>
      <c r="G1599" s="51"/>
      <c r="H1599" s="52"/>
      <c r="I1599" s="53">
        <v>45714</v>
      </c>
    </row>
    <row r="1600" spans="1:9">
      <c r="A1600" s="47">
        <v>480</v>
      </c>
      <c r="B1600" s="48" t="str">
        <f>IFERROR(VLOOKUP(A1600,CLIENTES!A:E,2,0),"CADASTRAR CLIENTE")</f>
        <v>LAB SAO LUCAS</v>
      </c>
      <c r="C1600" s="54" t="s">
        <v>3</v>
      </c>
      <c r="D1600" s="54">
        <v>83009</v>
      </c>
      <c r="E1600" s="51">
        <v>3420.7</v>
      </c>
      <c r="F1600" s="48"/>
      <c r="G1600" s="51"/>
      <c r="H1600" s="52"/>
      <c r="I1600" s="53">
        <v>45714</v>
      </c>
    </row>
    <row r="1601" spans="1:9">
      <c r="A1601" s="47">
        <v>2702</v>
      </c>
      <c r="B1601" s="48" t="str">
        <f>IFERROR(VLOOKUP(A1601,CLIENTES!A:E,2,0),"CADASTRAR CLIENTE")</f>
        <v>SANTA CASA DE MISER. DE TAQUARITUBA</v>
      </c>
      <c r="C1601" s="54" t="s">
        <v>3</v>
      </c>
      <c r="D1601" s="54">
        <v>82995</v>
      </c>
      <c r="E1601" s="51">
        <v>480</v>
      </c>
      <c r="F1601" s="48"/>
      <c r="G1601" s="51"/>
      <c r="H1601" s="52"/>
      <c r="I1601" s="53">
        <v>45714</v>
      </c>
    </row>
    <row r="1602" spans="1:9">
      <c r="A1602" s="47">
        <v>480</v>
      </c>
      <c r="B1602" s="48" t="str">
        <f>IFERROR(VLOOKUP(A1602,CLIENTES!A:E,2,0),"CADASTRAR CLIENTE")</f>
        <v>LAB SAO LUCAS</v>
      </c>
      <c r="C1602" s="54" t="s">
        <v>3</v>
      </c>
      <c r="D1602" s="54">
        <v>83009</v>
      </c>
      <c r="E1602" s="51">
        <v>3615.7</v>
      </c>
      <c r="F1602" s="48"/>
      <c r="G1602" s="51"/>
      <c r="H1602" s="52"/>
      <c r="I1602" s="53">
        <v>45714</v>
      </c>
    </row>
    <row r="1603" spans="1:9">
      <c r="A1603" s="47">
        <v>3017</v>
      </c>
      <c r="B1603" s="48" t="str">
        <f>IFERROR(VLOOKUP(A1603,CLIENTES!A:E,2,0),"CADASTRAR CLIENTE")</f>
        <v>IMUNOLAB LABORATORIO DE ANALISES CLINICAS LTDA ME</v>
      </c>
      <c r="C1603" s="54" t="s">
        <v>3</v>
      </c>
      <c r="D1603" s="54">
        <v>82990</v>
      </c>
      <c r="E1603" s="51">
        <v>1111.8800000000001</v>
      </c>
      <c r="F1603" s="48"/>
      <c r="G1603" s="51"/>
      <c r="H1603" s="52"/>
      <c r="I1603" s="53">
        <v>45714</v>
      </c>
    </row>
    <row r="1604" spans="1:9">
      <c r="A1604" s="47">
        <v>311</v>
      </c>
      <c r="B1604" s="48" t="str">
        <f>IFERROR(VLOOKUP(A1604,CLIENTES!A:E,2,0),"CADASTRAR CLIENTE")</f>
        <v>CENTRO DE ANAL.CLIN. UNILAB  SC LTDA.</v>
      </c>
      <c r="C1604" s="54" t="s">
        <v>3</v>
      </c>
      <c r="D1604" s="54">
        <v>83017</v>
      </c>
      <c r="E1604" s="51">
        <v>2176.5</v>
      </c>
      <c r="F1604" s="48"/>
      <c r="G1604" s="51"/>
      <c r="H1604" s="52"/>
      <c r="I1604" s="53">
        <v>45714</v>
      </c>
    </row>
    <row r="1605" spans="1:9">
      <c r="A1605" s="47">
        <v>762</v>
      </c>
      <c r="B1605" s="48" t="str">
        <f>IFERROR(VLOOKUP(A1605,CLIENTES!A:E,2,0),"CADASTRAR CLIENTE")</f>
        <v>STA. CASA MISERICORDIA DE ARACATUBA</v>
      </c>
      <c r="C1605" s="54" t="s">
        <v>2</v>
      </c>
      <c r="D1605" s="54">
        <v>83019</v>
      </c>
      <c r="E1605" s="51">
        <v>3396.1</v>
      </c>
      <c r="F1605" s="48"/>
      <c r="G1605" s="51"/>
      <c r="H1605" s="52"/>
      <c r="I1605" s="53">
        <v>45714</v>
      </c>
    </row>
    <row r="1606" spans="1:9">
      <c r="A1606" s="47">
        <v>2022</v>
      </c>
      <c r="B1606" s="48" t="str">
        <f>IFERROR(VLOOKUP(A1606,CLIENTES!A:E,2,0),"CADASTRAR CLIENTE")</f>
        <v>LAB. MEDICO DR. MARICONDI S/C LTDA.</v>
      </c>
      <c r="C1606" s="54" t="s">
        <v>3</v>
      </c>
      <c r="D1606" s="54">
        <v>83034</v>
      </c>
      <c r="E1606" s="51">
        <v>397.82</v>
      </c>
      <c r="F1606" s="48"/>
      <c r="G1606" s="51"/>
      <c r="H1606" s="52"/>
      <c r="I1606" s="53">
        <v>45714</v>
      </c>
    </row>
    <row r="1607" spans="1:9">
      <c r="A1607" s="47">
        <v>1026</v>
      </c>
      <c r="B1607" s="48" t="str">
        <f>IFERROR(VLOOKUP(A1607,CLIENTES!A:E,2,0),"CADASTRAR CLIENTE")</f>
        <v>LABSC SERVICOS LABORATORIAIS LTDA</v>
      </c>
      <c r="C1607" s="54" t="s">
        <v>3</v>
      </c>
      <c r="D1607" s="54">
        <v>83054</v>
      </c>
      <c r="E1607" s="51">
        <v>750</v>
      </c>
      <c r="F1607" s="48"/>
      <c r="G1607" s="51"/>
      <c r="H1607" s="52"/>
      <c r="I1607" s="53">
        <v>45715</v>
      </c>
    </row>
    <row r="1608" spans="1:9">
      <c r="A1608" s="47">
        <v>1905</v>
      </c>
      <c r="B1608" s="48" t="str">
        <f>IFERROR(VLOOKUP(A1608,CLIENTES!A:E,2,0),"CADASTRAR CLIENTE")</f>
        <v>A.C. CORREA DE OLIVEIRA LABORATORIO CLÍNICO</v>
      </c>
      <c r="C1608" s="54" t="s">
        <v>3</v>
      </c>
      <c r="D1608" s="54">
        <v>83065</v>
      </c>
      <c r="E1608" s="51">
        <v>674</v>
      </c>
      <c r="F1608" s="48"/>
      <c r="G1608" s="51"/>
      <c r="H1608" s="52"/>
      <c r="I1608" s="53">
        <v>45715</v>
      </c>
    </row>
    <row r="1609" spans="1:9">
      <c r="A1609" s="47">
        <v>1164</v>
      </c>
      <c r="B1609" s="48" t="str">
        <f>IFERROR(VLOOKUP(A1609,CLIENTES!A:E,2,0),"CADASTRAR CLIENTE")</f>
        <v>LAB. ANAL. CLIN. SAO LOURENCO S/C LTDA</v>
      </c>
      <c r="C1609" s="54" t="s">
        <v>3</v>
      </c>
      <c r="D1609" s="54" t="s">
        <v>463</v>
      </c>
      <c r="E1609" s="51">
        <v>508.23</v>
      </c>
      <c r="F1609" s="48"/>
      <c r="G1609" s="51"/>
      <c r="H1609" s="52"/>
      <c r="I1609" s="53">
        <v>45715</v>
      </c>
    </row>
    <row r="1610" spans="1:9">
      <c r="A1610" s="47">
        <v>690</v>
      </c>
      <c r="B1610" s="48" t="str">
        <f>IFERROR(VLOOKUP(A1610,CLIENTES!A:E,2,0),"CADASTRAR CLIENTE")</f>
        <v>SAO ROQUE MEDICINA DIAGNOSTICA LTDA EPP</v>
      </c>
      <c r="C1610" s="54" t="s">
        <v>3</v>
      </c>
      <c r="D1610" s="54" t="s">
        <v>464</v>
      </c>
      <c r="E1610" s="51">
        <v>294.39</v>
      </c>
      <c r="F1610" s="48"/>
      <c r="G1610" s="51"/>
      <c r="H1610" s="52"/>
      <c r="I1610" s="53">
        <v>45715</v>
      </c>
    </row>
    <row r="1611" spans="1:9">
      <c r="A1611" s="47">
        <v>572</v>
      </c>
      <c r="B1611" s="48" t="str">
        <f>IFERROR(VLOOKUP(A1611,CLIENTES!A:E,2,0),"CADASTRAR CLIENTE")</f>
        <v>LABORATORIO MULTIANALISES LTDA-ME</v>
      </c>
      <c r="C1611" s="54" t="s">
        <v>3</v>
      </c>
      <c r="D1611" s="54">
        <v>83055</v>
      </c>
      <c r="E1611" s="51">
        <v>748.35</v>
      </c>
      <c r="F1611" s="48"/>
      <c r="G1611" s="51"/>
      <c r="H1611" s="52"/>
      <c r="I1611" s="53">
        <v>45715</v>
      </c>
    </row>
    <row r="1612" spans="1:9">
      <c r="A1612" s="47">
        <v>2198</v>
      </c>
      <c r="B1612" s="48" t="str">
        <f>IFERROR(VLOOKUP(A1612,CLIENTES!A:E,2,0),"CADASTRAR CLIENTE")</f>
        <v>LABORATORIO BIONALISES S.S. LTDA</v>
      </c>
      <c r="C1612" s="54" t="s">
        <v>3</v>
      </c>
      <c r="D1612" s="54">
        <v>83052</v>
      </c>
      <c r="E1612" s="51">
        <v>7593.2</v>
      </c>
      <c r="F1612" s="48"/>
      <c r="G1612" s="51"/>
      <c r="H1612" s="52"/>
      <c r="I1612" s="53">
        <v>45715</v>
      </c>
    </row>
    <row r="1613" spans="1:9">
      <c r="A1613" s="47">
        <v>2911</v>
      </c>
      <c r="B1613" s="48" t="str">
        <f>IFERROR(VLOOKUP(A1613,CLIENTES!A:E,2,0),"CADASTRAR CLIENTE")</f>
        <v>BIOLIFE-LABORATORIO DE ANALISES CLINICAS LTDA</v>
      </c>
      <c r="C1613" s="54" t="s">
        <v>3</v>
      </c>
      <c r="D1613" s="54" t="s">
        <v>465</v>
      </c>
      <c r="E1613" s="51">
        <v>1184.55</v>
      </c>
      <c r="F1613" s="48"/>
      <c r="G1613" s="51"/>
      <c r="H1613" s="52"/>
      <c r="I1613" s="53">
        <v>45715</v>
      </c>
    </row>
    <row r="1614" spans="1:9">
      <c r="A1614" s="47">
        <v>412</v>
      </c>
      <c r="B1614" s="48" t="str">
        <f>IFERROR(VLOOKUP(A1614,CLIENTES!A:E,2,0),"CADASTRAR CLIENTE")</f>
        <v>LAB.ANAL.CLIN.SAO MANUEL SC LTDA.</v>
      </c>
      <c r="C1614" s="54" t="s">
        <v>3</v>
      </c>
      <c r="D1614" s="54" t="s">
        <v>466</v>
      </c>
      <c r="E1614" s="51">
        <v>736.2</v>
      </c>
      <c r="F1614" s="48"/>
      <c r="G1614" s="51"/>
      <c r="H1614" s="52"/>
      <c r="I1614" s="53">
        <v>45715</v>
      </c>
    </row>
    <row r="1615" spans="1:9">
      <c r="A1615" s="47">
        <v>761</v>
      </c>
      <c r="B1615" s="48" t="str">
        <f>IFERROR(VLOOKUP(A1615,CLIENTES!A:E,2,0),"CADASTRAR CLIENTE")</f>
        <v>EXAME CENTRO DIAG.M.ARACATUBA SC LTDA.</v>
      </c>
      <c r="C1615" s="54" t="s">
        <v>3</v>
      </c>
      <c r="D1615" s="54">
        <v>83099</v>
      </c>
      <c r="E1615" s="51">
        <v>296</v>
      </c>
      <c r="F1615" s="48"/>
      <c r="G1615" s="51"/>
      <c r="H1615" s="52"/>
      <c r="I1615" s="53">
        <v>45715</v>
      </c>
    </row>
    <row r="1616" spans="1:9">
      <c r="A1616" s="47">
        <v>1058</v>
      </c>
      <c r="B1616" s="48" t="str">
        <f>IFERROR(VLOOKUP(A1616,CLIENTES!A:E,2,0),"CADASTRAR CLIENTE")</f>
        <v>LAB. ANAL. CLIN. DR ARNALDO BUAINAIN SS LTDA</v>
      </c>
      <c r="C1616" s="54" t="s">
        <v>3</v>
      </c>
      <c r="D1616" s="54">
        <v>83072</v>
      </c>
      <c r="E1616" s="51">
        <v>15524.4</v>
      </c>
      <c r="F1616" s="48"/>
      <c r="G1616" s="51"/>
      <c r="H1616" s="52"/>
      <c r="I1616" s="53">
        <v>45715</v>
      </c>
    </row>
    <row r="1617" spans="1:9">
      <c r="A1617" s="47">
        <v>50418</v>
      </c>
      <c r="B1617" s="48" t="str">
        <f>IFERROR(VLOOKUP(A1617,CLIENTES!A:E,2,0),"CADASTRAR CLIENTE")</f>
        <v>LABORATORIO SAO LUCAS DE BROTAS SS LTDA</v>
      </c>
      <c r="C1617" s="54" t="s">
        <v>3</v>
      </c>
      <c r="D1617" s="54">
        <v>83096</v>
      </c>
      <c r="E1617" s="51">
        <v>84</v>
      </c>
      <c r="F1617" s="48"/>
      <c r="G1617" s="51"/>
      <c r="H1617" s="52"/>
      <c r="I1617" s="53">
        <v>45715</v>
      </c>
    </row>
    <row r="1618" spans="1:9">
      <c r="A1618" s="47">
        <v>906</v>
      </c>
      <c r="B1618" s="48" t="str">
        <f>IFERROR(VLOOKUP(A1618,CLIENTES!A:E,2,0),"CADASTRAR CLIENTE")</f>
        <v>LABORATORIO ANAL. CLIN. DESCALVADO LTDA</v>
      </c>
      <c r="C1618" s="54" t="s">
        <v>3</v>
      </c>
      <c r="D1618" s="54">
        <v>83103</v>
      </c>
      <c r="E1618" s="51">
        <v>4542.1000000000004</v>
      </c>
      <c r="F1618" s="48"/>
      <c r="G1618" s="51"/>
      <c r="H1618" s="52"/>
      <c r="I1618" s="53">
        <v>45716</v>
      </c>
    </row>
    <row r="1619" spans="1:9">
      <c r="A1619" s="47">
        <v>772</v>
      </c>
      <c r="B1619" s="48" t="str">
        <f>IFERROR(VLOOKUP(A1619,CLIENTES!A:E,2,0),"CADASTRAR CLIENTE")</f>
        <v>MEGARON LABORATORIO ANAL.CLIN.SC LTDA.</v>
      </c>
      <c r="C1619" s="54" t="s">
        <v>3</v>
      </c>
      <c r="D1619" s="54" t="s">
        <v>467</v>
      </c>
      <c r="E1619" s="51">
        <v>3697.7</v>
      </c>
      <c r="F1619" s="48"/>
      <c r="G1619" s="51"/>
      <c r="H1619" s="52"/>
      <c r="I1619" s="53">
        <v>45716</v>
      </c>
    </row>
    <row r="1620" spans="1:9">
      <c r="A1620" s="47">
        <v>663</v>
      </c>
      <c r="B1620" s="48" t="str">
        <f>IFERROR(VLOOKUP(A1620,CLIENTES!A:E,2,0),"CADASTRAR CLIENTE")</f>
        <v>LAB. MEDICO GUIMARAES</v>
      </c>
      <c r="C1620" s="54" t="s">
        <v>3</v>
      </c>
      <c r="D1620" s="54">
        <v>83120</v>
      </c>
      <c r="E1620" s="51">
        <v>2069.3200000000002</v>
      </c>
      <c r="F1620" s="48"/>
      <c r="G1620" s="51"/>
      <c r="H1620" s="52"/>
      <c r="I1620" s="53">
        <v>45716</v>
      </c>
    </row>
    <row r="1621" spans="1:9">
      <c r="A1621" s="47">
        <v>311</v>
      </c>
      <c r="B1621" s="48" t="str">
        <f>IFERROR(VLOOKUP(A1621,CLIENTES!A:E,2,0),"CADASTRAR CLIENTE")</f>
        <v>CENTRO DE ANAL.CLIN. UNILAB  SC LTDA.</v>
      </c>
      <c r="C1621" s="54" t="s">
        <v>3</v>
      </c>
      <c r="D1621" s="54">
        <v>83139</v>
      </c>
      <c r="E1621" s="51">
        <v>4908</v>
      </c>
      <c r="F1621" s="48"/>
      <c r="G1621" s="51"/>
      <c r="H1621" s="52"/>
      <c r="I1621" s="53">
        <v>45719</v>
      </c>
    </row>
    <row r="1622" spans="1:9">
      <c r="A1622" s="47">
        <v>572</v>
      </c>
      <c r="B1622" s="48" t="str">
        <f>IFERROR(VLOOKUP(A1622,CLIENTES!A:E,2,0),"CADASTRAR CLIENTE")</f>
        <v>LABORATORIO MULTIANALISES LTDA-ME</v>
      </c>
      <c r="C1622" s="54" t="s">
        <v>3</v>
      </c>
      <c r="D1622" s="54" t="s">
        <v>468</v>
      </c>
      <c r="E1622" s="51">
        <v>599.62</v>
      </c>
      <c r="F1622" s="48"/>
      <c r="G1622" s="51"/>
      <c r="H1622" s="52"/>
      <c r="I1622" s="53">
        <v>45721</v>
      </c>
    </row>
    <row r="1623" spans="1:9">
      <c r="A1623" s="47">
        <v>2752</v>
      </c>
      <c r="B1623" s="48" t="str">
        <f>IFERROR(VLOOKUP(A1623,CLIENTES!A:E,2,0),"CADASTRAR CLIENTE")</f>
        <v>ROTOLI CLINICA VETERINARIA LTDA ME</v>
      </c>
      <c r="C1623" s="54" t="s">
        <v>3</v>
      </c>
      <c r="D1623" s="54">
        <v>83169</v>
      </c>
      <c r="E1623" s="51">
        <v>816.5</v>
      </c>
      <c r="F1623" s="48"/>
      <c r="G1623" s="51"/>
      <c r="H1623" s="52"/>
      <c r="I1623" s="53">
        <v>45721</v>
      </c>
    </row>
    <row r="1624" spans="1:9">
      <c r="A1624" s="47">
        <v>311</v>
      </c>
      <c r="B1624" s="48" t="str">
        <f>IFERROR(VLOOKUP(A1624,CLIENTES!A:E,2,0),"CADASTRAR CLIENTE")</f>
        <v>CENTRO DE ANAL.CLIN. UNILAB  SC LTDA.</v>
      </c>
      <c r="C1624" s="54" t="s">
        <v>3</v>
      </c>
      <c r="D1624" s="54">
        <v>83195</v>
      </c>
      <c r="E1624" s="51">
        <v>8100</v>
      </c>
      <c r="F1624" s="48"/>
      <c r="G1624" s="51"/>
      <c r="H1624" s="52"/>
      <c r="I1624" s="53">
        <v>45721</v>
      </c>
    </row>
    <row r="1625" spans="1:9">
      <c r="A1625" s="47">
        <v>2980</v>
      </c>
      <c r="B1625" s="48" t="str">
        <f>IFERROR(VLOOKUP(A1625,CLIENTES!A:E,2,0),"CADASTRAR CLIENTE")</f>
        <v>ALMEIDA &amp; FLAITT LABORATORIOS DE ANALISES CLINICAS LTDA</v>
      </c>
      <c r="C1625" s="54" t="s">
        <v>3</v>
      </c>
      <c r="D1625" s="54" t="s">
        <v>470</v>
      </c>
      <c r="E1625" s="51">
        <v>1526.05</v>
      </c>
      <c r="F1625" s="48"/>
      <c r="G1625" s="51"/>
      <c r="H1625" s="52"/>
      <c r="I1625" s="53">
        <v>45721</v>
      </c>
    </row>
    <row r="1626" spans="1:9">
      <c r="A1626" s="47">
        <v>3475</v>
      </c>
      <c r="B1626" s="48" t="str">
        <f>IFERROR(VLOOKUP(A1626,CLIENTES!A:E,2,0),"CADASTRAR CLIENTE")</f>
        <v>LQF LABORATORIO QUIMICO FARMACEUTICO RIO PRETO EIRELI - ME</v>
      </c>
      <c r="C1626" s="54" t="s">
        <v>3</v>
      </c>
      <c r="D1626" s="54" t="s">
        <v>510</v>
      </c>
      <c r="E1626" s="51">
        <v>719.85</v>
      </c>
      <c r="F1626" s="48"/>
      <c r="G1626" s="51"/>
      <c r="H1626" s="52"/>
      <c r="I1626" s="53">
        <v>45722</v>
      </c>
    </row>
    <row r="1627" spans="1:9">
      <c r="A1627" s="47">
        <v>575</v>
      </c>
      <c r="B1627" s="48" t="str">
        <f>IFERROR(VLOOKUP(A1627,CLIENTES!A:E,2,0),"CADASTRAR CLIENTE")</f>
        <v>DR MUNHOZ HOSPITAL VETERINARIO E PET SHOP</v>
      </c>
      <c r="C1627" s="54" t="s">
        <v>3</v>
      </c>
      <c r="D1627" s="54" t="s">
        <v>471</v>
      </c>
      <c r="E1627" s="51">
        <v>230.06</v>
      </c>
      <c r="F1627" s="48"/>
      <c r="G1627" s="51"/>
      <c r="H1627" s="52"/>
      <c r="I1627" s="53">
        <v>45722</v>
      </c>
    </row>
    <row r="1628" spans="1:9">
      <c r="A1628" s="47">
        <v>500481</v>
      </c>
      <c r="B1628" s="48" t="str">
        <f>IFERROR(VLOOKUP(A1628,CLIENTES!A:E,2,0),"CADASTRAR CLIENTE")</f>
        <v>OBERON CENTRO VETERINARIO LTDA</v>
      </c>
      <c r="C1628" s="54" t="s">
        <v>3</v>
      </c>
      <c r="D1628" s="54">
        <v>82969</v>
      </c>
      <c r="E1628" s="51">
        <v>1331.13</v>
      </c>
      <c r="F1628" s="48"/>
      <c r="G1628" s="51"/>
      <c r="H1628" s="52"/>
      <c r="I1628" s="53">
        <v>45722</v>
      </c>
    </row>
    <row r="1629" spans="1:9">
      <c r="A1629" s="47">
        <v>761</v>
      </c>
      <c r="B1629" s="48" t="str">
        <f>IFERROR(VLOOKUP(A1629,CLIENTES!A:E,2,0),"CADASTRAR CLIENTE")</f>
        <v>EXAME CENTRO DIAG.M.ARACATUBA SC LTDA.</v>
      </c>
      <c r="C1629" s="54" t="s">
        <v>3</v>
      </c>
      <c r="D1629" s="54" t="s">
        <v>473</v>
      </c>
      <c r="E1629" s="51">
        <v>5348.78</v>
      </c>
      <c r="F1629" s="48"/>
      <c r="G1629" s="51"/>
      <c r="H1629" s="52"/>
      <c r="I1629" s="53">
        <v>45722</v>
      </c>
    </row>
    <row r="1630" spans="1:9">
      <c r="A1630" s="47">
        <v>1905</v>
      </c>
      <c r="B1630" s="48" t="str">
        <f>IFERROR(VLOOKUP(A1630,CLIENTES!A:E,2,0),"CADASTRAR CLIENTE")</f>
        <v>A.C. CORREA DE OLIVEIRA LABORATORIO CLÍNICO</v>
      </c>
      <c r="C1630" s="54" t="s">
        <v>3</v>
      </c>
      <c r="D1630" s="54">
        <v>82744</v>
      </c>
      <c r="E1630" s="51">
        <v>269</v>
      </c>
      <c r="F1630" s="48"/>
      <c r="G1630" s="51"/>
      <c r="H1630" s="52"/>
      <c r="I1630" s="53">
        <v>45722</v>
      </c>
    </row>
    <row r="1631" spans="1:9">
      <c r="A1631" s="47">
        <v>1616</v>
      </c>
      <c r="B1631" s="48" t="str">
        <f>IFERROR(VLOOKUP(A1631,CLIENTES!A:E,2,0),"CADASTRAR CLIENTE")</f>
        <v>NOVO HORIZONTE LAB.ANAL.CLIN.S/C LTDA.</v>
      </c>
      <c r="C1631" s="54" t="s">
        <v>3</v>
      </c>
      <c r="D1631" s="54">
        <v>83226</v>
      </c>
      <c r="E1631" s="51">
        <v>2185.5</v>
      </c>
      <c r="F1631" s="48"/>
      <c r="G1631" s="51"/>
      <c r="H1631" s="52"/>
      <c r="I1631" s="53">
        <v>45722</v>
      </c>
    </row>
    <row r="1632" spans="1:9">
      <c r="A1632" s="47">
        <v>784</v>
      </c>
      <c r="B1632" s="48" t="str">
        <f>IFERROR(VLOOKUP(A1632,CLIENTES!A:E,2,0),"CADASTRAR CLIENTE")</f>
        <v>LAB.ANAL.CLIN. ALBERT SABIN SC LTDA.</v>
      </c>
      <c r="C1632" s="54" t="s">
        <v>2</v>
      </c>
      <c r="D1632" s="54">
        <v>83249</v>
      </c>
      <c r="E1632" s="51">
        <v>3064.05</v>
      </c>
      <c r="F1632" s="48"/>
      <c r="G1632" s="51"/>
      <c r="H1632" s="52"/>
      <c r="I1632" s="53">
        <v>45722</v>
      </c>
    </row>
    <row r="1633" spans="1:9">
      <c r="A1633" s="47">
        <v>746</v>
      </c>
      <c r="B1633" s="48" t="str">
        <f>IFERROR(VLOOKUP(A1633,CLIENTES!A:E,2,0),"CADASTRAR CLIENTE")</f>
        <v>LAB.ANAL.CLIN.BIOCLIN SC LTDA.</v>
      </c>
      <c r="C1633" s="54" t="s">
        <v>328</v>
      </c>
      <c r="D1633" s="54" t="s">
        <v>472</v>
      </c>
      <c r="E1633" s="51">
        <v>3914.67</v>
      </c>
      <c r="F1633" s="48"/>
      <c r="G1633" s="51"/>
      <c r="H1633" s="52"/>
      <c r="I1633" s="53">
        <v>45722</v>
      </c>
    </row>
    <row r="1634" spans="1:9">
      <c r="A1634" s="47">
        <v>311</v>
      </c>
      <c r="B1634" s="48" t="str">
        <f>IFERROR(VLOOKUP(A1634,CLIENTES!A:E,2,0),"CADASTRAR CLIENTE")</f>
        <v>CENTRO DE ANAL.CLIN. UNILAB  SC LTDA.</v>
      </c>
      <c r="C1634" s="54" t="s">
        <v>3</v>
      </c>
      <c r="D1634" s="54" t="s">
        <v>475</v>
      </c>
      <c r="E1634" s="51">
        <v>6825</v>
      </c>
      <c r="F1634" s="48"/>
      <c r="G1634" s="51"/>
      <c r="H1634" s="52"/>
      <c r="I1634" s="53">
        <v>45723</v>
      </c>
    </row>
    <row r="1635" spans="1:9">
      <c r="A1635" s="47">
        <v>980</v>
      </c>
      <c r="B1635" s="48" t="str">
        <f>IFERROR(VLOOKUP(A1635,CLIENTES!A:E,2,0),"CADASTRAR CLIENTE")</f>
        <v>LAB. GUARARAPES  ANAL. CLIN. SC LTDA</v>
      </c>
      <c r="C1635" s="54" t="s">
        <v>3</v>
      </c>
      <c r="D1635" s="54" t="s">
        <v>474</v>
      </c>
      <c r="E1635" s="51">
        <v>933.3</v>
      </c>
      <c r="F1635" s="48"/>
      <c r="G1635" s="51"/>
      <c r="H1635" s="52"/>
      <c r="I1635" s="53">
        <v>45723</v>
      </c>
    </row>
    <row r="1636" spans="1:9">
      <c r="A1636" s="47">
        <v>3153</v>
      </c>
      <c r="B1636" s="48" t="str">
        <f>IFERROR(VLOOKUP(A1636,CLIENTES!A:E,2,0),"CADASTRAR CLIENTE")</f>
        <v>UNIMED DE TUPA COOPERATIVA DE TRABALHO MEDICO</v>
      </c>
      <c r="C1636" s="54" t="s">
        <v>3</v>
      </c>
      <c r="D1636" s="54" t="s">
        <v>476</v>
      </c>
      <c r="E1636" s="51">
        <v>3326.06</v>
      </c>
      <c r="F1636" s="48"/>
      <c r="G1636" s="51"/>
      <c r="H1636" s="52"/>
      <c r="I1636" s="53">
        <v>45723</v>
      </c>
    </row>
    <row r="1637" spans="1:9">
      <c r="A1637" s="47">
        <v>1240</v>
      </c>
      <c r="B1637" s="48" t="str">
        <f>IFERROR(VLOOKUP(A1637,CLIENTES!A:E,2,0),"CADASTRAR CLIENTE")</f>
        <v>MONICA VIEIRA DE CAMPOS REBELO-ME</v>
      </c>
      <c r="C1637" s="54" t="s">
        <v>3</v>
      </c>
      <c r="D1637" s="54" t="s">
        <v>477</v>
      </c>
      <c r="E1637" s="51">
        <v>471.12</v>
      </c>
      <c r="F1637" s="48"/>
      <c r="G1637" s="51"/>
      <c r="H1637" s="52"/>
      <c r="I1637" s="53">
        <v>45723</v>
      </c>
    </row>
    <row r="1638" spans="1:9">
      <c r="A1638" s="47">
        <v>516</v>
      </c>
      <c r="B1638" s="48" t="str">
        <f>IFERROR(VLOOKUP(A1638,CLIENTES!A:E,2,0),"CADASTRAR CLIENTE")</f>
        <v>TECNOLAB PATOLOGIA CLINICA S/C LTDA</v>
      </c>
      <c r="C1638" s="54" t="s">
        <v>3</v>
      </c>
      <c r="D1638" s="54" t="s">
        <v>478</v>
      </c>
      <c r="E1638" s="51">
        <v>238.82</v>
      </c>
      <c r="F1638" s="48"/>
      <c r="G1638" s="51"/>
      <c r="H1638" s="52"/>
      <c r="I1638" s="53">
        <v>45723</v>
      </c>
    </row>
    <row r="1639" spans="1:9">
      <c r="A1639" s="47">
        <v>50554</v>
      </c>
      <c r="B1639" s="48" t="str">
        <f>IFERROR(VLOOKUP(A1639,CLIENTES!A:E,2,0),"CADASTRAR CLIENTE")</f>
        <v>SAO ROQUE MEDICINA DIAGNOSTICA</v>
      </c>
      <c r="C1639" s="54" t="s">
        <v>3</v>
      </c>
      <c r="D1639" s="54" t="s">
        <v>479</v>
      </c>
      <c r="E1639" s="51">
        <v>7084.1</v>
      </c>
      <c r="F1639" s="48"/>
      <c r="G1639" s="51"/>
      <c r="H1639" s="52"/>
      <c r="I1639" s="53">
        <v>45727</v>
      </c>
    </row>
    <row r="1640" spans="1:9">
      <c r="A1640" s="47">
        <v>1206</v>
      </c>
      <c r="B1640" s="48" t="str">
        <f>IFERROR(VLOOKUP(A1640,CLIENTES!A:E,2,0),"CADASTRAR CLIENTE")</f>
        <v>LABORATORIO RIO NEGRO CENTER DE MARILIA  LTDA</v>
      </c>
      <c r="C1640" s="54" t="s">
        <v>3</v>
      </c>
      <c r="D1640" s="54">
        <v>83426</v>
      </c>
      <c r="E1640" s="51">
        <v>1097.79</v>
      </c>
      <c r="F1640" s="48"/>
      <c r="G1640" s="51"/>
      <c r="H1640" s="52"/>
      <c r="I1640" s="53">
        <v>45727</v>
      </c>
    </row>
    <row r="1641" spans="1:9">
      <c r="A1641" s="47">
        <v>905</v>
      </c>
      <c r="B1641" s="48" t="str">
        <f>IFERROR(VLOOKUP(A1641,CLIENTES!A:E,2,0),"CADASTRAR CLIENTE")</f>
        <v>LAB AN CLIN DR NESTOR FERRAREZZI FILHO  SC LTDA</v>
      </c>
      <c r="C1641" s="54" t="s">
        <v>328</v>
      </c>
      <c r="D1641" s="54" t="s">
        <v>480</v>
      </c>
      <c r="E1641" s="51">
        <v>609.15</v>
      </c>
      <c r="F1641" s="48"/>
      <c r="G1641" s="51"/>
      <c r="H1641" s="52"/>
      <c r="I1641" s="53">
        <v>45727</v>
      </c>
    </row>
    <row r="1642" spans="1:9">
      <c r="A1642" s="47">
        <v>3194</v>
      </c>
      <c r="B1642" s="48" t="str">
        <f>IFERROR(VLOOKUP(A1642,CLIENTES!A:E,2,0),"CADASTRAR CLIENTE")</f>
        <v>CENTRO DE DIAGNOSTICOS CONTROLE LTDA</v>
      </c>
      <c r="C1642" s="54" t="s">
        <v>3</v>
      </c>
      <c r="D1642" s="54">
        <v>83441</v>
      </c>
      <c r="E1642" s="51">
        <v>978.8</v>
      </c>
      <c r="F1642" s="48"/>
      <c r="G1642" s="51"/>
      <c r="H1642" s="52"/>
      <c r="I1642" s="53">
        <v>45727</v>
      </c>
    </row>
    <row r="1643" spans="1:9">
      <c r="A1643" s="47">
        <v>690</v>
      </c>
      <c r="B1643" s="48" t="str">
        <f>IFERROR(VLOOKUP(A1643,CLIENTES!A:E,2,0),"CADASTRAR CLIENTE")</f>
        <v>SAO ROQUE MEDICINA DIAGNOSTICA LTDA EPP</v>
      </c>
      <c r="C1643" s="54" t="s">
        <v>3</v>
      </c>
      <c r="D1643" s="59" t="s">
        <v>481</v>
      </c>
      <c r="E1643" s="51">
        <v>2173.7399999999998</v>
      </c>
      <c r="F1643" s="48"/>
      <c r="G1643" s="51"/>
      <c r="H1643" s="52"/>
      <c r="I1643" s="53">
        <v>45727</v>
      </c>
    </row>
    <row r="1644" spans="1:9">
      <c r="A1644" s="47">
        <v>704</v>
      </c>
      <c r="B1644" s="48" t="str">
        <f>IFERROR(VLOOKUP(A1644,CLIENTES!A:E,2,0),"CADASTRAR CLIENTE")</f>
        <v>LAB. ONUMA E BASILIO S/C LTDA</v>
      </c>
      <c r="C1644" s="54" t="s">
        <v>3</v>
      </c>
      <c r="D1644" s="54" t="s">
        <v>482</v>
      </c>
      <c r="E1644" s="51">
        <v>2012.79</v>
      </c>
      <c r="F1644" s="48"/>
      <c r="G1644" s="51"/>
      <c r="H1644" s="52"/>
      <c r="I1644" s="53">
        <v>45727</v>
      </c>
    </row>
    <row r="1645" spans="1:9">
      <c r="A1645" s="47">
        <v>1240</v>
      </c>
      <c r="B1645" s="48" t="str">
        <f>IFERROR(VLOOKUP(A1645,CLIENTES!A:E,2,0),"CADASTRAR CLIENTE")</f>
        <v>MONICA VIEIRA DE CAMPOS REBELO-ME</v>
      </c>
      <c r="C1645" s="54" t="s">
        <v>3</v>
      </c>
      <c r="D1645" s="54">
        <v>83447</v>
      </c>
      <c r="E1645" s="51">
        <v>1056</v>
      </c>
      <c r="F1645" s="48"/>
      <c r="G1645" s="51"/>
      <c r="H1645" s="52"/>
      <c r="I1645" s="53">
        <v>45727</v>
      </c>
    </row>
    <row r="1646" spans="1:9">
      <c r="A1646" s="47">
        <v>50576</v>
      </c>
      <c r="B1646" s="48" t="str">
        <f>IFERROR(VLOOKUP(A1646,CLIENTES!A:E,2,0),"CADASTRAR CLIENTE")</f>
        <v>ANDRIAO CANEPPA E SILVA LTDA ME</v>
      </c>
      <c r="C1646" s="54" t="s">
        <v>3</v>
      </c>
      <c r="D1646" s="54" t="s">
        <v>488</v>
      </c>
      <c r="E1646" s="51">
        <v>1383</v>
      </c>
      <c r="F1646" s="48"/>
      <c r="G1646" s="51"/>
      <c r="H1646" s="52"/>
      <c r="I1646" s="53">
        <v>45728</v>
      </c>
    </row>
    <row r="1647" spans="1:9">
      <c r="A1647" s="47">
        <v>50418</v>
      </c>
      <c r="B1647" s="48" t="str">
        <f>IFERROR(VLOOKUP(A1647,CLIENTES!A:E,2,0),"CADASTRAR CLIENTE")</f>
        <v>LABORATORIO SAO LUCAS DE BROTAS SS LTDA</v>
      </c>
      <c r="C1647" s="54" t="s">
        <v>3</v>
      </c>
      <c r="D1647" s="54">
        <v>83468</v>
      </c>
      <c r="E1647" s="51">
        <v>2376.15</v>
      </c>
      <c r="F1647" s="48"/>
      <c r="G1647" s="51"/>
      <c r="H1647" s="52"/>
      <c r="I1647" s="53">
        <v>45728</v>
      </c>
    </row>
    <row r="1648" spans="1:9">
      <c r="A1648" s="47">
        <v>2415</v>
      </c>
      <c r="B1648" s="48" t="str">
        <f>IFERROR(VLOOKUP(A1648,CLIENTES!A:E,2,0),"CADASTRAR CLIENTE")</f>
        <v>ROSSETTO E BARROS LABORATORIO DE ANALISES CLINICAS LTDA</v>
      </c>
      <c r="C1648" s="54" t="s">
        <v>3</v>
      </c>
      <c r="D1648" s="54">
        <v>83477</v>
      </c>
      <c r="E1648" s="51">
        <v>2576</v>
      </c>
      <c r="F1648" s="48"/>
      <c r="G1648" s="51"/>
      <c r="H1648" s="52"/>
      <c r="I1648" s="53">
        <v>45728</v>
      </c>
    </row>
    <row r="1649" spans="1:9">
      <c r="A1649" s="47">
        <v>3194</v>
      </c>
      <c r="B1649" s="48" t="str">
        <f>IFERROR(VLOOKUP(A1649,CLIENTES!A:E,2,0),"CADASTRAR CLIENTE")</f>
        <v>CENTRO DE DIAGNOSTICOS CONTROLE LTDA</v>
      </c>
      <c r="C1649" s="54" t="s">
        <v>3</v>
      </c>
      <c r="D1649" s="54">
        <v>83514</v>
      </c>
      <c r="E1649" s="51">
        <v>445.05</v>
      </c>
      <c r="F1649" s="48"/>
      <c r="G1649" s="51"/>
      <c r="H1649" s="52"/>
      <c r="I1649" s="53">
        <v>45729</v>
      </c>
    </row>
    <row r="1650" spans="1:9">
      <c r="A1650" s="47">
        <v>620</v>
      </c>
      <c r="B1650" s="48" t="str">
        <f>IFERROR(VLOOKUP(A1650,CLIENTES!A:E,2,0),"CADASTRAR CLIENTE")</f>
        <v>LAB.SAO PAULO DE ANAL.CLIN.SC LTDA.</v>
      </c>
      <c r="C1650" s="54" t="s">
        <v>3</v>
      </c>
      <c r="D1650" s="54" t="s">
        <v>483</v>
      </c>
      <c r="E1650" s="51">
        <v>641.6</v>
      </c>
      <c r="F1650" s="48"/>
      <c r="G1650" s="51"/>
      <c r="H1650" s="52"/>
      <c r="I1650" s="53">
        <v>45729</v>
      </c>
    </row>
    <row r="1651" spans="1:9">
      <c r="A1651" s="47">
        <v>325</v>
      </c>
      <c r="B1651" s="48" t="str">
        <f>IFERROR(VLOOKUP(A1651,CLIENTES!A:E,2,0),"CADASTRAR CLIENTE")</f>
        <v>EXAME-LABORAT. DE ANAL. CLIN. CITODIAGNOSTICO S/S LTDA</v>
      </c>
      <c r="C1651" s="54" t="s">
        <v>3</v>
      </c>
      <c r="D1651" s="54" t="s">
        <v>484</v>
      </c>
      <c r="E1651" s="51">
        <v>1113.2</v>
      </c>
      <c r="F1651" s="48"/>
      <c r="G1651" s="51"/>
      <c r="H1651" s="52"/>
      <c r="I1651" s="53">
        <v>45730</v>
      </c>
    </row>
    <row r="1652" spans="1:9">
      <c r="A1652" s="47">
        <v>1652</v>
      </c>
      <c r="B1652" s="48" t="str">
        <f>IFERROR(VLOOKUP(A1652,CLIENTES!A:E,2,0),"CADASTRAR CLIENTE")</f>
        <v>LAB. SANTA CLARA ANAL.CLIN.</v>
      </c>
      <c r="C1652" s="54" t="s">
        <v>3</v>
      </c>
      <c r="D1652" s="54" t="s">
        <v>485</v>
      </c>
      <c r="E1652" s="51">
        <v>726.55</v>
      </c>
      <c r="F1652" s="48"/>
      <c r="G1652" s="51"/>
      <c r="H1652" s="52"/>
      <c r="I1652" s="53">
        <v>45730</v>
      </c>
    </row>
    <row r="1653" spans="1:9">
      <c r="A1653" s="47">
        <v>3194</v>
      </c>
      <c r="B1653" s="48" t="str">
        <f>IFERROR(VLOOKUP(A1653,CLIENTES!A:E,2,0),"CADASTRAR CLIENTE")</f>
        <v>CENTRO DE DIAGNOSTICOS CONTROLE LTDA</v>
      </c>
      <c r="C1653" s="54" t="s">
        <v>3</v>
      </c>
      <c r="D1653" s="54" t="s">
        <v>486</v>
      </c>
      <c r="E1653" s="51">
        <v>4634.05</v>
      </c>
      <c r="F1653" s="48"/>
      <c r="G1653" s="51"/>
      <c r="H1653" s="52"/>
      <c r="I1653" s="53">
        <v>45729</v>
      </c>
    </row>
    <row r="1654" spans="1:9">
      <c r="A1654" s="47">
        <v>620</v>
      </c>
      <c r="B1654" s="48" t="str">
        <f>IFERROR(VLOOKUP(A1654,CLIENTES!A:E,2,0),"CADASTRAR CLIENTE")</f>
        <v>LAB.SAO PAULO DE ANAL.CLIN.SC LTDA.</v>
      </c>
      <c r="C1654" s="54" t="s">
        <v>3</v>
      </c>
      <c r="D1654" s="54" t="s">
        <v>487</v>
      </c>
      <c r="E1654" s="51">
        <v>641.6</v>
      </c>
      <c r="F1654" s="48"/>
      <c r="G1654" s="51"/>
      <c r="H1654" s="52"/>
      <c r="I1654" s="53">
        <v>45729</v>
      </c>
    </row>
    <row r="1655" spans="1:9">
      <c r="A1655" s="47">
        <v>500149</v>
      </c>
      <c r="B1655" s="48" t="str">
        <f>IFERROR(VLOOKUP(A1655,CLIENTES!A:E,2,0),"CADASTRAR CLIENTE")</f>
        <v>SAO ROQUE MEDICINA DIAGNOSTICA LTDA</v>
      </c>
      <c r="C1655" s="54" t="s">
        <v>3</v>
      </c>
      <c r="D1655" s="54">
        <v>83489</v>
      </c>
      <c r="E1655" s="51">
        <v>1469.55</v>
      </c>
      <c r="F1655" s="48"/>
      <c r="G1655" s="51"/>
      <c r="H1655" s="52"/>
      <c r="I1655" s="53">
        <v>45728</v>
      </c>
    </row>
    <row r="1656" spans="1:9">
      <c r="A1656" s="47">
        <v>687</v>
      </c>
      <c r="B1656" s="48" t="str">
        <f>IFERROR(VLOOKUP(A1656,CLIENTES!A:E,2,0),"CADASTRAR CLIENTE")</f>
        <v>LAB ANAL CLIN VENDRAMINI S/S LTDA</v>
      </c>
      <c r="C1656" s="54" t="s">
        <v>3</v>
      </c>
      <c r="D1656" s="54">
        <v>100562</v>
      </c>
      <c r="E1656" s="51">
        <v>257.55</v>
      </c>
      <c r="F1656" s="48"/>
      <c r="G1656" s="51"/>
      <c r="H1656" s="52"/>
      <c r="I1656" s="53">
        <v>45730</v>
      </c>
    </row>
    <row r="1657" spans="1:9">
      <c r="A1657" s="47">
        <v>500149</v>
      </c>
      <c r="B1657" s="48" t="str">
        <f>IFERROR(VLOOKUP(A1657,CLIENTES!A:E,2,0),"CADASTRAR CLIENTE")</f>
        <v>SAO ROQUE MEDICINA DIAGNOSTICA LTDA</v>
      </c>
      <c r="C1657" s="54" t="s">
        <v>3</v>
      </c>
      <c r="D1657" s="54">
        <v>83604</v>
      </c>
      <c r="E1657" s="51">
        <v>6604.08</v>
      </c>
      <c r="F1657" s="48"/>
      <c r="G1657" s="51"/>
      <c r="H1657" s="52"/>
      <c r="I1657" s="53">
        <v>45730</v>
      </c>
    </row>
    <row r="1658" spans="1:9">
      <c r="A1658" s="47">
        <v>475</v>
      </c>
      <c r="B1658" s="48" t="str">
        <f>IFERROR(VLOOKUP(A1658,CLIENTES!A:E,2,0),"CADASTRAR CLIENTE")</f>
        <v>LABORATORIO DE ANALISES CLINICAS SRC LTDA</v>
      </c>
      <c r="C1658" s="54" t="s">
        <v>3</v>
      </c>
      <c r="D1658" s="54">
        <v>83551</v>
      </c>
      <c r="E1658" s="51">
        <v>8507.6200000000008</v>
      </c>
      <c r="F1658" s="48"/>
      <c r="G1658" s="51"/>
      <c r="H1658" s="52"/>
      <c r="I1658" s="53">
        <v>45730</v>
      </c>
    </row>
    <row r="1659" spans="1:9">
      <c r="A1659" s="47">
        <v>50219</v>
      </c>
      <c r="B1659" s="48" t="str">
        <f>IFERROR(VLOOKUP(A1659,CLIENTES!A:E,2,0),"CADASTRAR CLIENTE")</f>
        <v>UNIPREV LAB DE ANALISES LOCACAO DE BENS E REPAROS LTDA EPP</v>
      </c>
      <c r="C1659" s="54" t="s">
        <v>3</v>
      </c>
      <c r="D1659" s="54">
        <v>83607</v>
      </c>
      <c r="E1659" s="51">
        <v>1950</v>
      </c>
      <c r="F1659" s="48"/>
      <c r="G1659" s="51"/>
      <c r="H1659" s="52"/>
      <c r="I1659" s="53">
        <v>45733</v>
      </c>
    </row>
    <row r="1660" spans="1:9">
      <c r="A1660" s="47">
        <v>500005</v>
      </c>
      <c r="B1660" s="48" t="str">
        <f>IFERROR(VLOOKUP(A1660,CLIENTES!A:E,2,0),"CADASTRAR CLIENTE")</f>
        <v>ASSOCIACAO EDUCACIONAL DE ENSINO SUPERIOR</v>
      </c>
      <c r="C1660" s="54" t="s">
        <v>3</v>
      </c>
      <c r="D1660" s="54">
        <v>83349</v>
      </c>
      <c r="E1660" s="51">
        <v>876</v>
      </c>
      <c r="F1660" s="48"/>
      <c r="G1660" s="51"/>
      <c r="H1660" s="52"/>
      <c r="I1660" s="53">
        <v>45733</v>
      </c>
    </row>
    <row r="1661" spans="1:9">
      <c r="A1661" s="47">
        <v>432</v>
      </c>
      <c r="B1661" s="48" t="str">
        <f>IFERROR(VLOOKUP(A1661,CLIENTES!A:E,2,0),"CADASTRAR CLIENTE")</f>
        <v>LABORATORIO PASTEUR HEMATOLOGIA E MICROBIOLOGIA S/S LTDA</v>
      </c>
      <c r="C1661" s="54" t="s">
        <v>3</v>
      </c>
      <c r="D1661" s="54" t="s">
        <v>489</v>
      </c>
      <c r="E1661" s="51">
        <v>4429.82</v>
      </c>
      <c r="F1661" s="48"/>
      <c r="G1661" s="51"/>
      <c r="H1661" s="52"/>
      <c r="I1661" s="53">
        <v>45733</v>
      </c>
    </row>
    <row r="1662" spans="1:9">
      <c r="A1662" s="47">
        <v>2022</v>
      </c>
      <c r="B1662" s="48" t="str">
        <f>IFERROR(VLOOKUP(A1662,CLIENTES!A:E,2,0),"CADASTRAR CLIENTE")</f>
        <v>LAB. MEDICO DR. MARICONDI S/C LTDA.</v>
      </c>
      <c r="C1662" s="54" t="s">
        <v>3</v>
      </c>
      <c r="D1662" s="54">
        <v>83634</v>
      </c>
      <c r="E1662" s="51">
        <v>19012.8</v>
      </c>
      <c r="F1662" s="48"/>
      <c r="G1662" s="51"/>
      <c r="H1662" s="52"/>
      <c r="I1662" s="53">
        <v>45733</v>
      </c>
    </row>
    <row r="1663" spans="1:9">
      <c r="A1663" s="47">
        <v>1164</v>
      </c>
      <c r="B1663" s="48" t="str">
        <f>IFERROR(VLOOKUP(A1663,CLIENTES!A:E,2,0),"CADASTRAR CLIENTE")</f>
        <v>LAB. ANAL. CLIN. SAO LOURENCO S/C LTDA</v>
      </c>
      <c r="C1663" s="54" t="s">
        <v>3</v>
      </c>
      <c r="D1663" s="54" t="s">
        <v>490</v>
      </c>
      <c r="E1663" s="51">
        <v>884.79</v>
      </c>
      <c r="F1663" s="48"/>
      <c r="G1663" s="51"/>
      <c r="H1663" s="52"/>
      <c r="I1663" s="53">
        <v>45733</v>
      </c>
    </row>
    <row r="1664" spans="1:9">
      <c r="A1664" s="47">
        <v>500243</v>
      </c>
      <c r="B1664" s="48" t="str">
        <f>IFERROR(VLOOKUP(A1664,CLIENTES!A:E,2,0),"CADASTRAR CLIENTE")</f>
        <v>UNIMED DE IBITINGA COOPERATIVA DE TRABALHO MEDICO</v>
      </c>
      <c r="C1664" s="54" t="s">
        <v>3</v>
      </c>
      <c r="D1664" s="54">
        <v>83650</v>
      </c>
      <c r="E1664" s="51">
        <v>1041.3</v>
      </c>
      <c r="F1664" s="48"/>
      <c r="G1664" s="51"/>
      <c r="H1664" s="52"/>
      <c r="I1664" s="53">
        <v>45733</v>
      </c>
    </row>
    <row r="1665" spans="1:9">
      <c r="A1665" s="47">
        <v>704</v>
      </c>
      <c r="B1665" s="48" t="str">
        <f>IFERROR(VLOOKUP(A1665,CLIENTES!A:E,2,0),"CADASTRAR CLIENTE")</f>
        <v>LAB. ONUMA E BASILIO S/C LTDA</v>
      </c>
      <c r="C1665" s="54" t="s">
        <v>3</v>
      </c>
      <c r="D1665" s="54" t="s">
        <v>491</v>
      </c>
      <c r="E1665" s="51">
        <v>462.49</v>
      </c>
      <c r="F1665" s="48"/>
      <c r="G1665" s="51"/>
      <c r="H1665" s="52"/>
      <c r="I1665" s="53">
        <v>45734</v>
      </c>
    </row>
    <row r="1666" spans="1:9">
      <c r="A1666" s="47">
        <v>1652</v>
      </c>
      <c r="B1666" s="48" t="str">
        <f>IFERROR(VLOOKUP(A1666,CLIENTES!A:E,2,0),"CADASTRAR CLIENTE")</f>
        <v>LAB. SANTA CLARA ANAL.CLIN.</v>
      </c>
      <c r="C1666" s="54" t="s">
        <v>3</v>
      </c>
      <c r="D1666" s="54" t="s">
        <v>492</v>
      </c>
      <c r="E1666" s="51">
        <v>780.05</v>
      </c>
      <c r="F1666" s="48"/>
      <c r="G1666" s="51"/>
      <c r="H1666" s="52"/>
      <c r="I1666" s="53">
        <v>45734</v>
      </c>
    </row>
    <row r="1667" spans="1:9">
      <c r="A1667" s="47">
        <v>311</v>
      </c>
      <c r="B1667" s="48" t="str">
        <f>IFERROR(VLOOKUP(A1667,CLIENTES!A:E,2,0),"CADASTRAR CLIENTE")</f>
        <v>CENTRO DE ANAL.CLIN. UNILAB  SC LTDA.</v>
      </c>
      <c r="C1667" s="54" t="s">
        <v>3</v>
      </c>
      <c r="D1667" s="54">
        <v>83351</v>
      </c>
      <c r="E1667" s="51">
        <v>5880</v>
      </c>
      <c r="F1667" s="48"/>
      <c r="G1667" s="51"/>
      <c r="H1667" s="52"/>
      <c r="I1667" s="53">
        <v>45734</v>
      </c>
    </row>
    <row r="1668" spans="1:9">
      <c r="A1668" s="47">
        <v>874</v>
      </c>
      <c r="B1668" s="48" t="str">
        <f>IFERROR(VLOOKUP(A1668,CLIENTES!A:E,2,0),"CADASTRAR CLIENTE")</f>
        <v>LAB.ANAL.CLIN ABI JAUDI SC LTDA.</v>
      </c>
      <c r="C1668" s="54" t="s">
        <v>3</v>
      </c>
      <c r="D1668" s="54">
        <v>83665</v>
      </c>
      <c r="E1668" s="51">
        <v>1068</v>
      </c>
      <c r="F1668" s="48"/>
      <c r="G1668" s="51"/>
      <c r="H1668" s="52"/>
      <c r="I1668" s="53">
        <v>45734</v>
      </c>
    </row>
    <row r="1669" spans="1:9">
      <c r="A1669" s="47">
        <v>1971</v>
      </c>
      <c r="B1669" s="48" t="str">
        <f>IFERROR(VLOOKUP(A1669,CLIENTES!A:E,2,0),"CADASTRAR CLIENTE")</f>
        <v>LABORATORIO POPULAR LAB 7 LTDA</v>
      </c>
      <c r="C1669" s="54" t="s">
        <v>3</v>
      </c>
      <c r="D1669" s="54" t="s">
        <v>493</v>
      </c>
      <c r="E1669" s="51">
        <v>1947.1</v>
      </c>
      <c r="F1669" s="48"/>
      <c r="G1669" s="51"/>
      <c r="H1669" s="52"/>
      <c r="I1669" s="53">
        <v>45734</v>
      </c>
    </row>
    <row r="1670" spans="1:9">
      <c r="A1670" s="47">
        <v>480</v>
      </c>
      <c r="B1670" s="48" t="str">
        <f>IFERROR(VLOOKUP(A1670,CLIENTES!A:E,2,0),"CADASTRAR CLIENTE")</f>
        <v>LAB SAO LUCAS</v>
      </c>
      <c r="C1670" s="54" t="s">
        <v>3</v>
      </c>
      <c r="D1670" s="54" t="s">
        <v>494</v>
      </c>
      <c r="E1670" s="51">
        <v>1450.75</v>
      </c>
      <c r="F1670" s="48"/>
      <c r="G1670" s="51"/>
      <c r="H1670" s="52"/>
      <c r="I1670" s="53">
        <v>45734</v>
      </c>
    </row>
    <row r="1671" spans="1:9">
      <c r="A1671" s="47">
        <v>572</v>
      </c>
      <c r="B1671" s="48" t="str">
        <f>IFERROR(VLOOKUP(A1671,CLIENTES!A:E,2,0),"CADASTRAR CLIENTE")</f>
        <v>LABORATORIO MULTIANALISES LTDA-ME</v>
      </c>
      <c r="C1671" s="54" t="s">
        <v>3</v>
      </c>
      <c r="D1671" s="54">
        <v>83704</v>
      </c>
      <c r="E1671" s="51">
        <v>466.44</v>
      </c>
      <c r="F1671" s="48"/>
      <c r="G1671" s="51"/>
      <c r="H1671" s="52"/>
      <c r="I1671" s="53">
        <v>45734</v>
      </c>
    </row>
    <row r="1672" spans="1:9">
      <c r="A1672" s="47">
        <v>480</v>
      </c>
      <c r="B1672" s="48" t="str">
        <f>IFERROR(VLOOKUP(A1672,CLIENTES!A:E,2,0),"CADASTRAR CLIENTE")</f>
        <v>LAB SAO LUCAS</v>
      </c>
      <c r="C1672" s="54" t="s">
        <v>3</v>
      </c>
      <c r="D1672" s="54" t="s">
        <v>495</v>
      </c>
      <c r="E1672" s="51">
        <v>1404.25</v>
      </c>
      <c r="F1672" s="48"/>
      <c r="G1672" s="51"/>
      <c r="H1672" s="52"/>
      <c r="I1672" s="53">
        <v>45734</v>
      </c>
    </row>
    <row r="1673" spans="1:9">
      <c r="A1673" s="47">
        <v>1493</v>
      </c>
      <c r="B1673" s="48" t="str">
        <f>IFERROR(VLOOKUP(A1673,CLIENTES!A:E,2,0),"CADASTRAR CLIENTE")</f>
        <v>CEDIMA  CENTRO DE DIAG MONTE AZUL ANAL CLIN E CIT</v>
      </c>
      <c r="C1673" s="54" t="s">
        <v>3</v>
      </c>
      <c r="D1673" s="54">
        <v>83720</v>
      </c>
      <c r="E1673" s="51">
        <v>1280.44</v>
      </c>
      <c r="F1673" s="48"/>
      <c r="G1673" s="51"/>
      <c r="H1673" s="52"/>
      <c r="I1673" s="53">
        <v>45735</v>
      </c>
    </row>
    <row r="1674" spans="1:9">
      <c r="A1674" s="47">
        <v>822</v>
      </c>
      <c r="B1674" s="48" t="str">
        <f>IFERROR(VLOOKUP(A1674,CLIENTES!A:E,2,0),"CADASTRAR CLIENTE")</f>
        <v>SAO LUCAS LABORATORIO ANAL. CLIN. S/C LTDA</v>
      </c>
      <c r="C1674" s="54" t="s">
        <v>3</v>
      </c>
      <c r="D1674" s="54" t="s">
        <v>496</v>
      </c>
      <c r="E1674" s="51">
        <v>335.7</v>
      </c>
      <c r="F1674" s="48"/>
      <c r="G1674" s="51"/>
      <c r="H1674" s="52"/>
      <c r="I1674" s="53">
        <v>45735</v>
      </c>
    </row>
    <row r="1675" spans="1:9">
      <c r="A1675" s="47">
        <v>690</v>
      </c>
      <c r="B1675" s="48" t="str">
        <f>IFERROR(VLOOKUP(A1675,CLIENTES!A:E,2,0),"CADASTRAR CLIENTE")</f>
        <v>SAO ROQUE MEDICINA DIAGNOSTICA LTDA EPP</v>
      </c>
      <c r="C1675" s="54" t="s">
        <v>3</v>
      </c>
      <c r="D1675" s="54">
        <v>83631</v>
      </c>
      <c r="E1675" s="51">
        <v>125</v>
      </c>
      <c r="F1675" s="48"/>
      <c r="G1675" s="51"/>
      <c r="H1675" s="52"/>
      <c r="I1675" s="53">
        <v>45735</v>
      </c>
    </row>
    <row r="1676" spans="1:9">
      <c r="A1676" s="47">
        <v>50554</v>
      </c>
      <c r="B1676" s="48" t="str">
        <f>IFERROR(VLOOKUP(A1676,CLIENTES!A:E,2,0),"CADASTRAR CLIENTE")</f>
        <v>SAO ROQUE MEDICINA DIAGNOSTICA</v>
      </c>
      <c r="C1676" s="54" t="s">
        <v>3</v>
      </c>
      <c r="D1676" s="54">
        <v>83742</v>
      </c>
      <c r="E1676" s="51">
        <v>490</v>
      </c>
      <c r="F1676" s="48"/>
      <c r="G1676" s="51"/>
      <c r="H1676" s="52"/>
      <c r="I1676" s="53">
        <v>45735</v>
      </c>
    </row>
    <row r="1677" spans="1:9">
      <c r="A1677" s="47">
        <v>1206</v>
      </c>
      <c r="B1677" s="48" t="str">
        <f>IFERROR(VLOOKUP(A1677,CLIENTES!A:E,2,0),"CADASTRAR CLIENTE")</f>
        <v>LABORATORIO RIO NEGRO CENTER DE MARILIA  LTDA</v>
      </c>
      <c r="C1677" s="54" t="s">
        <v>3</v>
      </c>
      <c r="D1677" s="54">
        <v>83744</v>
      </c>
      <c r="E1677" s="51">
        <v>1097.79</v>
      </c>
      <c r="F1677" s="48"/>
      <c r="G1677" s="51"/>
      <c r="H1677" s="52"/>
      <c r="I1677" s="53">
        <v>45735</v>
      </c>
    </row>
    <row r="1678" spans="1:9">
      <c r="A1678" s="47">
        <v>618</v>
      </c>
      <c r="B1678" s="48" t="str">
        <f>IFERROR(VLOOKUP(A1678,CLIENTES!A:E,2,0),"CADASTRAR CLIENTE")</f>
        <v>LAB. ANAL. CLIN. POMPEIA</v>
      </c>
      <c r="C1678" s="54" t="s">
        <v>3</v>
      </c>
      <c r="D1678" s="54">
        <v>83761</v>
      </c>
      <c r="E1678" s="51">
        <v>599.4</v>
      </c>
      <c r="F1678" s="48"/>
      <c r="G1678" s="51"/>
      <c r="H1678" s="52"/>
      <c r="I1678" s="53">
        <v>45735</v>
      </c>
    </row>
    <row r="1679" spans="1:9">
      <c r="A1679" s="47">
        <v>516</v>
      </c>
      <c r="B1679" s="48" t="str">
        <f>IFERROR(VLOOKUP(A1679,CLIENTES!A:E,2,0),"CADASTRAR CLIENTE")</f>
        <v>TECNOLAB PATOLOGIA CLINICA S/C LTDA</v>
      </c>
      <c r="C1679" s="54" t="s">
        <v>2</v>
      </c>
      <c r="D1679" s="54">
        <v>83769</v>
      </c>
      <c r="E1679" s="51">
        <v>9703.09</v>
      </c>
      <c r="F1679" s="48"/>
      <c r="G1679" s="51"/>
      <c r="H1679" s="52"/>
      <c r="I1679" s="53">
        <v>45735</v>
      </c>
    </row>
    <row r="1680" spans="1:9">
      <c r="A1680" s="47">
        <v>1813</v>
      </c>
      <c r="B1680" s="48" t="str">
        <f>IFERROR(VLOOKUP(A1680,CLIENTES!A:E,2,0),"CADASTRAR CLIENTE")</f>
        <v>BIOMED LAB.ANAL.CLIN. SC  LTDA</v>
      </c>
      <c r="C1680" s="54" t="s">
        <v>3</v>
      </c>
      <c r="D1680" s="54">
        <v>83728</v>
      </c>
      <c r="E1680" s="51">
        <v>1057.5999999999999</v>
      </c>
      <c r="F1680" s="48"/>
      <c r="G1680" s="51"/>
      <c r="H1680" s="52"/>
      <c r="I1680" s="53">
        <v>45735</v>
      </c>
    </row>
    <row r="1681" spans="1:9">
      <c r="A1681" s="47">
        <v>2718</v>
      </c>
      <c r="B1681" s="48" t="str">
        <f>IFERROR(VLOOKUP(A1681,CLIENTES!A:E,2,0),"CADASTRAR CLIENTE")</f>
        <v>CADASTRAR CLIENTE</v>
      </c>
      <c r="C1681" s="54" t="s">
        <v>3</v>
      </c>
      <c r="D1681" s="54">
        <v>83793</v>
      </c>
      <c r="E1681" s="51">
        <v>2005</v>
      </c>
      <c r="F1681" s="48"/>
      <c r="G1681" s="51"/>
      <c r="H1681" s="52"/>
      <c r="I1681" s="53">
        <v>45736</v>
      </c>
    </row>
    <row r="1682" spans="1:9">
      <c r="A1682" s="47">
        <v>708</v>
      </c>
      <c r="B1682" s="48" t="str">
        <f>IFERROR(VLOOKUP(A1682,CLIENTES!A:E,2,0),"CADASTRAR CLIENTE")</f>
        <v>IMEDI INST.MEDICO DE PAT.E DIAGNOSTICO SC LTDA.</v>
      </c>
      <c r="C1682" s="54" t="s">
        <v>3</v>
      </c>
      <c r="D1682" s="54">
        <v>83465</v>
      </c>
      <c r="E1682" s="51">
        <v>2030</v>
      </c>
      <c r="F1682" s="48"/>
      <c r="G1682" s="51"/>
      <c r="H1682" s="52"/>
      <c r="I1682" s="53">
        <v>45736</v>
      </c>
    </row>
    <row r="1683" spans="1:9">
      <c r="A1683" s="47">
        <v>2955</v>
      </c>
      <c r="B1683" s="48" t="str">
        <f>IFERROR(VLOOKUP(A1683,CLIENTES!A:E,2,0),"CADASTRAR CLIENTE")</f>
        <v>ASSOCIACAO SANTA CASA SAUDE DE ARACATUBA</v>
      </c>
      <c r="C1683" s="54" t="s">
        <v>3</v>
      </c>
      <c r="D1683" s="54">
        <v>83716</v>
      </c>
      <c r="E1683" s="51">
        <v>3008.28</v>
      </c>
      <c r="F1683" s="48"/>
      <c r="G1683" s="51"/>
      <c r="H1683" s="52"/>
      <c r="I1683" s="53">
        <v>45736</v>
      </c>
    </row>
    <row r="1684" spans="1:9">
      <c r="A1684" s="47">
        <v>751</v>
      </c>
      <c r="B1684" s="48" t="str">
        <f>IFERROR(VLOOKUP(A1684,CLIENTES!A:E,2,0),"CADASTRAR CLIENTE")</f>
        <v>CADASTRAR CLIENTE</v>
      </c>
      <c r="C1684" s="54" t="s">
        <v>3</v>
      </c>
      <c r="D1684" s="54">
        <v>100599</v>
      </c>
      <c r="E1684" s="51">
        <v>977.4</v>
      </c>
      <c r="F1684" s="48"/>
      <c r="G1684" s="51"/>
      <c r="H1684" s="52"/>
      <c r="I1684" s="53">
        <v>45736</v>
      </c>
    </row>
    <row r="1685" spans="1:9">
      <c r="A1685" s="47">
        <v>762</v>
      </c>
      <c r="B1685" s="48" t="str">
        <f>IFERROR(VLOOKUP(A1685,CLIENTES!A:E,2,0),"CADASTRAR CLIENTE")</f>
        <v>STA. CASA MISERICORDIA DE ARACATUBA</v>
      </c>
      <c r="C1685" s="54" t="s">
        <v>2</v>
      </c>
      <c r="D1685" s="54" t="s">
        <v>497</v>
      </c>
      <c r="E1685" s="51">
        <v>13980.2</v>
      </c>
      <c r="F1685" s="48"/>
      <c r="G1685" s="51"/>
      <c r="H1685" s="52"/>
      <c r="I1685" s="53">
        <v>45736</v>
      </c>
    </row>
    <row r="1686" spans="1:9">
      <c r="A1686" s="47">
        <v>724</v>
      </c>
      <c r="B1686" s="48" t="str">
        <f>IFERROR(VLOOKUP(A1686,CLIENTES!A:E,2,0),"CADASTRAR CLIENTE")</f>
        <v>LAB. ANAL. CLIN. DRA SILVIA M.MANZATO LARANJO SC LTDA.</v>
      </c>
      <c r="C1686" s="54" t="s">
        <v>3</v>
      </c>
      <c r="D1686" s="54">
        <v>83703</v>
      </c>
      <c r="E1686" s="51">
        <v>250.9</v>
      </c>
      <c r="F1686" s="48"/>
      <c r="G1686" s="51"/>
      <c r="H1686" s="52"/>
      <c r="I1686" s="53">
        <v>45736</v>
      </c>
    </row>
    <row r="1687" spans="1:9">
      <c r="A1687" s="47">
        <v>1788</v>
      </c>
      <c r="B1687" s="48" t="str">
        <f>IFERROR(VLOOKUP(A1687,CLIENTES!A:E,2,0),"CADASTRAR CLIENTE")</f>
        <v>ZANATA &amp; REIS LABORCLINICA LTDA</v>
      </c>
      <c r="C1687" s="54" t="s">
        <v>3</v>
      </c>
      <c r="D1687" s="54">
        <v>83812</v>
      </c>
      <c r="E1687" s="51">
        <v>195</v>
      </c>
      <c r="F1687" s="48"/>
      <c r="G1687" s="51"/>
      <c r="H1687" s="52"/>
      <c r="I1687" s="53">
        <v>45736</v>
      </c>
    </row>
    <row r="1688" spans="1:9">
      <c r="A1688" s="47">
        <v>2022</v>
      </c>
      <c r="B1688" s="48" t="str">
        <f>IFERROR(VLOOKUP(A1688,CLIENTES!A:E,2,0),"CADASTRAR CLIENTE")</f>
        <v>LAB. MEDICO DR. MARICONDI S/C LTDA.</v>
      </c>
      <c r="C1688" s="54" t="s">
        <v>3</v>
      </c>
      <c r="D1688" s="54">
        <v>83811</v>
      </c>
      <c r="E1688" s="51">
        <v>1271.8800000000001</v>
      </c>
      <c r="F1688" s="48"/>
      <c r="G1688" s="51"/>
      <c r="H1688" s="52"/>
      <c r="I1688" s="53">
        <v>45736</v>
      </c>
    </row>
    <row r="1689" spans="1:9">
      <c r="A1689" s="47">
        <v>1058</v>
      </c>
      <c r="B1689" s="48" t="str">
        <f>IFERROR(VLOOKUP(A1689,CLIENTES!A:E,2,0),"CADASTRAR CLIENTE")</f>
        <v>LAB. ANAL. CLIN. DR ARNALDO BUAINAIN SS LTDA</v>
      </c>
      <c r="C1689" s="54" t="s">
        <v>3</v>
      </c>
      <c r="D1689" s="54">
        <v>83814</v>
      </c>
      <c r="E1689" s="51">
        <v>529.95000000000005</v>
      </c>
      <c r="F1689" s="48"/>
      <c r="G1689" s="51"/>
      <c r="H1689" s="52"/>
      <c r="I1689" s="53">
        <v>45736</v>
      </c>
    </row>
    <row r="1690" spans="1:9">
      <c r="A1690" s="47">
        <v>2163</v>
      </c>
      <c r="B1690" s="48" t="str">
        <f>IFERROR(VLOOKUP(A1690,CLIENTES!A:E,2,0),"CADASTRAR CLIENTE")</f>
        <v>BIO-LAB SAO JUDAS TADEU S/C LTDA - ME</v>
      </c>
      <c r="C1690" s="54" t="s">
        <v>328</v>
      </c>
      <c r="D1690" s="54">
        <v>83433</v>
      </c>
      <c r="E1690" s="51">
        <v>974.2</v>
      </c>
      <c r="F1690" s="48"/>
      <c r="G1690" s="51"/>
      <c r="H1690" s="52"/>
      <c r="I1690" s="53">
        <v>45736</v>
      </c>
    </row>
    <row r="1691" spans="1:9">
      <c r="A1691" s="47">
        <v>705</v>
      </c>
      <c r="B1691" s="48" t="str">
        <f>IFERROR(VLOOKUP(A1691,CLIENTES!A:E,2,0),"CADASTRAR CLIENTE")</f>
        <v>JOAO JOSE SCHIAVUZZO ME</v>
      </c>
      <c r="C1691" s="54" t="s">
        <v>3</v>
      </c>
      <c r="D1691" s="54">
        <v>100561</v>
      </c>
      <c r="E1691" s="51">
        <v>582.04999999999995</v>
      </c>
      <c r="F1691" s="48"/>
      <c r="G1691" s="51"/>
      <c r="H1691" s="52"/>
      <c r="I1691" s="53">
        <v>45736</v>
      </c>
    </row>
    <row r="1692" spans="1:9">
      <c r="A1692" s="47">
        <v>762</v>
      </c>
      <c r="B1692" s="48" t="str">
        <f>IFERROR(VLOOKUP(A1692,CLIENTES!A:E,2,0),"CADASTRAR CLIENTE")</f>
        <v>STA. CASA MISERICORDIA DE ARACATUBA</v>
      </c>
      <c r="C1692" s="54" t="s">
        <v>2</v>
      </c>
      <c r="D1692" s="54" t="s">
        <v>498</v>
      </c>
      <c r="E1692" s="51">
        <v>920</v>
      </c>
      <c r="F1692" s="48"/>
      <c r="G1692" s="51"/>
      <c r="H1692" s="52"/>
      <c r="I1692" s="53">
        <v>45736</v>
      </c>
    </row>
    <row r="1693" spans="1:9">
      <c r="A1693" s="47">
        <v>1533</v>
      </c>
      <c r="B1693" s="48" t="str">
        <f>IFERROR(VLOOKUP(A1693,CLIENTES!A:E,2,0),"CADASTRAR CLIENTE")</f>
        <v>LABORATORIO BIOANALISE DIAGNOSTICO LTDA</v>
      </c>
      <c r="C1693" s="54" t="s">
        <v>3</v>
      </c>
      <c r="D1693" s="54" t="s">
        <v>499</v>
      </c>
      <c r="E1693" s="51">
        <v>458.05</v>
      </c>
      <c r="F1693" s="48"/>
      <c r="G1693" s="51"/>
      <c r="H1693" s="52"/>
      <c r="I1693" s="53">
        <v>45736</v>
      </c>
    </row>
    <row r="1694" spans="1:9">
      <c r="A1694" s="47">
        <v>761</v>
      </c>
      <c r="B1694" s="48" t="str">
        <f>IFERROR(VLOOKUP(A1694,CLIENTES!A:E,2,0),"CADASTRAR CLIENTE")</f>
        <v>EXAME CENTRO DIAG.M.ARACATUBA SC LTDA.</v>
      </c>
      <c r="C1694" s="54" t="s">
        <v>3</v>
      </c>
      <c r="D1694" s="54" t="s">
        <v>500</v>
      </c>
      <c r="E1694" s="51">
        <v>382.89</v>
      </c>
      <c r="F1694" s="48"/>
      <c r="G1694" s="51"/>
      <c r="H1694" s="52"/>
      <c r="I1694" s="53">
        <v>45736</v>
      </c>
    </row>
    <row r="1695" spans="1:9">
      <c r="A1695" s="47">
        <v>1206</v>
      </c>
      <c r="B1695" s="48" t="str">
        <f>IFERROR(VLOOKUP(A1695,CLIENTES!A:E,2,0),"CADASTRAR CLIENTE")</f>
        <v>LABORATORIO RIO NEGRO CENTER DE MARILIA  LTDA</v>
      </c>
      <c r="C1695" s="54" t="s">
        <v>3</v>
      </c>
      <c r="D1695" s="54">
        <v>83841</v>
      </c>
      <c r="E1695" s="51">
        <v>395.28</v>
      </c>
      <c r="F1695" s="48"/>
      <c r="G1695" s="51"/>
      <c r="H1695" s="52"/>
      <c r="I1695" s="53">
        <v>45737</v>
      </c>
    </row>
    <row r="1696" spans="1:9">
      <c r="A1696" s="47">
        <v>1842</v>
      </c>
      <c r="B1696" s="48" t="str">
        <f>IFERROR(VLOOKUP(A1696,CLIENTES!A:E,2,0),"CADASTRAR CLIENTE")</f>
        <v>LABORATORIO UNILABVET EIRELI</v>
      </c>
      <c r="C1696" s="54" t="s">
        <v>3</v>
      </c>
      <c r="D1696" s="54" t="s">
        <v>501</v>
      </c>
      <c r="E1696" s="51">
        <v>515.16999999999996</v>
      </c>
      <c r="F1696" s="48"/>
      <c r="G1696" s="51"/>
      <c r="H1696" s="52"/>
      <c r="I1696" s="53">
        <v>45737</v>
      </c>
    </row>
    <row r="1697" spans="1:9">
      <c r="A1697" s="47">
        <v>2918</v>
      </c>
      <c r="B1697" s="48" t="str">
        <f>IFERROR(VLOOKUP(A1697,CLIENTES!A:E,2,0),"CADASTRAR CLIENTE")</f>
        <v>CADASTRAR CLIENTE</v>
      </c>
      <c r="C1697" s="54" t="s">
        <v>3</v>
      </c>
      <c r="D1697" s="54">
        <v>83871</v>
      </c>
      <c r="E1697" s="51">
        <v>1727.85</v>
      </c>
      <c r="F1697" s="48"/>
      <c r="G1697" s="51"/>
      <c r="H1697" s="52"/>
      <c r="I1697" s="53">
        <v>45737</v>
      </c>
    </row>
    <row r="1698" spans="1:9">
      <c r="A1698" s="47">
        <v>1164</v>
      </c>
      <c r="B1698" s="48" t="str">
        <f>IFERROR(VLOOKUP(A1698,CLIENTES!A:E,2,0),"CADASTRAR CLIENTE")</f>
        <v>LAB. ANAL. CLIN. SAO LOURENCO S/C LTDA</v>
      </c>
      <c r="C1698" s="54" t="s">
        <v>3</v>
      </c>
      <c r="D1698" s="54">
        <v>83884</v>
      </c>
      <c r="E1698" s="51">
        <v>573.48</v>
      </c>
      <c r="F1698" s="48"/>
      <c r="G1698" s="51"/>
      <c r="H1698" s="52"/>
      <c r="I1698" s="53">
        <v>45740</v>
      </c>
    </row>
    <row r="1699" spans="1:9">
      <c r="A1699" s="18">
        <v>171</v>
      </c>
      <c r="B1699" s="19" t="str">
        <f>IFERROR(VLOOKUP(A1699,CLIENTES!A:E,2,0),"CADASTRAR CLIENTE")</f>
        <v>HOSPITAL BENEFICENTE SAO JOSE</v>
      </c>
      <c r="C1699" s="60" t="s">
        <v>3</v>
      </c>
      <c r="D1699" s="60">
        <v>83874</v>
      </c>
      <c r="E1699" s="21">
        <v>1297.45</v>
      </c>
      <c r="F1699" s="19"/>
      <c r="G1699" s="21"/>
      <c r="H1699" s="22"/>
      <c r="I1699" s="20">
        <v>45712</v>
      </c>
    </row>
    <row r="1700" spans="1:9">
      <c r="A1700" s="18">
        <v>3077</v>
      </c>
      <c r="B1700" s="19" t="str">
        <f>IFERROR(VLOOKUP(A1700,CLIENTES!A:E,2,0),"CADASTRAR CLIENTE")</f>
        <v>CBI ANALISES CLINICAS S/S LTDA</v>
      </c>
      <c r="C1700" s="60" t="s">
        <v>3</v>
      </c>
      <c r="D1700" s="60" t="s">
        <v>506</v>
      </c>
      <c r="E1700" s="21">
        <v>871.62</v>
      </c>
      <c r="F1700" s="19"/>
      <c r="G1700" s="21"/>
      <c r="H1700" s="22"/>
      <c r="I1700" s="20">
        <v>45740</v>
      </c>
    </row>
    <row r="1701" spans="1:9">
      <c r="A1701" s="47">
        <v>917</v>
      </c>
      <c r="B1701" s="48" t="str">
        <f>IFERROR(VLOOKUP(A1701,CLIENTES!A:E,2,0),"CADASTRAR CLIENTE")</f>
        <v>CADASTRAR CLIENTE</v>
      </c>
      <c r="C1701" s="54" t="s">
        <v>3</v>
      </c>
      <c r="D1701" s="54" t="s">
        <v>502</v>
      </c>
      <c r="E1701" s="51">
        <v>327.05</v>
      </c>
      <c r="F1701" s="48"/>
      <c r="G1701" s="51"/>
      <c r="H1701" s="52"/>
      <c r="I1701" s="53">
        <v>45740</v>
      </c>
    </row>
    <row r="1702" spans="1:9">
      <c r="A1702" s="47">
        <v>50576</v>
      </c>
      <c r="B1702" s="48" t="str">
        <f>IFERROR(VLOOKUP(A1702,CLIENTES!A:E,2,0),"CADASTRAR CLIENTE")</f>
        <v>ANDRIAO CANEPPA E SILVA LTDA ME</v>
      </c>
      <c r="C1702" s="54" t="s">
        <v>3</v>
      </c>
      <c r="D1702" s="54" t="s">
        <v>503</v>
      </c>
      <c r="E1702" s="51">
        <v>3156.83</v>
      </c>
      <c r="F1702" s="48"/>
      <c r="G1702" s="51"/>
      <c r="H1702" s="52"/>
      <c r="I1702" s="53">
        <v>45741</v>
      </c>
    </row>
    <row r="1703" spans="1:9">
      <c r="A1703" s="47">
        <v>1371</v>
      </c>
      <c r="B1703" s="48" t="str">
        <f>IFERROR(VLOOKUP(A1703,CLIENTES!A:E,2,0),"CADASTRAR CLIENTE")</f>
        <v>MICHELE LOPES BERGAMIM-ME</v>
      </c>
      <c r="C1703" s="54" t="s">
        <v>3</v>
      </c>
      <c r="D1703" s="54">
        <v>83933</v>
      </c>
      <c r="E1703" s="51">
        <v>356.4</v>
      </c>
      <c r="F1703" s="48"/>
      <c r="G1703" s="51"/>
      <c r="H1703" s="52"/>
      <c r="I1703" s="53">
        <v>45741</v>
      </c>
    </row>
    <row r="1704" spans="1:9">
      <c r="A1704" s="47">
        <v>1533</v>
      </c>
      <c r="B1704" s="48" t="str">
        <f>IFERROR(VLOOKUP(A1704,CLIENTES!A:E,2,0),"CADASTRAR CLIENTE")</f>
        <v>LABORATORIO BIOANALISE DIAGNOSTICO LTDA</v>
      </c>
      <c r="C1704" s="54" t="s">
        <v>3</v>
      </c>
      <c r="D1704" s="54">
        <v>83938</v>
      </c>
      <c r="E1704" s="51">
        <v>1204.5</v>
      </c>
      <c r="F1704" s="48"/>
      <c r="G1704" s="51"/>
      <c r="H1704" s="52"/>
      <c r="I1704" s="53">
        <v>45741</v>
      </c>
    </row>
    <row r="1705" spans="1:9">
      <c r="A1705" s="47">
        <v>2022</v>
      </c>
      <c r="B1705" s="48" t="str">
        <f>IFERROR(VLOOKUP(A1705,CLIENTES!A:E,2,0),"CADASTRAR CLIENTE")</f>
        <v>LAB. MEDICO DR. MARICONDI S/C LTDA.</v>
      </c>
      <c r="C1705" s="54" t="s">
        <v>3</v>
      </c>
      <c r="D1705" s="54">
        <v>83917</v>
      </c>
      <c r="E1705" s="51">
        <v>366</v>
      </c>
      <c r="F1705" s="48"/>
      <c r="G1705" s="51"/>
      <c r="H1705" s="52"/>
      <c r="I1705" s="53">
        <v>45741</v>
      </c>
    </row>
    <row r="1706" spans="1:9">
      <c r="A1706" s="47">
        <v>581</v>
      </c>
      <c r="B1706" s="48" t="str">
        <f>IFERROR(VLOOKUP(A1706,CLIENTES!A:E,2,0),"CADASTRAR CLIENTE")</f>
        <v>CLINILAB LABORAT. ANAL. CLIN SC LTDA</v>
      </c>
      <c r="C1706" s="54" t="s">
        <v>3</v>
      </c>
      <c r="D1706" s="54" t="s">
        <v>504</v>
      </c>
      <c r="E1706" s="51">
        <v>2398.89</v>
      </c>
      <c r="F1706" s="48"/>
      <c r="G1706" s="51"/>
      <c r="H1706" s="52"/>
      <c r="I1706" s="53">
        <v>45741</v>
      </c>
    </row>
    <row r="1707" spans="1:9">
      <c r="A1707" s="47">
        <v>1502</v>
      </c>
      <c r="B1707" s="48" t="str">
        <f>IFERROR(VLOOKUP(A1707,CLIENTES!A:E,2,0),"CADASTRAR CLIENTE")</f>
        <v>ASSOC.CASA DE SAUDE BEN. DE INDIAPORA</v>
      </c>
      <c r="C1707" s="54" t="s">
        <v>2</v>
      </c>
      <c r="D1707" s="54">
        <v>8397</v>
      </c>
      <c r="E1707" s="51">
        <v>3528</v>
      </c>
      <c r="F1707" s="48"/>
      <c r="G1707" s="51"/>
      <c r="H1707" s="52"/>
      <c r="I1707" s="53">
        <v>45741</v>
      </c>
    </row>
    <row r="1708" spans="1:9">
      <c r="A1708" s="47">
        <v>613</v>
      </c>
      <c r="B1708" s="48" t="str">
        <f>IFERROR(VLOOKUP(A1708,CLIENTES!A:E,2,0),"CADASTRAR CLIENTE")</f>
        <v>CADASTRAR CLIENTE</v>
      </c>
      <c r="C1708" s="54" t="s">
        <v>3</v>
      </c>
      <c r="D1708" s="54">
        <v>83950</v>
      </c>
      <c r="E1708" s="51">
        <v>1021.35</v>
      </c>
      <c r="F1708" s="48"/>
      <c r="G1708" s="51"/>
      <c r="H1708" s="52"/>
      <c r="I1708" s="53">
        <v>45741</v>
      </c>
    </row>
    <row r="1709" spans="1:9">
      <c r="A1709" s="47">
        <v>2702</v>
      </c>
      <c r="B1709" s="48" t="str">
        <f>IFERROR(VLOOKUP(A1709,CLIENTES!A:E,2,0),"CADASTRAR CLIENTE")</f>
        <v>SANTA CASA DE MISER. DE TAQUARITUBA</v>
      </c>
      <c r="C1709" s="54" t="s">
        <v>3</v>
      </c>
      <c r="D1709" s="54">
        <v>83940</v>
      </c>
      <c r="E1709" s="51">
        <v>680.8</v>
      </c>
      <c r="F1709" s="48"/>
      <c r="G1709" s="51"/>
      <c r="H1709" s="52"/>
      <c r="I1709" s="53">
        <v>45741</v>
      </c>
    </row>
    <row r="1710" spans="1:9">
      <c r="A1710" s="47">
        <v>784</v>
      </c>
      <c r="B1710" s="48" t="str">
        <f>IFERROR(VLOOKUP(A1710,CLIENTES!A:E,2,0),"CADASTRAR CLIENTE")</f>
        <v>LAB.ANAL.CLIN. ALBERT SABIN SC LTDA.</v>
      </c>
      <c r="C1710" s="54" t="s">
        <v>3</v>
      </c>
      <c r="D1710" s="54">
        <v>83687</v>
      </c>
      <c r="E1710" s="51">
        <v>275.60000000000002</v>
      </c>
      <c r="F1710" s="48"/>
      <c r="G1710" s="51"/>
      <c r="H1710" s="52"/>
      <c r="I1710" s="53">
        <v>45741</v>
      </c>
    </row>
    <row r="1711" spans="1:9">
      <c r="A1711" s="47">
        <v>463</v>
      </c>
      <c r="B1711" s="48" t="str">
        <f>IFERROR(VLOOKUP(A1711,CLIENTES!A:E,2,0),"CADASTRAR CLIENTE")</f>
        <v>MASUDA &amp; MASUDA LABORATORIO CLINICO LTDA</v>
      </c>
      <c r="C1711" s="54" t="s">
        <v>3</v>
      </c>
      <c r="D1711" s="54">
        <v>83954</v>
      </c>
      <c r="E1711" s="51">
        <v>1317.1</v>
      </c>
      <c r="F1711" s="48"/>
      <c r="G1711" s="51"/>
      <c r="H1711" s="52"/>
      <c r="I1711" s="53">
        <v>45741</v>
      </c>
    </row>
    <row r="1712" spans="1:9">
      <c r="A1712" s="47">
        <v>960</v>
      </c>
      <c r="B1712" s="48" t="str">
        <f>IFERROR(VLOOKUP(A1712,CLIENTES!A:E,2,0),"CADASTRAR CLIENTE")</f>
        <v>LUIS VALERIO FILHO-ME</v>
      </c>
      <c r="C1712" s="54" t="s">
        <v>3</v>
      </c>
      <c r="D1712" s="54" t="s">
        <v>505</v>
      </c>
      <c r="E1712" s="51">
        <v>996.37</v>
      </c>
      <c r="F1712" s="48"/>
      <c r="G1712" s="51"/>
      <c r="H1712" s="52"/>
      <c r="I1712" s="53">
        <v>45742</v>
      </c>
    </row>
    <row r="1713" spans="1:9">
      <c r="A1713" s="47">
        <v>2181</v>
      </c>
      <c r="B1713" s="48" t="str">
        <f>IFERROR(VLOOKUP(A1713,CLIENTES!A:E,2,0),"CADASTRAR CLIENTE")</f>
        <v>CADASTRAR CLIENTE</v>
      </c>
      <c r="C1713" s="54" t="s">
        <v>3</v>
      </c>
      <c r="D1713" s="54">
        <v>83991</v>
      </c>
      <c r="E1713" s="51">
        <v>99.67</v>
      </c>
      <c r="F1713" s="48"/>
      <c r="G1713" s="51"/>
      <c r="H1713" s="52"/>
      <c r="I1713" s="53">
        <v>45742</v>
      </c>
    </row>
    <row r="1714" spans="1:9">
      <c r="A1714" s="47">
        <v>1989</v>
      </c>
      <c r="B1714" s="48" t="str">
        <f>IFERROR(VLOOKUP(A1714,CLIENTES!A:E,2,0),"CADASTRAR CLIENTE")</f>
        <v>SAO FRANCISCO ANAL. CLIN.</v>
      </c>
      <c r="C1714" s="54" t="s">
        <v>3</v>
      </c>
      <c r="D1714" s="54">
        <v>83239</v>
      </c>
      <c r="E1714" s="51">
        <v>606.13</v>
      </c>
      <c r="F1714" s="48"/>
      <c r="G1714" s="51"/>
      <c r="H1714" s="52"/>
      <c r="I1714" s="53">
        <v>45742</v>
      </c>
    </row>
    <row r="1715" spans="1:9">
      <c r="A1715" s="47">
        <v>50554</v>
      </c>
      <c r="B1715" s="48" t="str">
        <f>IFERROR(VLOOKUP(A1715,CLIENTES!A:E,2,0),"CADASTRAR CLIENTE")</f>
        <v>SAO ROQUE MEDICINA DIAGNOSTICA</v>
      </c>
      <c r="C1715" s="54" t="s">
        <v>3</v>
      </c>
      <c r="D1715" s="54">
        <v>83240</v>
      </c>
      <c r="E1715" s="51">
        <v>189</v>
      </c>
      <c r="F1715" s="48"/>
      <c r="G1715" s="51"/>
      <c r="H1715" s="52"/>
      <c r="I1715" s="53">
        <v>45742</v>
      </c>
    </row>
    <row r="1716" spans="1:9">
      <c r="A1716" s="47">
        <v>690</v>
      </c>
      <c r="B1716" s="48" t="str">
        <f>IFERROR(VLOOKUP(A1716,CLIENTES!A:E,2,0),"CADASTRAR CLIENTE")</f>
        <v>SAO ROQUE MEDICINA DIAGNOSTICA LTDA EPP</v>
      </c>
      <c r="C1716" s="54" t="s">
        <v>3</v>
      </c>
      <c r="D1716" s="54" t="s">
        <v>507</v>
      </c>
      <c r="E1716" s="51">
        <v>529</v>
      </c>
      <c r="F1716" s="48"/>
      <c r="G1716" s="51"/>
      <c r="H1716" s="52"/>
      <c r="I1716" s="53">
        <v>45743</v>
      </c>
    </row>
    <row r="1717" spans="1:9">
      <c r="A1717" s="47">
        <v>412</v>
      </c>
      <c r="B1717" s="48" t="str">
        <f>IFERROR(VLOOKUP(A1717,CLIENTES!A:E,2,0),"CADASTRAR CLIENTE")</f>
        <v>LAB.ANAL.CLIN.SAO MANUEL SC LTDA.</v>
      </c>
      <c r="C1717" s="54" t="s">
        <v>3</v>
      </c>
      <c r="D1717" s="54">
        <v>100630</v>
      </c>
      <c r="E1717" s="51">
        <v>402.2</v>
      </c>
      <c r="F1717" s="48"/>
      <c r="G1717" s="51"/>
      <c r="H1717" s="52"/>
      <c r="I1717" s="53">
        <v>45743</v>
      </c>
    </row>
    <row r="1718" spans="1:9">
      <c r="A1718" s="47">
        <v>725</v>
      </c>
      <c r="B1718" s="48" t="str">
        <f>IFERROR(VLOOKUP(A1718,CLIENTES!A:E,2,0),"CADASTRAR CLIENTE")</f>
        <v>LAB. ANAL. CLIN. DR. ALUISIO CASELLA</v>
      </c>
      <c r="C1718" s="54" t="s">
        <v>3</v>
      </c>
      <c r="D1718" s="54">
        <v>83738</v>
      </c>
      <c r="E1718" s="51">
        <v>1199.6500000000001</v>
      </c>
      <c r="F1718" s="48"/>
      <c r="G1718" s="51"/>
      <c r="H1718" s="52"/>
      <c r="I1718" s="53">
        <v>45743</v>
      </c>
    </row>
    <row r="1719" spans="1:9">
      <c r="A1719" s="47">
        <v>823</v>
      </c>
      <c r="B1719" s="48" t="str">
        <f>IFERROR(VLOOKUP(A1719,CLIENTES!A:E,2,0),"CADASTRAR CLIENTE")</f>
        <v>SANCHES x SANCHES S/C LTDA</v>
      </c>
      <c r="C1719" s="54" t="s">
        <v>3</v>
      </c>
      <c r="D1719" s="54" t="s">
        <v>508</v>
      </c>
      <c r="E1719" s="51">
        <v>4552.3500000000004</v>
      </c>
      <c r="F1719" s="48"/>
      <c r="G1719" s="51"/>
      <c r="H1719" s="52"/>
      <c r="I1719" s="53">
        <v>45743</v>
      </c>
    </row>
    <row r="1720" spans="1:9">
      <c r="A1720" s="47">
        <v>2022</v>
      </c>
      <c r="B1720" s="48" t="str">
        <f>IFERROR(VLOOKUP(A1720,CLIENTES!A:E,2,0),"CADASTRAR CLIENTE")</f>
        <v>LAB. MEDICO DR. MARICONDI S/C LTDA.</v>
      </c>
      <c r="C1720" s="54" t="s">
        <v>3</v>
      </c>
      <c r="D1720" s="54" t="s">
        <v>509</v>
      </c>
      <c r="E1720" s="51">
        <v>15177.23</v>
      </c>
      <c r="F1720" s="48"/>
      <c r="G1720" s="51"/>
      <c r="H1720" s="52"/>
      <c r="I1720" s="53">
        <v>45743</v>
      </c>
    </row>
    <row r="1721" spans="1:9">
      <c r="A1721" s="47">
        <v>3475</v>
      </c>
      <c r="B1721" s="48" t="str">
        <f>IFERROR(VLOOKUP(A1721,CLIENTES!A:E,2,0),"CADASTRAR CLIENTE")</f>
        <v>LQF LABORATORIO QUIMICO FARMACEUTICO RIO PRETO EIRELI - ME</v>
      </c>
      <c r="C1721" s="54" t="s">
        <v>3</v>
      </c>
      <c r="D1721" s="54">
        <v>83197</v>
      </c>
      <c r="E1721" s="51">
        <v>46</v>
      </c>
      <c r="F1721" s="48"/>
      <c r="G1721" s="51"/>
      <c r="H1721" s="52"/>
      <c r="I1721" s="53">
        <v>45747</v>
      </c>
    </row>
    <row r="1722" spans="1:9">
      <c r="A1722" s="47">
        <v>784</v>
      </c>
      <c r="B1722" s="48" t="str">
        <f>IFERROR(VLOOKUP(A1722,CLIENTES!A:E,2,0),"CADASTRAR CLIENTE")</f>
        <v>LAB.ANAL.CLIN. ALBERT SABIN SC LTDA.</v>
      </c>
      <c r="C1722" s="54" t="s">
        <v>3</v>
      </c>
      <c r="D1722" s="54">
        <v>84096</v>
      </c>
      <c r="E1722" s="51">
        <v>8219</v>
      </c>
      <c r="F1722" s="48"/>
      <c r="G1722" s="51"/>
      <c r="H1722" s="52"/>
      <c r="I1722" s="53">
        <v>45747</v>
      </c>
    </row>
    <row r="1723" spans="1:9">
      <c r="A1723" s="47">
        <v>571</v>
      </c>
      <c r="B1723" s="48" t="str">
        <f>IFERROR(VLOOKUP(A1723,CLIENTES!A:E,2,0),"CADASTRAR CLIENTE")</f>
        <v>CADASTRAR CLIENTE</v>
      </c>
      <c r="C1723" s="54" t="s">
        <v>3</v>
      </c>
      <c r="D1723" s="54">
        <v>84091</v>
      </c>
      <c r="E1723" s="51">
        <v>2466.65</v>
      </c>
      <c r="F1723" s="48"/>
      <c r="G1723" s="51"/>
      <c r="H1723" s="52"/>
      <c r="I1723" s="53">
        <v>45747</v>
      </c>
    </row>
    <row r="1724" spans="1:9">
      <c r="A1724" s="47">
        <v>1026</v>
      </c>
      <c r="B1724" s="48" t="str">
        <f>IFERROR(VLOOKUP(A1724,CLIENTES!A:E,2,0),"CADASTRAR CLIENTE")</f>
        <v>LABSC SERVICOS LABORATORIAIS LTDA</v>
      </c>
      <c r="C1724" s="54" t="s">
        <v>3</v>
      </c>
      <c r="D1724" s="54">
        <v>84095</v>
      </c>
      <c r="E1724" s="51">
        <v>1092</v>
      </c>
      <c r="F1724" s="48"/>
      <c r="G1724" s="51"/>
      <c r="H1724" s="52"/>
      <c r="I1724" s="53">
        <v>45747</v>
      </c>
    </row>
    <row r="1725" spans="1:9">
      <c r="A1725" s="47">
        <v>2911</v>
      </c>
      <c r="B1725" s="48" t="str">
        <f>IFERROR(VLOOKUP(A1725,CLIENTES!A:E,2,0),"CADASTRAR CLIENTE")</f>
        <v>BIOLIFE-LABORATORIO DE ANALISES CLINICAS LTDA</v>
      </c>
      <c r="C1725" s="54" t="s">
        <v>3</v>
      </c>
      <c r="D1725" s="54" t="s">
        <v>511</v>
      </c>
      <c r="E1725" s="51">
        <v>3469.61</v>
      </c>
      <c r="F1725" s="48"/>
      <c r="G1725" s="51"/>
      <c r="H1725" s="52"/>
      <c r="I1725" s="53">
        <v>45747</v>
      </c>
    </row>
    <row r="1726" spans="1:9">
      <c r="A1726" s="47">
        <v>50990</v>
      </c>
      <c r="B1726" s="48" t="str">
        <f>IFERROR(VLOOKUP(A1726,CLIENTES!A:E,2,0),"CADASTRAR CLIENTE")</f>
        <v>GREEN LIFE PET BRANDS LTDA</v>
      </c>
      <c r="C1726" s="54" t="s">
        <v>3</v>
      </c>
      <c r="D1726" s="54">
        <v>83302</v>
      </c>
      <c r="E1726" s="51">
        <v>287.7</v>
      </c>
      <c r="F1726" s="48"/>
      <c r="G1726" s="51"/>
      <c r="H1726" s="52"/>
      <c r="I1726" s="53">
        <v>45747</v>
      </c>
    </row>
    <row r="1727" spans="1:9">
      <c r="A1727" s="47">
        <v>1016</v>
      </c>
      <c r="B1727" s="48" t="str">
        <f>IFERROR(VLOOKUP(A1727,CLIENTES!A:E,2,0),"CADASTRAR CLIENTE")</f>
        <v>LAB.ANAL.CLIN. SAO LUCAS SC LTDA.</v>
      </c>
      <c r="C1727" s="54" t="s">
        <v>328</v>
      </c>
      <c r="D1727" s="54" t="s">
        <v>515</v>
      </c>
      <c r="E1727" s="51">
        <v>2411.1</v>
      </c>
      <c r="F1727" s="48"/>
      <c r="G1727" s="51"/>
      <c r="H1727" s="52"/>
      <c r="I1727" s="53">
        <v>45747</v>
      </c>
    </row>
    <row r="1728" spans="1:9">
      <c r="A1728" s="47">
        <v>1206</v>
      </c>
      <c r="B1728" s="48" t="str">
        <f>IFERROR(VLOOKUP(A1728,CLIENTES!A:E,2,0),"CADASTRAR CLIENTE")</f>
        <v>LABORATORIO RIO NEGRO CENTER DE MARILIA  LTDA</v>
      </c>
      <c r="C1728" s="54" t="s">
        <v>3</v>
      </c>
      <c r="D1728" s="54">
        <v>84157</v>
      </c>
      <c r="E1728" s="51">
        <v>1059.3499999999999</v>
      </c>
      <c r="F1728" s="48"/>
      <c r="G1728" s="51"/>
      <c r="H1728" s="52"/>
      <c r="I1728" s="53">
        <v>45748</v>
      </c>
    </row>
    <row r="1729" spans="1:9">
      <c r="A1729" s="47">
        <v>906</v>
      </c>
      <c r="B1729" s="48" t="str">
        <f>IFERROR(VLOOKUP(A1729,CLIENTES!A:E,2,0),"CADASTRAR CLIENTE")</f>
        <v>LABORATORIO ANAL. CLIN. DESCALVADO LTDA</v>
      </c>
      <c r="C1729" s="54" t="s">
        <v>3</v>
      </c>
      <c r="D1729" s="54" t="s">
        <v>516</v>
      </c>
      <c r="E1729" s="51">
        <v>4893.58</v>
      </c>
      <c r="F1729" s="48"/>
      <c r="G1729" s="51"/>
      <c r="H1729" s="52"/>
      <c r="I1729" s="53">
        <v>45748</v>
      </c>
    </row>
    <row r="1730" spans="1:9">
      <c r="A1730" s="47">
        <v>50219</v>
      </c>
      <c r="B1730" s="48" t="str">
        <f>IFERROR(VLOOKUP(A1730,CLIENTES!A:E,2,0),"CADASTRAR CLIENTE")</f>
        <v>UNIPREV LAB DE ANALISES LOCACAO DE BENS E REPAROS LTDA EPP</v>
      </c>
      <c r="C1730" s="54" t="s">
        <v>2</v>
      </c>
      <c r="D1730" s="54">
        <v>84125</v>
      </c>
      <c r="E1730" s="51">
        <v>3830.39</v>
      </c>
      <c r="F1730" s="48"/>
      <c r="G1730" s="51"/>
      <c r="H1730" s="52"/>
      <c r="I1730" s="53">
        <v>45747</v>
      </c>
    </row>
    <row r="1731" spans="1:9">
      <c r="A1731" s="47">
        <v>746</v>
      </c>
      <c r="B1731" s="48" t="str">
        <f>IFERROR(VLOOKUP(A1731,CLIENTES!A:E,2,0),"CADASTRAR CLIENTE")</f>
        <v>LAB.ANAL.CLIN.BIOCLIN SC LTDA.</v>
      </c>
      <c r="C1731" s="54" t="s">
        <v>328</v>
      </c>
      <c r="D1731" s="54" t="s">
        <v>517</v>
      </c>
      <c r="E1731" s="51">
        <v>8228.83</v>
      </c>
      <c r="F1731" s="48"/>
      <c r="G1731" s="51"/>
      <c r="H1731" s="52"/>
      <c r="I1731" s="53">
        <v>45748</v>
      </c>
    </row>
    <row r="1732" spans="1:9">
      <c r="A1732" s="47">
        <v>663</v>
      </c>
      <c r="B1732" s="48" t="str">
        <f>IFERROR(VLOOKUP(A1732,CLIENTES!A:E,2,0),"CADASTRAR CLIENTE")</f>
        <v>LAB. MEDICO GUIMARAES</v>
      </c>
      <c r="C1732" s="54" t="s">
        <v>3</v>
      </c>
      <c r="D1732" s="54" t="s">
        <v>518</v>
      </c>
      <c r="E1732" s="51">
        <v>1271.21</v>
      </c>
      <c r="F1732" s="48"/>
      <c r="G1732" s="51"/>
      <c r="H1732" s="52"/>
      <c r="I1732" s="53">
        <v>45748</v>
      </c>
    </row>
    <row r="1733" spans="1:9">
      <c r="A1733" s="47">
        <v>738</v>
      </c>
      <c r="B1733" s="48" t="str">
        <f>IFERROR(VLOOKUP(A1733,CLIENTES!A:E,2,0),"CADASTRAR CLIENTE")</f>
        <v>CADASTRAR CLIENTE</v>
      </c>
      <c r="C1733" s="54" t="s">
        <v>3</v>
      </c>
      <c r="D1733" s="54">
        <v>83864</v>
      </c>
      <c r="E1733" s="51">
        <v>6724</v>
      </c>
      <c r="F1733" s="48"/>
      <c r="G1733" s="51"/>
      <c r="H1733" s="52"/>
      <c r="I1733" s="53">
        <v>45748</v>
      </c>
    </row>
    <row r="1734" spans="1:9">
      <c r="A1734" s="47">
        <v>50185</v>
      </c>
      <c r="B1734" s="48" t="str">
        <f>IFERROR(VLOOKUP(A1734,CLIENTES!A:E,2,0),"CADASTRAR CLIENTE")</f>
        <v>ANIMALAB SS LTDA</v>
      </c>
      <c r="C1734" s="54" t="s">
        <v>3</v>
      </c>
      <c r="D1734" s="54">
        <v>84165</v>
      </c>
      <c r="E1734" s="51">
        <v>244</v>
      </c>
      <c r="F1734" s="48"/>
      <c r="G1734" s="51"/>
      <c r="H1734" s="52"/>
      <c r="I1734" s="53">
        <v>45748</v>
      </c>
    </row>
    <row r="1735" spans="1:9">
      <c r="A1735" s="47">
        <v>500481</v>
      </c>
      <c r="B1735" s="48" t="str">
        <f>IFERROR(VLOOKUP(A1735,CLIENTES!A:E,2,0),"CADASTRAR CLIENTE")</f>
        <v>OBERON CENTRO VETERINARIO LTDA</v>
      </c>
      <c r="C1735" s="54" t="s">
        <v>3</v>
      </c>
      <c r="D1735" s="54">
        <v>84168</v>
      </c>
      <c r="E1735" s="51">
        <v>36.5</v>
      </c>
      <c r="F1735" s="48"/>
      <c r="G1735" s="51"/>
      <c r="H1735" s="52"/>
      <c r="I1735" s="53">
        <v>45748</v>
      </c>
    </row>
    <row r="1736" spans="1:9">
      <c r="A1736" s="47">
        <v>171</v>
      </c>
      <c r="B1736" s="48" t="str">
        <f>IFERROR(VLOOKUP(A1736,CLIENTES!A:E,2,0),"CADASTRAR CLIENTE")</f>
        <v>HOSPITAL BENEFICENTE SAO JOSE</v>
      </c>
      <c r="C1736" s="54" t="s">
        <v>3</v>
      </c>
      <c r="D1736" s="54" t="s">
        <v>519</v>
      </c>
      <c r="E1736" s="51">
        <v>1167.6500000000001</v>
      </c>
      <c r="F1736" s="48"/>
      <c r="G1736" s="51"/>
      <c r="H1736" s="52"/>
      <c r="I1736" s="53">
        <v>45749</v>
      </c>
    </row>
    <row r="1737" spans="1:9">
      <c r="A1737" s="47">
        <v>725</v>
      </c>
      <c r="B1737" s="48" t="str">
        <f>IFERROR(VLOOKUP(A1737,CLIENTES!A:E,2,0),"CADASTRAR CLIENTE")</f>
        <v>LAB. ANAL. CLIN. DR. ALUISIO CASELLA</v>
      </c>
      <c r="C1737" s="54" t="s">
        <v>3</v>
      </c>
      <c r="D1737" s="54">
        <v>84218</v>
      </c>
      <c r="E1737" s="51">
        <v>267.29000000000002</v>
      </c>
      <c r="F1737" s="48"/>
      <c r="G1737" s="51"/>
      <c r="H1737" s="52"/>
      <c r="I1737" s="53">
        <v>45749</v>
      </c>
    </row>
    <row r="1738" spans="1:9">
      <c r="A1738" s="47">
        <v>3153</v>
      </c>
      <c r="B1738" s="48" t="str">
        <f>IFERROR(VLOOKUP(A1738,CLIENTES!A:E,2,0),"CADASTRAR CLIENTE")</f>
        <v>UNIMED DE TUPA COOPERATIVA DE TRABALHO MEDICO</v>
      </c>
      <c r="C1738" s="54" t="s">
        <v>3</v>
      </c>
      <c r="D1738" s="54" t="s">
        <v>520</v>
      </c>
      <c r="E1738" s="51">
        <v>1936.95</v>
      </c>
      <c r="F1738" s="48"/>
      <c r="G1738" s="51"/>
      <c r="H1738" s="52"/>
      <c r="I1738" s="53">
        <v>45749</v>
      </c>
    </row>
    <row r="1739" spans="1:9">
      <c r="A1739" s="47">
        <v>1122</v>
      </c>
      <c r="B1739" s="48" t="str">
        <f>IFERROR(VLOOKUP(A1739,CLIENTES!A:E,2,0),"CADASTRAR CLIENTE")</f>
        <v>FUNDEPAG</v>
      </c>
      <c r="C1739" s="54" t="s">
        <v>3</v>
      </c>
      <c r="D1739" s="54" t="s">
        <v>521</v>
      </c>
      <c r="E1739" s="51">
        <v>3021.13</v>
      </c>
      <c r="F1739" s="48"/>
      <c r="G1739" s="51"/>
      <c r="H1739" s="52"/>
      <c r="I1739" s="53">
        <v>45749</v>
      </c>
    </row>
    <row r="1740" spans="1:9">
      <c r="A1740" s="47">
        <v>1493</v>
      </c>
      <c r="B1740" s="48" t="str">
        <f>IFERROR(VLOOKUP(A1740,CLIENTES!A:E,2,0),"CADASTRAR CLIENTE")</f>
        <v>CEDIMA  CENTRO DE DIAG MONTE AZUL ANAL CLIN E CIT</v>
      </c>
      <c r="C1740" s="54" t="s">
        <v>328</v>
      </c>
      <c r="D1740" s="54">
        <v>84243</v>
      </c>
      <c r="E1740" s="51">
        <v>1690.25</v>
      </c>
      <c r="F1740" s="48"/>
      <c r="G1740" s="51"/>
      <c r="H1740" s="52"/>
      <c r="I1740" s="53">
        <v>45749</v>
      </c>
    </row>
    <row r="1741" spans="1:9">
      <c r="A1741" s="47">
        <v>1623</v>
      </c>
      <c r="B1741" s="48" t="str">
        <f>IFERROR(VLOOKUP(A1741,CLIENTES!A:E,2,0),"CADASTRAR CLIENTE")</f>
        <v>LAB.ANAL.CLIN. E REP. BADY BASSIT LTDA</v>
      </c>
      <c r="C1741" s="54" t="s">
        <v>3</v>
      </c>
      <c r="D1741" s="54">
        <v>84248</v>
      </c>
      <c r="E1741" s="51">
        <v>835.4</v>
      </c>
      <c r="F1741" s="48"/>
      <c r="G1741" s="51"/>
      <c r="H1741" s="52"/>
      <c r="I1741" s="53">
        <v>45749</v>
      </c>
    </row>
    <row r="1742" spans="1:9">
      <c r="A1742" s="47">
        <v>575</v>
      </c>
      <c r="B1742" s="48" t="str">
        <f>IFERROR(VLOOKUP(A1742,CLIENTES!A:E,2,0),"CADASTRAR CLIENTE")</f>
        <v>DR MUNHOZ HOSPITAL VETERINARIO E PET SHOP</v>
      </c>
      <c r="C1742" s="54" t="s">
        <v>3</v>
      </c>
      <c r="D1742" s="54">
        <v>84014</v>
      </c>
      <c r="E1742" s="51">
        <v>252.5</v>
      </c>
      <c r="F1742" s="48"/>
      <c r="G1742" s="51"/>
      <c r="H1742" s="52"/>
      <c r="I1742" s="53">
        <v>45750</v>
      </c>
    </row>
    <row r="1743" spans="1:9">
      <c r="A1743" s="47">
        <v>1842</v>
      </c>
      <c r="B1743" s="48" t="str">
        <f>IFERROR(VLOOKUP(A1743,CLIENTES!A:E,2,0),"CADASTRAR CLIENTE")</f>
        <v>LABORATORIO UNILABVET EIRELI</v>
      </c>
      <c r="C1743" s="54" t="s">
        <v>3</v>
      </c>
      <c r="D1743" s="54">
        <v>84000</v>
      </c>
      <c r="E1743" s="51">
        <v>385.2</v>
      </c>
      <c r="F1743" s="48"/>
      <c r="G1743" s="51"/>
      <c r="H1743" s="52"/>
      <c r="I1743" s="53">
        <v>45750</v>
      </c>
    </row>
    <row r="1744" spans="1:9">
      <c r="A1744" s="47">
        <v>311</v>
      </c>
      <c r="B1744" s="48" t="str">
        <f>IFERROR(VLOOKUP(A1744,CLIENTES!A:E,2,0),"CADASTRAR CLIENTE")</f>
        <v>CENTRO DE ANAL.CLIN. UNILAB  SC LTDA.</v>
      </c>
      <c r="C1744" s="54" t="s">
        <v>3</v>
      </c>
      <c r="D1744" s="54">
        <v>84254</v>
      </c>
      <c r="E1744" s="51">
        <v>1396.2</v>
      </c>
      <c r="F1744" s="48"/>
      <c r="G1744" s="51"/>
      <c r="H1744" s="52"/>
      <c r="I1744" s="53">
        <v>45750</v>
      </c>
    </row>
    <row r="1745" spans="1:9">
      <c r="A1745" s="47">
        <v>124</v>
      </c>
      <c r="B1745" s="48" t="str">
        <f>IFERROR(VLOOKUP(A1745,CLIENTES!A:E,2,0),"CADASTRAR CLIENTE")</f>
        <v>CADASTRAR CLIENTE</v>
      </c>
      <c r="C1745" s="54" t="s">
        <v>3</v>
      </c>
      <c r="D1745" s="54">
        <v>84252</v>
      </c>
      <c r="E1745" s="51">
        <v>594.1</v>
      </c>
      <c r="F1745" s="48"/>
      <c r="G1745" s="51"/>
      <c r="H1745" s="52"/>
      <c r="I1745" s="53">
        <v>45750</v>
      </c>
    </row>
    <row r="1746" spans="1:9">
      <c r="A1746" s="47">
        <v>1240</v>
      </c>
      <c r="B1746" s="48" t="str">
        <f>IFERROR(VLOOKUP(A1746,CLIENTES!A:E,2,0),"CADASTRAR CLIENTE")</f>
        <v>MONICA VIEIRA DE CAMPOS REBELO-ME</v>
      </c>
      <c r="C1746" s="54" t="s">
        <v>3</v>
      </c>
      <c r="D1746" s="54">
        <v>84302</v>
      </c>
      <c r="E1746" s="51">
        <v>2212.84</v>
      </c>
      <c r="F1746" s="48"/>
      <c r="G1746" s="51"/>
      <c r="H1746" s="52"/>
      <c r="I1746" s="53">
        <v>45750</v>
      </c>
    </row>
    <row r="1747" spans="1:9">
      <c r="A1747" s="47">
        <v>690</v>
      </c>
      <c r="B1747" s="48" t="str">
        <f>IFERROR(VLOOKUP(A1747,CLIENTES!A:E,2,0),"CADASTRAR CLIENTE")</f>
        <v>SAO ROQUE MEDICINA DIAGNOSTICA LTDA EPP</v>
      </c>
      <c r="C1747" s="54" t="s">
        <v>3</v>
      </c>
      <c r="D1747" s="54" t="s">
        <v>522</v>
      </c>
      <c r="E1747" s="51">
        <v>2151.88</v>
      </c>
      <c r="F1747" s="48"/>
      <c r="G1747" s="51"/>
      <c r="H1747" s="52"/>
      <c r="I1747" s="53">
        <v>45751</v>
      </c>
    </row>
    <row r="1748" spans="1:9">
      <c r="A1748" s="47">
        <v>68</v>
      </c>
      <c r="B1748" s="48" t="str">
        <f>IFERROR(VLOOKUP(A1748,CLIENTES!A:E,2,0),"CADASTRAR CLIENTE")</f>
        <v>CADASTRAR CLIENTE</v>
      </c>
      <c r="C1748" s="54" t="s">
        <v>3</v>
      </c>
      <c r="D1748" s="54">
        <v>84322</v>
      </c>
      <c r="E1748" s="51">
        <v>4199.3500000000004</v>
      </c>
      <c r="F1748" s="48"/>
      <c r="G1748" s="51"/>
      <c r="H1748" s="52"/>
      <c r="I1748" s="53">
        <v>45751</v>
      </c>
    </row>
    <row r="1749" spans="1:9">
      <c r="A1749" s="47">
        <v>500481</v>
      </c>
      <c r="B1749" s="48" t="str">
        <f>IFERROR(VLOOKUP(A1749,CLIENTES!A:E,2,0),"CADASTRAR CLIENTE")</f>
        <v>OBERON CENTRO VETERINARIO LTDA</v>
      </c>
      <c r="C1749" s="54" t="s">
        <v>3</v>
      </c>
      <c r="D1749" s="54" t="s">
        <v>523</v>
      </c>
      <c r="E1749" s="51">
        <v>1019.78</v>
      </c>
      <c r="F1749" s="48"/>
      <c r="G1749" s="51"/>
      <c r="H1749" s="52"/>
      <c r="I1749" s="53">
        <v>45754</v>
      </c>
    </row>
    <row r="1750" spans="1:9">
      <c r="A1750" s="47">
        <v>620</v>
      </c>
      <c r="B1750" s="48" t="str">
        <f>IFERROR(VLOOKUP(A1750,CLIENTES!A:E,2,0),"CADASTRAR CLIENTE")</f>
        <v>LAB.SAO PAULO DE ANAL.CLIN.SC LTDA.</v>
      </c>
      <c r="C1750" s="54" t="s">
        <v>3</v>
      </c>
      <c r="D1750" s="54" t="s">
        <v>524</v>
      </c>
      <c r="E1750" s="51">
        <v>729.78</v>
      </c>
      <c r="F1750" s="48"/>
      <c r="G1750" s="51"/>
      <c r="H1750" s="52"/>
      <c r="I1750" s="53">
        <v>45754</v>
      </c>
    </row>
    <row r="1751" spans="1:9">
      <c r="A1751" s="47">
        <v>1164</v>
      </c>
      <c r="B1751" s="48" t="str">
        <f>IFERROR(VLOOKUP(A1751,CLIENTES!A:E,2,0),"CADASTRAR CLIENTE")</f>
        <v>LAB. ANAL. CLIN. SAO LOURENCO S/C LTDA</v>
      </c>
      <c r="C1751" s="54" t="s">
        <v>3</v>
      </c>
      <c r="D1751" s="54">
        <v>84215</v>
      </c>
      <c r="E1751" s="51">
        <v>1392.13</v>
      </c>
      <c r="F1751" s="48"/>
      <c r="G1751" s="51"/>
      <c r="H1751" s="52"/>
      <c r="I1751" s="53">
        <v>45754</v>
      </c>
    </row>
    <row r="1752" spans="1:9">
      <c r="A1752" s="47">
        <v>2022</v>
      </c>
      <c r="B1752" s="48" t="str">
        <f>IFERROR(VLOOKUP(A1752,CLIENTES!A:E,2,0),"CADASTRAR CLIENTE")</f>
        <v>LAB. MEDICO DR. MARICONDI S/C LTDA.</v>
      </c>
      <c r="C1752" s="54" t="s">
        <v>3</v>
      </c>
      <c r="D1752" s="54">
        <v>83987</v>
      </c>
      <c r="E1752" s="51">
        <v>8066.6</v>
      </c>
      <c r="F1752" s="48"/>
      <c r="G1752" s="51"/>
      <c r="H1752" s="52"/>
      <c r="I1752" s="53">
        <v>45754</v>
      </c>
    </row>
    <row r="1753" spans="1:9">
      <c r="A1753" s="47">
        <v>50554</v>
      </c>
      <c r="B1753" s="48" t="str">
        <f>IFERROR(VLOOKUP(A1753,CLIENTES!A:E,2,0),"CADASTRAR CLIENTE")</f>
        <v>SAO ROQUE MEDICINA DIAGNOSTICA</v>
      </c>
      <c r="C1753" s="54" t="s">
        <v>3</v>
      </c>
      <c r="D1753" s="54" t="s">
        <v>525</v>
      </c>
      <c r="E1753" s="51">
        <v>5163.57</v>
      </c>
      <c r="F1753" s="48"/>
      <c r="G1753" s="51"/>
      <c r="H1753" s="52"/>
      <c r="I1753" s="53">
        <v>45754</v>
      </c>
    </row>
    <row r="1754" spans="1:9">
      <c r="A1754" s="47">
        <v>738</v>
      </c>
      <c r="B1754" s="48" t="str">
        <f>IFERROR(VLOOKUP(A1754,CLIENTES!A:E,2,0),"CADASTRAR CLIENTE")</f>
        <v>CADASTRAR CLIENTE</v>
      </c>
      <c r="C1754" s="54" t="s">
        <v>3</v>
      </c>
      <c r="D1754" s="54">
        <v>100683</v>
      </c>
      <c r="E1754" s="51">
        <v>739.3</v>
      </c>
      <c r="F1754" s="48"/>
      <c r="G1754" s="51"/>
      <c r="H1754" s="52"/>
      <c r="I1754" s="53">
        <v>45754</v>
      </c>
    </row>
    <row r="1755" spans="1:9">
      <c r="A1755" s="47">
        <v>3017</v>
      </c>
      <c r="B1755" s="48" t="str">
        <f>IFERROR(VLOOKUP(A1755,CLIENTES!A:E,2,0),"CADASTRAR CLIENTE")</f>
        <v>IMUNOLAB LABORATORIO DE ANALISES CLINICAS LTDA ME</v>
      </c>
      <c r="C1755" s="54" t="s">
        <v>3</v>
      </c>
      <c r="D1755" s="54">
        <v>84398</v>
      </c>
      <c r="E1755" s="51">
        <v>1332</v>
      </c>
      <c r="F1755" s="48"/>
      <c r="G1755" s="51"/>
      <c r="H1755" s="52"/>
      <c r="I1755" s="53">
        <v>45754</v>
      </c>
    </row>
    <row r="1756" spans="1:9">
      <c r="A1756" s="47">
        <v>2163</v>
      </c>
      <c r="B1756" s="48" t="str">
        <f>IFERROR(VLOOKUP(A1756,CLIENTES!A:E,2,0),"CADASTRAR CLIENTE")</f>
        <v>BIO-LAB SAO JUDAS TADEU S/C LTDA - ME</v>
      </c>
      <c r="C1756" s="54" t="s">
        <v>328</v>
      </c>
      <c r="D1756" s="54">
        <v>84401</v>
      </c>
      <c r="E1756" s="51">
        <v>1840.5</v>
      </c>
      <c r="F1756" s="48"/>
      <c r="G1756" s="51"/>
      <c r="H1756" s="52"/>
      <c r="I1756" s="53">
        <v>45754</v>
      </c>
    </row>
    <row r="1757" spans="1:9">
      <c r="A1757" s="47">
        <v>3194</v>
      </c>
      <c r="B1757" s="48" t="str">
        <f>IFERROR(VLOOKUP(A1757,CLIENTES!A:E,2,0),"CADASTRAR CLIENTE")</f>
        <v>CENTRO DE DIAGNOSTICOS CONTROLE LTDA</v>
      </c>
      <c r="C1757" s="54" t="s">
        <v>3</v>
      </c>
      <c r="D1757" s="54">
        <v>84414</v>
      </c>
      <c r="E1757" s="51">
        <v>2587.9</v>
      </c>
      <c r="F1757" s="48"/>
      <c r="G1757" s="51"/>
      <c r="H1757" s="52"/>
      <c r="I1757" s="53">
        <v>45755</v>
      </c>
    </row>
    <row r="1758" spans="1:9">
      <c r="A1758" s="47">
        <v>784</v>
      </c>
      <c r="B1758" s="48" t="str">
        <f>IFERROR(VLOOKUP(A1758,CLIENTES!A:E,2,0),"CADASTRAR CLIENTE")</f>
        <v>LAB.ANAL.CLIN. ALBERT SABIN SC LTDA.</v>
      </c>
      <c r="C1758" s="54" t="s">
        <v>2</v>
      </c>
      <c r="D1758" s="54">
        <v>84437</v>
      </c>
      <c r="E1758" s="51">
        <v>3981.75</v>
      </c>
      <c r="F1758" s="48"/>
      <c r="G1758" s="51"/>
      <c r="H1758" s="52"/>
      <c r="I1758" s="53">
        <v>45755</v>
      </c>
    </row>
    <row r="1759" spans="1:9">
      <c r="A1759" s="47">
        <v>687</v>
      </c>
      <c r="B1759" s="48" t="str">
        <f>IFERROR(VLOOKUP(A1759,CLIENTES!A:E,2,0),"CADASTRAR CLIENTE")</f>
        <v>LAB ANAL CLIN VENDRAMINI S/S LTDA</v>
      </c>
      <c r="C1759" s="54" t="s">
        <v>3</v>
      </c>
      <c r="D1759" s="54">
        <v>84436</v>
      </c>
      <c r="E1759" s="51">
        <v>856</v>
      </c>
      <c r="F1759" s="48"/>
      <c r="G1759" s="51"/>
      <c r="H1759" s="52"/>
      <c r="I1759" s="53">
        <v>45755</v>
      </c>
    </row>
    <row r="1760" spans="1:9">
      <c r="A1760" s="47">
        <v>475</v>
      </c>
      <c r="B1760" s="48" t="str">
        <f>IFERROR(VLOOKUP(A1760,CLIENTES!A:E,2,0),"CADASTRAR CLIENTE")</f>
        <v>LABORATORIO DE ANALISES CLINICAS SRC LTDA</v>
      </c>
      <c r="C1760" s="54" t="s">
        <v>2</v>
      </c>
      <c r="D1760" s="54" t="s">
        <v>526</v>
      </c>
      <c r="E1760" s="51">
        <v>12704.21</v>
      </c>
      <c r="F1760" s="48"/>
      <c r="G1760" s="51"/>
      <c r="H1760" s="52"/>
      <c r="I1760" s="53">
        <v>45756</v>
      </c>
    </row>
    <row r="1761" spans="1:9">
      <c r="A1761" s="47">
        <v>1533</v>
      </c>
      <c r="B1761" s="48" t="str">
        <f>IFERROR(VLOOKUP(A1761,CLIENTES!A:E,2,0),"CADASTRAR CLIENTE")</f>
        <v>LABORATORIO BIOANALISE DIAGNOSTICO LTDA</v>
      </c>
      <c r="C1761" s="54" t="s">
        <v>3</v>
      </c>
      <c r="D1761" s="54">
        <v>84369</v>
      </c>
      <c r="E1761" s="51">
        <v>1922.4</v>
      </c>
      <c r="F1761" s="48"/>
      <c r="G1761" s="51"/>
      <c r="H1761" s="52"/>
      <c r="I1761" s="53">
        <v>45756</v>
      </c>
    </row>
    <row r="1762" spans="1:9">
      <c r="A1762" s="47">
        <v>311</v>
      </c>
      <c r="B1762" s="48" t="str">
        <f>IFERROR(VLOOKUP(A1762,CLIENTES!A:E,2,0),"CADASTRAR CLIENTE")</f>
        <v>CENTRO DE ANAL.CLIN. UNILAB  SC LTDA.</v>
      </c>
      <c r="C1762" s="54" t="s">
        <v>3</v>
      </c>
      <c r="D1762" s="54">
        <v>84493</v>
      </c>
      <c r="E1762" s="51">
        <v>2145.52</v>
      </c>
      <c r="F1762" s="48"/>
      <c r="G1762" s="51"/>
      <c r="H1762" s="52"/>
      <c r="I1762" s="53">
        <v>45756</v>
      </c>
    </row>
    <row r="1763" spans="1:9">
      <c r="A1763" s="47">
        <v>500434</v>
      </c>
      <c r="B1763" s="48" t="str">
        <f>IFERROR(VLOOKUP(A1763,CLIENTES!A:E,2,0),"CADASTRAR CLIENTE")</f>
        <v>MS10 COMERCIAL DE VIDRARIAS PARA LABORATORIOS LTDA</v>
      </c>
      <c r="C1763" s="54" t="s">
        <v>3</v>
      </c>
      <c r="D1763" s="54">
        <v>84531</v>
      </c>
      <c r="E1763" s="51">
        <v>30.5</v>
      </c>
      <c r="F1763" s="48"/>
      <c r="G1763" s="51"/>
      <c r="H1763" s="52"/>
      <c r="I1763" s="53">
        <v>45756</v>
      </c>
    </row>
    <row r="1764" spans="1:9">
      <c r="A1764" s="47">
        <v>432</v>
      </c>
      <c r="B1764" s="48" t="str">
        <f>IFERROR(VLOOKUP(A1764,CLIENTES!A:E,2,0),"CADASTRAR CLIENTE")</f>
        <v>LABORATORIO PASTEUR HEMATOLOGIA E MICROBIOLOGIA S/S LTDA</v>
      </c>
      <c r="C1764" s="54" t="s">
        <v>3</v>
      </c>
      <c r="D1764" s="54" t="s">
        <v>527</v>
      </c>
      <c r="E1764" s="51">
        <v>3435.9</v>
      </c>
      <c r="F1764" s="48"/>
      <c r="G1764" s="51"/>
      <c r="H1764" s="52"/>
      <c r="I1764" s="53">
        <v>45757</v>
      </c>
    </row>
    <row r="1765" spans="1:9">
      <c r="A1765" s="47">
        <v>1206</v>
      </c>
      <c r="B1765" s="48" t="str">
        <f>IFERROR(VLOOKUP(A1765,CLIENTES!A:E,2,0),"CADASTRAR CLIENTE")</f>
        <v>LABORATORIO RIO NEGRO CENTER DE MARILIA  LTDA</v>
      </c>
      <c r="C1765" s="54" t="s">
        <v>3</v>
      </c>
      <c r="D1765" s="54">
        <v>84555</v>
      </c>
      <c r="E1765" s="51">
        <v>929.01</v>
      </c>
      <c r="F1765" s="48"/>
      <c r="G1765" s="51"/>
      <c r="H1765" s="52"/>
      <c r="I1765" s="53">
        <v>45757</v>
      </c>
    </row>
    <row r="1766" spans="1:9">
      <c r="A1766" s="47">
        <v>725</v>
      </c>
      <c r="B1766" s="48" t="str">
        <f>IFERROR(VLOOKUP(A1766,CLIENTES!A:E,2,0),"CADASTRAR CLIENTE")</f>
        <v>LAB. ANAL. CLIN. DR. ALUISIO CASELLA</v>
      </c>
      <c r="C1766" s="54" t="s">
        <v>3</v>
      </c>
      <c r="D1766" s="54" t="s">
        <v>528</v>
      </c>
      <c r="E1766" s="51">
        <v>656.46</v>
      </c>
      <c r="F1766" s="48"/>
      <c r="G1766" s="51"/>
      <c r="H1766" s="52"/>
      <c r="I1766" s="53">
        <v>45757</v>
      </c>
    </row>
    <row r="1767" spans="1:9">
      <c r="A1767" s="47">
        <v>50312</v>
      </c>
      <c r="B1767" s="48" t="str">
        <f>IFERROR(VLOOKUP(A1767,CLIENTES!A:E,2,0),"CADASTRAR CLIENTE")</f>
        <v>LAB-MED LAB.ANALISES CLINICAS</v>
      </c>
      <c r="C1767" s="54" t="s">
        <v>3</v>
      </c>
      <c r="D1767" s="54">
        <v>84564</v>
      </c>
      <c r="E1767" s="51">
        <v>568.14</v>
      </c>
      <c r="F1767" s="48"/>
      <c r="G1767" s="51"/>
      <c r="H1767" s="52"/>
      <c r="I1767" s="53">
        <v>45757</v>
      </c>
    </row>
    <row r="1768" spans="1:9">
      <c r="A1768" s="47">
        <v>50418</v>
      </c>
      <c r="B1768" s="48" t="str">
        <f>IFERROR(VLOOKUP(A1768,CLIENTES!A:E,2,0),"CADASTRAR CLIENTE")</f>
        <v>LABORATORIO SAO LUCAS DE BROTAS SS LTDA</v>
      </c>
      <c r="C1768" s="54" t="s">
        <v>3</v>
      </c>
      <c r="D1768" s="54">
        <v>84609</v>
      </c>
      <c r="E1768" s="51">
        <v>1341.95</v>
      </c>
      <c r="F1768" s="48"/>
      <c r="G1768" s="51"/>
      <c r="H1768" s="52"/>
      <c r="I1768" s="53">
        <v>45758</v>
      </c>
    </row>
    <row r="1769" spans="1:9">
      <c r="A1769" s="47">
        <v>2980</v>
      </c>
      <c r="B1769" s="48" t="str">
        <f>IFERROR(VLOOKUP(A1769,CLIENTES!A:E,2,0),"CADASTRAR CLIENTE")</f>
        <v>ALMEIDA &amp; FLAITT LABORATORIOS DE ANALISES CLINICAS LTDA</v>
      </c>
      <c r="C1769" s="54" t="s">
        <v>3</v>
      </c>
      <c r="D1769" s="54" t="s">
        <v>529</v>
      </c>
      <c r="E1769" s="51">
        <v>1303.9000000000001</v>
      </c>
      <c r="F1769" s="48"/>
      <c r="G1769" s="51"/>
      <c r="H1769" s="52"/>
      <c r="I1769" s="53">
        <v>45758</v>
      </c>
    </row>
    <row r="1770" spans="1:9">
      <c r="A1770" s="47">
        <v>3240</v>
      </c>
      <c r="B1770" s="48" t="str">
        <f>IFERROR(VLOOKUP(A1770,CLIENTES!A:E,2,0),"CADASTRAR CLIENTE")</f>
        <v>LABORLOPES LABORATORIO DE  ANALISES CLINICAS LTDA</v>
      </c>
      <c r="C1770" s="54" t="s">
        <v>3</v>
      </c>
      <c r="D1770" s="54" t="s">
        <v>530</v>
      </c>
      <c r="E1770" s="51">
        <v>710.89</v>
      </c>
      <c r="F1770" s="48"/>
      <c r="G1770" s="51"/>
      <c r="H1770" s="52"/>
      <c r="I1770" s="53">
        <v>45758</v>
      </c>
    </row>
    <row r="1771" spans="1:9">
      <c r="A1771" s="47">
        <v>50554</v>
      </c>
      <c r="B1771" s="48" t="str">
        <f>IFERROR(VLOOKUP(A1771,CLIENTES!A:E,2,0),"CADASTRAR CLIENTE")</f>
        <v>SAO ROQUE MEDICINA DIAGNOSTICA</v>
      </c>
      <c r="C1771" s="54" t="s">
        <v>3</v>
      </c>
      <c r="D1771" s="54" t="s">
        <v>531</v>
      </c>
      <c r="E1771" s="51">
        <v>373.98</v>
      </c>
      <c r="F1771" s="48"/>
      <c r="G1771" s="51"/>
      <c r="H1771" s="52"/>
      <c r="I1771" s="53">
        <v>45761</v>
      </c>
    </row>
    <row r="1772" spans="1:9">
      <c r="A1772" s="47">
        <v>500149</v>
      </c>
      <c r="B1772" s="48" t="str">
        <f>IFERROR(VLOOKUP(A1772,CLIENTES!A:E,2,0),"CADASTRAR CLIENTE")</f>
        <v>SAO ROQUE MEDICINA DIAGNOSTICA LTDA</v>
      </c>
      <c r="C1772" s="54" t="s">
        <v>3</v>
      </c>
      <c r="D1772" s="54">
        <v>84638</v>
      </c>
      <c r="E1772" s="51">
        <v>10550.6</v>
      </c>
      <c r="F1772" s="48"/>
      <c r="G1772" s="51"/>
      <c r="H1772" s="52"/>
      <c r="I1772" s="53">
        <v>45761</v>
      </c>
    </row>
    <row r="1773" spans="1:9">
      <c r="A1773" s="47">
        <v>1164</v>
      </c>
      <c r="B1773" s="48" t="str">
        <f>IFERROR(VLOOKUP(A1773,CLIENTES!A:E,2,0),"CADASTRAR CLIENTE")</f>
        <v>LAB. ANAL. CLIN. SAO LOURENCO S/C LTDA</v>
      </c>
      <c r="C1773" s="54" t="s">
        <v>3</v>
      </c>
      <c r="D1773" s="54" t="s">
        <v>534</v>
      </c>
      <c r="E1773" s="51">
        <v>272.94</v>
      </c>
      <c r="F1773" s="48"/>
      <c r="G1773" s="51"/>
      <c r="H1773" s="52"/>
      <c r="I1773" s="53">
        <v>45761</v>
      </c>
    </row>
    <row r="1774" spans="1:9">
      <c r="A1774" s="47">
        <v>2022</v>
      </c>
      <c r="B1774" s="48" t="str">
        <f>IFERROR(VLOOKUP(A1774,CLIENTES!A:E,2,0),"CADASTRAR CLIENTE")</f>
        <v>LAB. MEDICO DR. MARICONDI S/C LTDA.</v>
      </c>
      <c r="C1774" s="54" t="s">
        <v>3</v>
      </c>
      <c r="D1774" s="54">
        <v>84659</v>
      </c>
      <c r="E1774" s="51">
        <v>1267.55</v>
      </c>
      <c r="F1774" s="48"/>
      <c r="G1774" s="51"/>
      <c r="H1774" s="52"/>
      <c r="I1774" s="53">
        <v>45761</v>
      </c>
    </row>
    <row r="1775" spans="1:9">
      <c r="A1775" s="47">
        <v>618</v>
      </c>
      <c r="B1775" s="48" t="str">
        <f>IFERROR(VLOOKUP(A1775,CLIENTES!A:E,2,0),"CADASTRAR CLIENTE")</f>
        <v>LAB. ANAL. CLIN. POMPEIA</v>
      </c>
      <c r="C1775" s="54" t="s">
        <v>3</v>
      </c>
      <c r="D1775" s="54" t="s">
        <v>535</v>
      </c>
      <c r="E1775" s="51">
        <v>3252.74</v>
      </c>
      <c r="F1775" s="48"/>
      <c r="G1775" s="51"/>
      <c r="H1775" s="52"/>
      <c r="I1775" s="53">
        <v>45761</v>
      </c>
    </row>
    <row r="1776" spans="1:9">
      <c r="A1776" s="47">
        <v>705</v>
      </c>
      <c r="B1776" s="48" t="str">
        <f>IFERROR(VLOOKUP(A1776,CLIENTES!A:E,2,0),"CADASTRAR CLIENTE")</f>
        <v>JOAO JOSE SCHIAVUZZO ME</v>
      </c>
      <c r="C1776" s="54" t="s">
        <v>3</v>
      </c>
      <c r="D1776" s="54" t="s">
        <v>536</v>
      </c>
      <c r="E1776" s="51">
        <v>872.29</v>
      </c>
      <c r="F1776" s="48"/>
      <c r="G1776" s="51"/>
      <c r="H1776" s="52"/>
      <c r="I1776" s="53">
        <v>45761</v>
      </c>
    </row>
    <row r="1777" spans="1:9">
      <c r="A1777" s="47">
        <v>761</v>
      </c>
      <c r="B1777" s="48" t="str">
        <f>IFERROR(VLOOKUP(A1777,CLIENTES!A:E,2,0),"CADASTRAR CLIENTE")</f>
        <v>EXAME CENTRO DIAG.M.ARACATUBA SC LTDA.</v>
      </c>
      <c r="C1777" s="54" t="s">
        <v>3</v>
      </c>
      <c r="D1777" s="54" t="s">
        <v>537</v>
      </c>
      <c r="E1777" s="51">
        <v>2109.39</v>
      </c>
      <c r="F1777" s="48"/>
      <c r="G1777" s="51"/>
      <c r="H1777" s="52"/>
      <c r="I1777" s="53">
        <v>45761</v>
      </c>
    </row>
    <row r="1778" spans="1:9">
      <c r="A1778" s="47">
        <v>746</v>
      </c>
      <c r="B1778" s="48" t="str">
        <f>IFERROR(VLOOKUP(A1778,CLIENTES!A:E,2,0),"CADASTRAR CLIENTE")</f>
        <v>LAB.ANAL.CLIN.BIOCLIN SC LTDA.</v>
      </c>
      <c r="C1778" s="54" t="s">
        <v>3</v>
      </c>
      <c r="D1778" s="54">
        <v>100691</v>
      </c>
      <c r="E1778" s="51">
        <v>59.25</v>
      </c>
      <c r="F1778" s="48"/>
      <c r="G1778" s="51"/>
      <c r="H1778" s="52"/>
      <c r="I1778" s="53">
        <v>45761</v>
      </c>
    </row>
    <row r="1779" spans="1:9">
      <c r="A1779" s="47">
        <v>1813</v>
      </c>
      <c r="B1779" s="48" t="str">
        <f>IFERROR(VLOOKUP(A1779,CLIENTES!A:E,2,0),"CADASTRAR CLIENTE")</f>
        <v>BIOMED LAB.ANAL.CLIN. SC  LTDA</v>
      </c>
      <c r="C1779" s="54" t="s">
        <v>3</v>
      </c>
      <c r="D1779" s="54">
        <v>84669</v>
      </c>
      <c r="E1779" s="51">
        <v>1080</v>
      </c>
      <c r="F1779" s="48"/>
      <c r="G1779" s="51"/>
      <c r="H1779" s="52"/>
      <c r="I1779" s="53">
        <v>45761</v>
      </c>
    </row>
    <row r="1780" spans="1:9">
      <c r="A1780" s="47">
        <v>475</v>
      </c>
      <c r="B1780" s="48" t="str">
        <f>IFERROR(VLOOKUP(A1780,CLIENTES!A:E,2,0),"CADASTRAR CLIENTE")</f>
        <v>LABORATORIO DE ANALISES CLINICAS SRC LTDA</v>
      </c>
      <c r="C1780" s="54" t="s">
        <v>3</v>
      </c>
      <c r="D1780" s="54">
        <v>84715</v>
      </c>
      <c r="E1780" s="51">
        <v>1484.1</v>
      </c>
      <c r="F1780" s="48"/>
      <c r="G1780" s="51"/>
      <c r="H1780" s="52"/>
      <c r="I1780" s="53">
        <v>45762</v>
      </c>
    </row>
    <row r="1781" spans="1:9">
      <c r="A1781" s="47">
        <v>2022</v>
      </c>
      <c r="B1781" s="48" t="str">
        <f>IFERROR(VLOOKUP(A1781,CLIENTES!A:E,2,0),"CADASTRAR CLIENTE")</f>
        <v>LAB. MEDICO DR. MARICONDI S/C LTDA.</v>
      </c>
      <c r="C1781" s="54" t="s">
        <v>3</v>
      </c>
      <c r="D1781" s="54">
        <v>83987</v>
      </c>
      <c r="E1781" s="51">
        <v>8066.6</v>
      </c>
      <c r="F1781" s="48"/>
      <c r="G1781" s="51"/>
      <c r="H1781" s="52"/>
      <c r="I1781" s="53">
        <v>45762</v>
      </c>
    </row>
    <row r="1782" spans="1:9">
      <c r="A1782" s="47">
        <v>50185</v>
      </c>
      <c r="B1782" s="48" t="str">
        <f>IFERROR(VLOOKUP(A1782,CLIENTES!A:E,2,0),"CADASTRAR CLIENTE")</f>
        <v>ANIMALAB SS LTDA</v>
      </c>
      <c r="C1782" s="54" t="s">
        <v>3</v>
      </c>
      <c r="D1782" s="54">
        <v>84779</v>
      </c>
      <c r="E1782" s="51">
        <v>699.85</v>
      </c>
      <c r="F1782" s="48"/>
      <c r="G1782" s="51"/>
      <c r="H1782" s="52"/>
      <c r="I1782" s="53">
        <v>45763</v>
      </c>
    </row>
    <row r="1783" spans="1:9">
      <c r="A1783" s="47">
        <v>2415</v>
      </c>
      <c r="B1783" s="48" t="str">
        <f>IFERROR(VLOOKUP(A1783,CLIENTES!A:E,2,0),"CADASTRAR CLIENTE")</f>
        <v>ROSSETTO E BARROS LABORATORIO DE ANALISES CLINICAS LTDA</v>
      </c>
      <c r="C1783" s="54" t="s">
        <v>3</v>
      </c>
      <c r="D1783" s="54">
        <v>84636</v>
      </c>
      <c r="E1783" s="51">
        <v>767.2</v>
      </c>
      <c r="F1783" s="48"/>
      <c r="G1783" s="51"/>
      <c r="H1783" s="52"/>
      <c r="I1783" s="53">
        <v>45763</v>
      </c>
    </row>
    <row r="1784" spans="1:9">
      <c r="A1784" s="47">
        <v>1026</v>
      </c>
      <c r="B1784" s="48" t="str">
        <f>IFERROR(VLOOKUP(A1784,CLIENTES!A:E,2,0),"CADASTRAR CLIENTE")</f>
        <v>LABSC SERVICOS LABORATORIAIS LTDA</v>
      </c>
      <c r="C1784" s="54" t="s">
        <v>3</v>
      </c>
      <c r="D1784" s="54">
        <v>84788</v>
      </c>
      <c r="E1784" s="51">
        <v>716.8</v>
      </c>
      <c r="F1784" s="48"/>
      <c r="G1784" s="51"/>
      <c r="H1784" s="52"/>
      <c r="I1784" s="53">
        <v>45763</v>
      </c>
    </row>
    <row r="1785" spans="1:9">
      <c r="A1785" s="47">
        <v>3475</v>
      </c>
      <c r="B1785" s="48" t="str">
        <f>IFERROR(VLOOKUP(A1785,CLIENTES!A:E,2,0),"CADASTRAR CLIENTE")</f>
        <v>LQF LABORATORIO QUIMICO FARMACEUTICO RIO PRETO EIRELI - ME</v>
      </c>
      <c r="C1785" s="54" t="s">
        <v>3</v>
      </c>
      <c r="D1785" s="54">
        <v>84795</v>
      </c>
      <c r="E1785" s="51">
        <v>155.6</v>
      </c>
      <c r="F1785" s="48"/>
      <c r="G1785" s="51"/>
      <c r="H1785" s="52"/>
      <c r="I1785" s="53">
        <v>45763</v>
      </c>
    </row>
    <row r="1786" spans="1:9">
      <c r="A1786" s="47">
        <v>1726</v>
      </c>
      <c r="B1786" s="48" t="str">
        <f>IFERROR(VLOOKUP(A1786,CLIENTES!A:E,2,0),"CADASTRAR CLIENTE")</f>
        <v>IRMANDADE DA SANTA CASA DE MISERIC. DE MOGI MIRIM</v>
      </c>
      <c r="C1786" s="54" t="s">
        <v>2</v>
      </c>
      <c r="D1786" s="54">
        <v>84802</v>
      </c>
      <c r="E1786" s="51">
        <v>2344</v>
      </c>
      <c r="F1786" s="48"/>
      <c r="G1786" s="51"/>
      <c r="H1786" s="52"/>
      <c r="I1786" s="53">
        <v>45763</v>
      </c>
    </row>
    <row r="1787" spans="1:9">
      <c r="A1787" s="47">
        <v>1164</v>
      </c>
      <c r="B1787" s="48" t="str">
        <f>IFERROR(VLOOKUP(A1787,CLIENTES!A:E,2,0),"CADASTRAR CLIENTE")</f>
        <v>LAB. ANAL. CLIN. SAO LOURENCO S/C LTDA</v>
      </c>
      <c r="C1787" s="54" t="s">
        <v>3</v>
      </c>
      <c r="D1787" s="54">
        <v>84792</v>
      </c>
      <c r="E1787" s="51">
        <v>1248.8</v>
      </c>
      <c r="F1787" s="48"/>
      <c r="G1787" s="51"/>
      <c r="H1787" s="52"/>
      <c r="I1787" s="53">
        <v>45763</v>
      </c>
    </row>
    <row r="1788" spans="1:9">
      <c r="A1788" s="47">
        <v>325</v>
      </c>
      <c r="B1788" s="48" t="str">
        <f>IFERROR(VLOOKUP(A1788,CLIENTES!A:E,2,0),"CADASTRAR CLIENTE")</f>
        <v>EXAME-LABORAT. DE ANAL. CLIN. CITODIAGNOSTICO S/S LTDA</v>
      </c>
      <c r="C1788" s="54" t="s">
        <v>3</v>
      </c>
      <c r="D1788" s="54" t="s">
        <v>538</v>
      </c>
      <c r="E1788" s="51">
        <v>1612.6</v>
      </c>
      <c r="F1788" s="48"/>
      <c r="G1788" s="51"/>
      <c r="H1788" s="52"/>
      <c r="I1788" s="53">
        <v>45763</v>
      </c>
    </row>
    <row r="1789" spans="1:9">
      <c r="A1789" s="47">
        <v>708</v>
      </c>
      <c r="B1789" s="48" t="str">
        <f>IFERROR(VLOOKUP(A1789,CLIENTES!A:E,2,0),"CADASTRAR CLIENTE")</f>
        <v>IMEDI INST.MEDICO DE PAT.E DIAGNOSTICO SC LTDA.</v>
      </c>
      <c r="C1789" s="54" t="s">
        <v>3</v>
      </c>
      <c r="D1789" s="54">
        <v>84816</v>
      </c>
      <c r="E1789" s="51">
        <v>2274</v>
      </c>
      <c r="F1789" s="48"/>
      <c r="G1789" s="51"/>
      <c r="H1789" s="52"/>
      <c r="I1789" s="53">
        <v>45764</v>
      </c>
    </row>
    <row r="1790" spans="1:9">
      <c r="A1790" s="47">
        <v>480</v>
      </c>
      <c r="B1790" s="48" t="str">
        <f>IFERROR(VLOOKUP(A1790,CLIENTES!A:E,2,0),"CADASTRAR CLIENTE")</f>
        <v>LAB SAO LUCAS</v>
      </c>
      <c r="C1790" s="54" t="s">
        <v>3</v>
      </c>
      <c r="D1790" s="54" t="s">
        <v>539</v>
      </c>
      <c r="E1790" s="51">
        <v>4017.42</v>
      </c>
      <c r="F1790" s="48"/>
      <c r="G1790" s="51"/>
      <c r="H1790" s="52"/>
      <c r="I1790" s="53">
        <v>45764</v>
      </c>
    </row>
    <row r="1791" spans="1:9">
      <c r="A1791" s="47">
        <v>2397</v>
      </c>
      <c r="B1791" s="48" t="str">
        <f>IFERROR(VLOOKUP(A1791,CLIENTES!A:E,2,0),"CADASTRAR CLIENTE")</f>
        <v>LAB ANAL CLINICAS SANTA RITA S/C LTDA</v>
      </c>
      <c r="C1791" s="54" t="s">
        <v>328</v>
      </c>
      <c r="D1791" s="54">
        <v>84809</v>
      </c>
      <c r="E1791" s="51">
        <v>1968.3</v>
      </c>
      <c r="F1791" s="48"/>
      <c r="G1791" s="51"/>
      <c r="H1791" s="52"/>
      <c r="I1791" s="53">
        <v>45770</v>
      </c>
    </row>
    <row r="1792" spans="1:9">
      <c r="A1792" s="47">
        <v>50554</v>
      </c>
      <c r="B1792" s="48" t="str">
        <f>IFERROR(VLOOKUP(A1792,CLIENTES!A:E,2,0),"CADASTRAR CLIENTE")</f>
        <v>SAO ROQUE MEDICINA DIAGNOSTICA</v>
      </c>
      <c r="C1792" s="54" t="s">
        <v>3</v>
      </c>
      <c r="D1792" s="54">
        <v>84336</v>
      </c>
      <c r="E1792" s="51">
        <v>189</v>
      </c>
      <c r="F1792" s="48"/>
      <c r="G1792" s="51"/>
      <c r="H1792" s="52"/>
      <c r="I1792" s="53">
        <v>45764</v>
      </c>
    </row>
    <row r="1793" spans="1:9">
      <c r="A1793" s="47">
        <v>690</v>
      </c>
      <c r="B1793" s="48" t="str">
        <f>IFERROR(VLOOKUP(A1793,CLIENTES!A:E,2,0),"CADASTRAR CLIENTE")</f>
        <v>SAO ROQUE MEDICINA DIAGNOSTICA LTDA EPP</v>
      </c>
      <c r="C1793" s="54" t="s">
        <v>3</v>
      </c>
      <c r="D1793" s="54">
        <v>84334</v>
      </c>
      <c r="E1793" s="51">
        <v>189</v>
      </c>
      <c r="F1793" s="48"/>
      <c r="G1793" s="51"/>
      <c r="H1793" s="52"/>
      <c r="I1793" s="53">
        <v>45764</v>
      </c>
    </row>
    <row r="1794" spans="1:9">
      <c r="A1794" s="47">
        <v>1989</v>
      </c>
      <c r="B1794" s="48" t="str">
        <f>IFERROR(VLOOKUP(A1794,CLIENTES!A:E,2,0),"CADASTRAR CLIENTE")</f>
        <v>SAO FRANCISCO ANAL. CLIN.</v>
      </c>
      <c r="C1794" s="54" t="s">
        <v>3</v>
      </c>
      <c r="D1794" s="54">
        <v>84341</v>
      </c>
      <c r="E1794" s="51">
        <v>615.13</v>
      </c>
      <c r="F1794" s="48"/>
      <c r="G1794" s="51"/>
      <c r="H1794" s="52"/>
      <c r="I1794" s="53">
        <v>45764</v>
      </c>
    </row>
    <row r="1795" spans="1:9">
      <c r="A1795" s="47">
        <v>500546</v>
      </c>
      <c r="B1795" s="48" t="str">
        <f>IFERROR(VLOOKUP(A1795,CLIENTES!A:E,2,0),"CADASTRAR CLIENTE")</f>
        <v>SOLUTION GESTAO PUBLICA</v>
      </c>
      <c r="C1795" s="54" t="s">
        <v>3</v>
      </c>
      <c r="D1795" s="54">
        <v>84829</v>
      </c>
      <c r="E1795" s="51">
        <v>5816.1</v>
      </c>
      <c r="F1795" s="48"/>
      <c r="G1795" s="51"/>
      <c r="H1795" s="52"/>
      <c r="I1795" s="53">
        <v>45764</v>
      </c>
    </row>
    <row r="1796" spans="1:9">
      <c r="A1796" s="47">
        <v>1726</v>
      </c>
      <c r="B1796" s="48" t="str">
        <f>IFERROR(VLOOKUP(A1796,CLIENTES!A:E,2,0),"CADASTRAR CLIENTE")</f>
        <v>IRMANDADE DA SANTA CASA DE MISERIC. DE MOGI MIRIM</v>
      </c>
      <c r="C1796" s="54" t="s">
        <v>2</v>
      </c>
      <c r="D1796" s="54">
        <v>84858</v>
      </c>
      <c r="E1796" s="51">
        <v>335.5</v>
      </c>
      <c r="F1796" s="48"/>
      <c r="G1796" s="51"/>
      <c r="H1796" s="52"/>
      <c r="I1796" s="53">
        <v>45769</v>
      </c>
    </row>
    <row r="1797" spans="1:9">
      <c r="A1797" s="47">
        <v>500542</v>
      </c>
      <c r="B1797" s="48" t="str">
        <f>IFERROR(VLOOKUP(A1797,CLIENTES!A:E,2,0),"CADASTRAR CLIENTE")</f>
        <v>FUNDACAO DE APOIO INSTITUCIONAL MURAKI</v>
      </c>
      <c r="C1797" s="54" t="s">
        <v>3</v>
      </c>
      <c r="D1797" s="54">
        <v>84678</v>
      </c>
      <c r="E1797" s="51">
        <v>157.9</v>
      </c>
      <c r="F1797" s="48"/>
      <c r="G1797" s="51"/>
      <c r="H1797" s="52"/>
      <c r="I1797" s="53">
        <v>45769</v>
      </c>
    </row>
    <row r="1798" spans="1:9">
      <c r="A1798" s="47">
        <v>1041</v>
      </c>
      <c r="B1798" s="48" t="str">
        <f>IFERROR(VLOOKUP(A1798,CLIENTES!A:E,2,0),"CADASTRAR CLIENTE")</f>
        <v>EDSON VANDERLEI CARRERA</v>
      </c>
      <c r="C1798" s="54" t="s">
        <v>3</v>
      </c>
      <c r="D1798" s="54">
        <v>84880</v>
      </c>
      <c r="E1798" s="51">
        <v>331.85</v>
      </c>
      <c r="F1798" s="48"/>
      <c r="G1798" s="51"/>
      <c r="H1798" s="52"/>
      <c r="I1798" s="53">
        <v>45769</v>
      </c>
    </row>
    <row r="1799" spans="1:9">
      <c r="A1799" s="47">
        <v>1493</v>
      </c>
      <c r="B1799" s="48" t="str">
        <f>IFERROR(VLOOKUP(A1799,CLIENTES!A:E,2,0),"CADASTRAR CLIENTE")</f>
        <v>CEDIMA  CENTRO DE DIAG MONTE AZUL ANAL CLIN E CIT</v>
      </c>
      <c r="C1799" s="54" t="s">
        <v>328</v>
      </c>
      <c r="D1799" s="54">
        <v>84885</v>
      </c>
      <c r="E1799" s="51">
        <v>1498.62</v>
      </c>
      <c r="F1799" s="48"/>
      <c r="G1799" s="51"/>
      <c r="H1799" s="52"/>
      <c r="I1799" s="53">
        <v>45769</v>
      </c>
    </row>
    <row r="1800" spans="1:9">
      <c r="A1800" s="47">
        <v>516</v>
      </c>
      <c r="B1800" s="48" t="str">
        <f>IFERROR(VLOOKUP(A1800,CLIENTES!A:E,2,0),"CADASTRAR CLIENTE")</f>
        <v>TECNOLAB PATOLOGIA CLINICA S/C LTDA</v>
      </c>
      <c r="C1800" s="54" t="s">
        <v>2</v>
      </c>
      <c r="D1800" s="54">
        <v>84892</v>
      </c>
      <c r="E1800" s="51">
        <v>10815.13</v>
      </c>
      <c r="F1800" s="48"/>
      <c r="G1800" s="51"/>
      <c r="H1800" s="52"/>
      <c r="I1800" s="53">
        <v>45769</v>
      </c>
    </row>
    <row r="1801" spans="1:9">
      <c r="A1801" s="47">
        <v>1206</v>
      </c>
      <c r="B1801" s="48" t="str">
        <f>IFERROR(VLOOKUP(A1801,CLIENTES!A:E,2,0),"CADASTRAR CLIENTE")</f>
        <v>LABORATORIO RIO NEGRO CENTER DE MARILIA  LTDA</v>
      </c>
      <c r="C1801" s="54" t="s">
        <v>3</v>
      </c>
      <c r="D1801" s="54">
        <v>84887</v>
      </c>
      <c r="E1801" s="51">
        <v>929.01</v>
      </c>
      <c r="F1801" s="48"/>
      <c r="G1801" s="51"/>
      <c r="H1801" s="52"/>
      <c r="I1801" s="53">
        <v>45770</v>
      </c>
    </row>
    <row r="1802" spans="1:9">
      <c r="A1802" s="47">
        <v>475</v>
      </c>
      <c r="B1802" s="48" t="str">
        <f>IFERROR(VLOOKUP(A1802,CLIENTES!A:E,2,0),"CADASTRAR CLIENTE")</f>
        <v>LABORATORIO DE ANALISES CLINICAS SRC LTDA</v>
      </c>
      <c r="C1802" s="54" t="s">
        <v>3</v>
      </c>
      <c r="D1802" s="54" t="s">
        <v>544</v>
      </c>
      <c r="E1802" s="51">
        <v>3783.55</v>
      </c>
      <c r="F1802" s="48"/>
      <c r="G1802" s="51"/>
      <c r="H1802" s="52"/>
      <c r="I1802" s="53">
        <v>45770</v>
      </c>
    </row>
    <row r="1803" spans="1:9">
      <c r="A1803" s="47">
        <v>50576</v>
      </c>
      <c r="B1803" s="48" t="str">
        <f>IFERROR(VLOOKUP(A1803,CLIENTES!A:E,2,0),"CADASTRAR CLIENTE")</f>
        <v>ANDRIAO CANEPPA E SILVA LTDA ME</v>
      </c>
      <c r="C1803" s="54" t="s">
        <v>3</v>
      </c>
      <c r="D1803" s="54">
        <v>84916</v>
      </c>
      <c r="E1803" s="51">
        <v>2463.11</v>
      </c>
      <c r="F1803" s="48"/>
      <c r="G1803" s="51"/>
      <c r="H1803" s="52"/>
      <c r="I1803" s="53">
        <v>45770</v>
      </c>
    </row>
    <row r="1804" spans="1:9">
      <c r="A1804" s="47">
        <v>1164</v>
      </c>
      <c r="B1804" s="48" t="str">
        <f>IFERROR(VLOOKUP(A1804,CLIENTES!A:E,2,0),"CADASTRAR CLIENTE")</f>
        <v>LAB. ANAL. CLIN. SAO LOURENCO S/C LTDA</v>
      </c>
      <c r="C1804" s="54" t="s">
        <v>3</v>
      </c>
      <c r="D1804" s="54">
        <v>84951</v>
      </c>
      <c r="E1804" s="51">
        <v>422.9</v>
      </c>
      <c r="F1804" s="48"/>
      <c r="G1804" s="51"/>
      <c r="H1804" s="52"/>
      <c r="I1804" s="53">
        <v>45771</v>
      </c>
    </row>
    <row r="1805" spans="1:9">
      <c r="A1805" s="47">
        <v>3190</v>
      </c>
      <c r="B1805" s="48" t="str">
        <f>IFERROR(VLOOKUP(A1805,CLIENTES!A:E,2,0),"CADASTRAR CLIENTE")</f>
        <v>C D A CENTRO DE DIAGNOSTICO VETERINARIO</v>
      </c>
      <c r="C1805" s="54" t="s">
        <v>3</v>
      </c>
      <c r="D1805" s="54">
        <v>84985</v>
      </c>
      <c r="E1805" s="51">
        <v>3071.88</v>
      </c>
      <c r="F1805" s="48"/>
      <c r="G1805" s="51"/>
      <c r="H1805" s="52"/>
      <c r="I1805" s="53">
        <v>45772</v>
      </c>
    </row>
    <row r="1806" spans="1:9">
      <c r="A1806" s="47">
        <v>906</v>
      </c>
      <c r="B1806" s="48" t="str">
        <f>IFERROR(VLOOKUP(A1806,CLIENTES!A:E,2,0),"CADASTRAR CLIENTE")</f>
        <v>LABORATORIO ANAL. CLIN. DESCALVADO LTDA</v>
      </c>
      <c r="C1806" s="54" t="s">
        <v>3</v>
      </c>
      <c r="D1806" s="54" t="s">
        <v>550</v>
      </c>
      <c r="E1806" s="51">
        <v>2416.0500000000002</v>
      </c>
      <c r="F1806" s="48"/>
      <c r="G1806" s="51"/>
      <c r="H1806" s="52"/>
      <c r="I1806" s="53">
        <v>45772</v>
      </c>
    </row>
    <row r="1807" spans="1:9">
      <c r="A1807" s="47">
        <v>704</v>
      </c>
      <c r="B1807" s="48" t="str">
        <f>IFERROR(VLOOKUP(A1807,CLIENTES!A:E,2,0),"CADASTRAR CLIENTE")</f>
        <v>LAB. ONUMA E BASILIO S/C LTDA</v>
      </c>
      <c r="C1807" s="54" t="s">
        <v>3</v>
      </c>
      <c r="D1807" s="54" t="s">
        <v>545</v>
      </c>
      <c r="E1807" s="51">
        <v>1282.43</v>
      </c>
      <c r="F1807" s="48"/>
      <c r="G1807" s="51"/>
      <c r="H1807" s="52"/>
      <c r="I1807" s="53">
        <v>45772</v>
      </c>
    </row>
    <row r="1808" spans="1:9">
      <c r="A1808" s="47">
        <v>1971</v>
      </c>
      <c r="B1808" s="48" t="str">
        <f>IFERROR(VLOOKUP(A1808,CLIENTES!A:E,2,0),"CADASTRAR CLIENTE")</f>
        <v>LABORATORIO POPULAR LAB 7 LTDA</v>
      </c>
      <c r="C1808" s="54" t="s">
        <v>3</v>
      </c>
      <c r="D1808" s="54">
        <v>84968</v>
      </c>
      <c r="E1808" s="51">
        <v>564</v>
      </c>
      <c r="F1808" s="48"/>
      <c r="G1808" s="51"/>
      <c r="H1808" s="52"/>
      <c r="I1808" s="53">
        <v>45772</v>
      </c>
    </row>
    <row r="1809" spans="1:9">
      <c r="A1809" s="47">
        <v>475</v>
      </c>
      <c r="B1809" s="48" t="str">
        <f>IFERROR(VLOOKUP(A1809,CLIENTES!A:E,2,0),"CADASTRAR CLIENTE")</f>
        <v>LABORATORIO DE ANALISES CLINICAS SRC LTDA</v>
      </c>
      <c r="C1809" s="54" t="s">
        <v>3</v>
      </c>
      <c r="D1809" s="54">
        <v>85035</v>
      </c>
      <c r="E1809" s="51">
        <v>4343.74</v>
      </c>
      <c r="F1809" s="48"/>
      <c r="G1809" s="51"/>
      <c r="H1809" s="52"/>
      <c r="I1809" s="53">
        <v>45775</v>
      </c>
    </row>
    <row r="1810" spans="1:9">
      <c r="A1810" s="47">
        <v>516</v>
      </c>
      <c r="B1810" s="48" t="str">
        <f>IFERROR(VLOOKUP(A1810,CLIENTES!A:E,2,0),"CADASTRAR CLIENTE")</f>
        <v>TECNOLAB PATOLOGIA CLINICA S/C LTDA</v>
      </c>
      <c r="C1810" s="54" t="s">
        <v>3</v>
      </c>
      <c r="D1810" s="54">
        <v>84982</v>
      </c>
      <c r="E1810" s="51">
        <v>32.5</v>
      </c>
      <c r="F1810" s="48"/>
      <c r="G1810" s="51"/>
      <c r="H1810" s="52"/>
      <c r="I1810" s="53">
        <v>45775</v>
      </c>
    </row>
    <row r="1811" spans="1:9">
      <c r="A1811" s="47">
        <v>708</v>
      </c>
      <c r="B1811" s="48" t="str">
        <f>IFERROR(VLOOKUP(A1811,CLIENTES!A:E,2,0),"CADASTRAR CLIENTE")</f>
        <v>IMEDI INST.MEDICO DE PAT.E DIAGNOSTICO SC LTDA.</v>
      </c>
      <c r="C1811" s="54" t="s">
        <v>3</v>
      </c>
      <c r="D1811" s="54">
        <v>85040</v>
      </c>
      <c r="E1811" s="51">
        <v>2081.15</v>
      </c>
      <c r="F1811" s="48"/>
      <c r="G1811" s="51"/>
      <c r="H1811" s="52"/>
      <c r="I1811" s="53">
        <v>45775</v>
      </c>
    </row>
    <row r="1812" spans="1:9">
      <c r="A1812" s="47">
        <v>772</v>
      </c>
      <c r="B1812" s="48" t="str">
        <f>IFERROR(VLOOKUP(A1812,CLIENTES!A:E,2,0),"CADASTRAR CLIENTE")</f>
        <v>MEGARON LABORATORIO ANAL.CLIN.SC LTDA.</v>
      </c>
      <c r="C1812" s="54" t="s">
        <v>3</v>
      </c>
      <c r="D1812" s="54" t="s">
        <v>546</v>
      </c>
      <c r="E1812" s="51">
        <v>1135.45</v>
      </c>
      <c r="F1812" s="48"/>
      <c r="G1812" s="51"/>
      <c r="H1812" s="52"/>
      <c r="I1812" s="53">
        <v>45775</v>
      </c>
    </row>
    <row r="1813" spans="1:9">
      <c r="A1813" s="47">
        <v>620</v>
      </c>
      <c r="B1813" s="48" t="str">
        <f>IFERROR(VLOOKUP(A1813,CLIENTES!A:E,2,0),"CADASTRAR CLIENTE")</f>
        <v>LAB.SAO PAULO DE ANAL.CLIN.SC LTDA.</v>
      </c>
      <c r="C1813" s="54" t="s">
        <v>3</v>
      </c>
      <c r="D1813" s="54" t="s">
        <v>547</v>
      </c>
      <c r="E1813" s="51">
        <v>984.76</v>
      </c>
      <c r="F1813" s="48"/>
      <c r="G1813" s="51"/>
      <c r="H1813" s="52"/>
      <c r="I1813" s="53">
        <v>45775</v>
      </c>
    </row>
    <row r="1814" spans="1:9">
      <c r="A1814" s="47">
        <v>50554</v>
      </c>
      <c r="B1814" s="48" t="str">
        <f>IFERROR(VLOOKUP(A1814,CLIENTES!A:E,2,0),"CADASTRAR CLIENTE")</f>
        <v>SAO ROQUE MEDICINA DIAGNOSTICA</v>
      </c>
      <c r="C1814" s="54" t="s">
        <v>3</v>
      </c>
      <c r="D1814" s="54" t="s">
        <v>548</v>
      </c>
      <c r="E1814" s="51">
        <v>921</v>
      </c>
      <c r="F1814" s="48"/>
      <c r="G1814" s="51"/>
      <c r="H1814" s="52"/>
      <c r="I1814" s="53">
        <v>45775</v>
      </c>
    </row>
    <row r="1815" spans="1:9">
      <c r="A1815" s="47">
        <v>3077</v>
      </c>
      <c r="B1815" s="48" t="str">
        <f>IFERROR(VLOOKUP(A1815,CLIENTES!A:E,2,0),"CADASTRAR CLIENTE")</f>
        <v>CBI ANALISES CLINICAS S/S LTDA</v>
      </c>
      <c r="C1815" s="54" t="s">
        <v>328</v>
      </c>
      <c r="D1815" s="54">
        <v>85068</v>
      </c>
      <c r="E1815" s="51">
        <v>694.46</v>
      </c>
      <c r="F1815" s="48"/>
      <c r="G1815" s="51"/>
      <c r="H1815" s="52"/>
      <c r="I1815" s="53">
        <v>45775</v>
      </c>
    </row>
    <row r="1816" spans="1:9">
      <c r="A1816" s="47">
        <v>874</v>
      </c>
      <c r="B1816" s="48" t="str">
        <f>IFERROR(VLOOKUP(A1816,CLIENTES!A:E,2,0),"CADASTRAR CLIENTE")</f>
        <v>LAB.ANAL.CLIN ABI JAUDI SC LTDA.</v>
      </c>
      <c r="C1816" s="54" t="s">
        <v>3</v>
      </c>
      <c r="D1816" s="54">
        <v>84891</v>
      </c>
      <c r="E1816" s="51">
        <v>575.45000000000005</v>
      </c>
      <c r="F1816" s="48"/>
      <c r="G1816" s="51"/>
      <c r="H1816" s="52"/>
      <c r="I1816" s="53">
        <v>45775</v>
      </c>
    </row>
    <row r="1817" spans="1:9">
      <c r="A1817" s="47">
        <v>500481</v>
      </c>
      <c r="B1817" s="48" t="str">
        <f>IFERROR(VLOOKUP(A1817,CLIENTES!A:E,2,0),"CADASTRAR CLIENTE")</f>
        <v>OBERON CENTRO VETERINARIO LTDA</v>
      </c>
      <c r="C1817" s="54" t="s">
        <v>3</v>
      </c>
      <c r="D1817" s="54">
        <v>85069</v>
      </c>
      <c r="E1817" s="51">
        <v>253.05</v>
      </c>
      <c r="F1817" s="48"/>
      <c r="G1817" s="51"/>
      <c r="H1817" s="52"/>
      <c r="I1817" s="53">
        <v>45775</v>
      </c>
    </row>
    <row r="1818" spans="1:9">
      <c r="A1818" s="47">
        <v>690</v>
      </c>
      <c r="B1818" s="48" t="str">
        <f>IFERROR(VLOOKUP(A1818,CLIENTES!A:E,2,0),"CADASTRAR CLIENTE")</f>
        <v>SAO ROQUE MEDICINA DIAGNOSTICA LTDA EPP</v>
      </c>
      <c r="C1818" s="54" t="s">
        <v>3</v>
      </c>
      <c r="D1818" s="54">
        <v>84850</v>
      </c>
      <c r="E1818" s="51">
        <v>499.2</v>
      </c>
      <c r="F1818" s="48"/>
      <c r="G1818" s="51"/>
      <c r="H1818" s="52"/>
      <c r="I1818" s="53">
        <v>45775</v>
      </c>
    </row>
    <row r="1819" spans="1:9">
      <c r="A1819" s="47">
        <v>50554</v>
      </c>
      <c r="B1819" s="48" t="str">
        <f>IFERROR(VLOOKUP(A1819,CLIENTES!A:E,2,0),"CADASTRAR CLIENTE")</f>
        <v>SAO ROQUE MEDICINA DIAGNOSTICA</v>
      </c>
      <c r="C1819" s="54" t="s">
        <v>3</v>
      </c>
      <c r="D1819" s="54" t="s">
        <v>549</v>
      </c>
      <c r="E1819" s="51">
        <v>626.5</v>
      </c>
      <c r="F1819" s="48"/>
      <c r="G1819" s="51"/>
      <c r="H1819" s="52"/>
      <c r="I1819" s="53">
        <v>45775</v>
      </c>
    </row>
    <row r="1820" spans="1:9">
      <c r="A1820" s="47">
        <v>761</v>
      </c>
      <c r="B1820" s="48" t="str">
        <f>IFERROR(VLOOKUP(A1820,CLIENTES!A:E,2,0),"CADASTRAR CLIENTE")</f>
        <v>EXAME CENTRO DIAG.M.ARACATUBA SC LTDA.</v>
      </c>
      <c r="C1820" s="54" t="s">
        <v>3</v>
      </c>
      <c r="D1820" s="54">
        <v>84977</v>
      </c>
      <c r="E1820" s="51">
        <v>926.95</v>
      </c>
      <c r="F1820" s="48"/>
      <c r="G1820" s="51"/>
      <c r="H1820" s="52"/>
      <c r="I1820" s="53">
        <v>45775</v>
      </c>
    </row>
    <row r="1821" spans="1:9">
      <c r="A1821" s="47">
        <v>1652</v>
      </c>
      <c r="B1821" s="48" t="str">
        <f>IFERROR(VLOOKUP(A1821,CLIENTES!A:E,2,0),"CADASTRAR CLIENTE")</f>
        <v>LAB. SANTA CLARA ANAL.CLIN.</v>
      </c>
      <c r="C1821" s="54" t="s">
        <v>328</v>
      </c>
      <c r="D1821" s="54">
        <v>84360</v>
      </c>
      <c r="E1821" s="51">
        <v>696.5</v>
      </c>
      <c r="F1821" s="48"/>
      <c r="G1821" s="51"/>
      <c r="H1821" s="52"/>
      <c r="I1821" s="53">
        <v>45775</v>
      </c>
    </row>
    <row r="1822" spans="1:9">
      <c r="A1822" s="47">
        <v>463</v>
      </c>
      <c r="B1822" s="48" t="str">
        <f>IFERROR(VLOOKUP(A1822,CLIENTES!A:E,2,0),"CADASTRAR CLIENTE")</f>
        <v>MASUDA &amp; MASUDA LABORATORIO CLINICO LTDA</v>
      </c>
      <c r="C1822" s="54" t="s">
        <v>3</v>
      </c>
      <c r="D1822" s="54">
        <v>85084</v>
      </c>
      <c r="E1822" s="51">
        <v>1962.95</v>
      </c>
      <c r="F1822" s="48"/>
      <c r="G1822" s="51"/>
      <c r="H1822" s="52"/>
      <c r="I1822" s="53">
        <v>45775</v>
      </c>
    </row>
    <row r="1823" spans="1:9">
      <c r="A1823" s="47">
        <v>762</v>
      </c>
      <c r="B1823" s="48" t="str">
        <f>IFERROR(VLOOKUP(A1823,CLIENTES!A:E,2,0),"CADASTRAR CLIENTE")</f>
        <v>STA. CASA MISERICORDIA DE ARACATUBA</v>
      </c>
      <c r="C1823" s="54" t="s">
        <v>3</v>
      </c>
      <c r="D1823" s="54">
        <v>85087</v>
      </c>
      <c r="E1823" s="51">
        <v>2126.6</v>
      </c>
      <c r="F1823" s="48"/>
      <c r="G1823" s="51"/>
      <c r="H1823" s="52"/>
      <c r="I1823" s="53">
        <v>45776</v>
      </c>
    </row>
    <row r="1824" spans="1:9">
      <c r="A1824" s="47">
        <v>2911</v>
      </c>
      <c r="B1824" s="48" t="str">
        <f>IFERROR(VLOOKUP(A1824,CLIENTES!A:E,2,0),"CADASTRAR CLIENTE")</f>
        <v>BIOLIFE-LABORATORIO DE ANALISES CLINICAS LTDA</v>
      </c>
      <c r="C1824" s="54" t="s">
        <v>3</v>
      </c>
      <c r="D1824" s="54" t="s">
        <v>551</v>
      </c>
      <c r="E1824" s="51">
        <v>1801.11</v>
      </c>
      <c r="F1824" s="48"/>
      <c r="G1824" s="51"/>
      <c r="H1824" s="52"/>
      <c r="I1824" s="53">
        <v>45776</v>
      </c>
    </row>
    <row r="1825" spans="1:9">
      <c r="A1825" s="47">
        <v>762</v>
      </c>
      <c r="B1825" s="48" t="str">
        <f>IFERROR(VLOOKUP(A1825,CLIENTES!A:E,2,0),"CADASTRAR CLIENTE")</f>
        <v>STA. CASA MISERICORDIA DE ARACATUBA</v>
      </c>
      <c r="C1825" s="54" t="s">
        <v>3</v>
      </c>
      <c r="D1825" s="54">
        <v>82142</v>
      </c>
      <c r="E1825" s="51"/>
      <c r="F1825" s="48"/>
      <c r="G1825" s="51">
        <v>2259.6</v>
      </c>
      <c r="H1825" s="52"/>
      <c r="I1825" s="53">
        <v>45776</v>
      </c>
    </row>
    <row r="1826" spans="1:9">
      <c r="A1826" s="47">
        <v>1206</v>
      </c>
      <c r="B1826" s="48" t="str">
        <f>IFERROR(VLOOKUP(A1826,CLIENTES!A:E,2,0),"CADASTRAR CLIENTE")</f>
        <v>LABORATORIO RIO NEGRO CENTER DE MARILIA  LTDA</v>
      </c>
      <c r="C1826" s="54" t="s">
        <v>3</v>
      </c>
      <c r="D1826" s="54">
        <v>85156</v>
      </c>
      <c r="E1826" s="51">
        <v>929.01</v>
      </c>
      <c r="F1826" s="48"/>
      <c r="G1826" s="51"/>
      <c r="H1826" s="52"/>
      <c r="I1826" s="53">
        <v>45777</v>
      </c>
    </row>
    <row r="1827" spans="1:9">
      <c r="A1827" s="47">
        <v>412</v>
      </c>
      <c r="B1827" s="48" t="str">
        <f>IFERROR(VLOOKUP(A1827,CLIENTES!A:E,2,0),"CADASTRAR CLIENTE")</f>
        <v>LAB.ANAL.CLIN.SAO MANUEL SC LTDA.</v>
      </c>
      <c r="C1827" s="54" t="s">
        <v>3</v>
      </c>
      <c r="D1827" s="54" t="s">
        <v>552</v>
      </c>
      <c r="E1827" s="51">
        <v>1912.9</v>
      </c>
      <c r="F1827" s="48"/>
      <c r="G1827" s="51"/>
      <c r="H1827" s="52"/>
      <c r="I1827" s="53">
        <v>45777</v>
      </c>
    </row>
    <row r="1828" spans="1:9">
      <c r="A1828" s="47">
        <v>3475</v>
      </c>
      <c r="B1828" s="48" t="str">
        <f>IFERROR(VLOOKUP(A1828,CLIENTES!A:E,2,0),"CADASTRAR CLIENTE")</f>
        <v>LQF LABORATORIO QUIMICO FARMACEUTICO RIO PRETO EIRELI - ME</v>
      </c>
      <c r="C1828" s="54" t="s">
        <v>3</v>
      </c>
      <c r="D1828" s="54">
        <v>84795</v>
      </c>
      <c r="E1828" s="51">
        <v>1177.8</v>
      </c>
      <c r="F1828" s="48"/>
      <c r="G1828" s="51"/>
      <c r="H1828" s="52"/>
      <c r="I1828" s="53">
        <v>45777</v>
      </c>
    </row>
    <row r="1829" spans="1:9">
      <c r="A1829" s="47">
        <v>311</v>
      </c>
      <c r="B1829" s="48" t="str">
        <f>IFERROR(VLOOKUP(A1829,CLIENTES!A:E,2,0),"CADASTRAR CLIENTE")</f>
        <v>CENTRO DE ANAL.CLIN. UNILAB  SC LTDA.</v>
      </c>
      <c r="C1829" s="54" t="s">
        <v>3</v>
      </c>
      <c r="D1829" s="54">
        <v>84980</v>
      </c>
      <c r="E1829" s="51">
        <v>1069.75</v>
      </c>
      <c r="F1829" s="48"/>
      <c r="G1829" s="51"/>
      <c r="H1829" s="52"/>
      <c r="I1829" s="53">
        <v>45777</v>
      </c>
    </row>
    <row r="1830" spans="1:9">
      <c r="A1830" s="47">
        <v>741</v>
      </c>
      <c r="B1830" s="48" t="str">
        <f>IFERROR(VLOOKUP(A1830,CLIENTES!A:E,2,0),"CADASTRAR CLIENTE")</f>
        <v>LAB. ANAL. CLIN. DR. HELIO NAKABASHI SC LTDA</v>
      </c>
      <c r="C1830" s="54" t="s">
        <v>3</v>
      </c>
      <c r="D1830" s="54">
        <v>85161</v>
      </c>
      <c r="E1830" s="51">
        <v>947.9</v>
      </c>
      <c r="F1830" s="48"/>
      <c r="G1830" s="51"/>
      <c r="H1830" s="52"/>
      <c r="I1830" s="53">
        <v>45777</v>
      </c>
    </row>
    <row r="1831" spans="1:9">
      <c r="A1831" s="47">
        <v>905</v>
      </c>
      <c r="B1831" s="48" t="str">
        <f>IFERROR(VLOOKUP(A1831,CLIENTES!A:E,2,0),"CADASTRAR CLIENTE")</f>
        <v>LAB AN CLIN DR NESTOR FERRAREZZI FILHO  SC LTDA</v>
      </c>
      <c r="C1831" s="54" t="s">
        <v>328</v>
      </c>
      <c r="D1831" s="54" t="s">
        <v>556</v>
      </c>
      <c r="E1831" s="51">
        <v>1107.77</v>
      </c>
      <c r="F1831" s="48"/>
      <c r="G1831" s="51"/>
      <c r="H1831" s="52"/>
      <c r="I1831" s="53">
        <v>45783</v>
      </c>
    </row>
    <row r="1832" spans="1:9">
      <c r="A1832" s="47">
        <v>3153</v>
      </c>
      <c r="B1832" s="48" t="str">
        <f>IFERROR(VLOOKUP(A1832,CLIENTES!A:E,2,0),"CADASTRAR CLIENTE")</f>
        <v>UNIMED DE TUPA COOPERATIVA DE TRABALHO MEDICO</v>
      </c>
      <c r="C1832" s="54" t="s">
        <v>3</v>
      </c>
      <c r="D1832" s="54">
        <v>85281</v>
      </c>
      <c r="E1832" s="51">
        <v>1271.3699999999999</v>
      </c>
      <c r="F1832" s="48"/>
      <c r="G1832" s="51"/>
      <c r="H1832" s="52"/>
      <c r="I1832" s="53">
        <v>45782</v>
      </c>
    </row>
    <row r="1833" spans="1:9">
      <c r="A1833" s="47">
        <v>762</v>
      </c>
      <c r="B1833" s="48" t="str">
        <f>IFERROR(VLOOKUP(A1833,CLIENTES!A:E,2,0),"CADASTRAR CLIENTE")</f>
        <v>STA. CASA MISERICORDIA DE ARACATUBA</v>
      </c>
      <c r="C1833" s="54" t="s">
        <v>2</v>
      </c>
      <c r="D1833" s="54">
        <v>85087</v>
      </c>
      <c r="E1833" s="51">
        <v>834</v>
      </c>
      <c r="F1833" s="48"/>
      <c r="G1833" s="51"/>
      <c r="H1833" s="52"/>
      <c r="I1833" s="53">
        <v>45782</v>
      </c>
    </row>
    <row r="1834" spans="1:9">
      <c r="A1834" s="62">
        <v>50219</v>
      </c>
      <c r="B1834" s="48" t="str">
        <f>IFERROR(VLOOKUP(A1834,CLIENTES!A:E,2,0),"CADASTRAR CLIENTE")</f>
        <v>UNIPREV LAB DE ANALISES LOCACAO DE BENS E REPAROS LTDA EPP</v>
      </c>
      <c r="C1834" s="54" t="s">
        <v>3</v>
      </c>
      <c r="D1834" s="54" t="s">
        <v>553</v>
      </c>
      <c r="E1834" s="51">
        <v>3477.91</v>
      </c>
      <c r="F1834" s="48"/>
      <c r="G1834" s="51"/>
      <c r="H1834" s="52"/>
      <c r="I1834" s="53">
        <v>45782</v>
      </c>
    </row>
    <row r="1835" spans="1:9">
      <c r="A1835" s="47">
        <v>1623</v>
      </c>
      <c r="B1835" s="48" t="str">
        <f>IFERROR(VLOOKUP(A1835,CLIENTES!A:E,2,0),"CADASTRAR CLIENTE")</f>
        <v>LAB.ANAL.CLIN. E REP. BADY BASSIT LTDA</v>
      </c>
      <c r="C1835" s="54" t="s">
        <v>3</v>
      </c>
      <c r="D1835" s="54">
        <v>85163</v>
      </c>
      <c r="E1835" s="51">
        <v>937.86</v>
      </c>
      <c r="F1835" s="48"/>
      <c r="G1835" s="51"/>
      <c r="H1835" s="52"/>
      <c r="I1835" s="53">
        <v>45782</v>
      </c>
    </row>
    <row r="1836" spans="1:9">
      <c r="A1836" s="47">
        <v>823</v>
      </c>
      <c r="B1836" s="48" t="str">
        <f>IFERROR(VLOOKUP(A1836,CLIENTES!A:E,2,0),"CADASTRAR CLIENTE")</f>
        <v>SANCHES x SANCHES S/C LTDA</v>
      </c>
      <c r="C1836" s="54" t="s">
        <v>3</v>
      </c>
      <c r="D1836" s="54" t="s">
        <v>554</v>
      </c>
      <c r="E1836" s="51">
        <v>2896</v>
      </c>
      <c r="F1836" s="48"/>
      <c r="G1836" s="51"/>
      <c r="H1836" s="52"/>
      <c r="I1836" s="53">
        <v>45782</v>
      </c>
    </row>
    <row r="1837" spans="1:9">
      <c r="A1837" s="47">
        <v>516</v>
      </c>
      <c r="B1837" s="48" t="str">
        <f>IFERROR(VLOOKUP(A1837,CLIENTES!A:E,2,0),"CADASTRAR CLIENTE")</f>
        <v>TECNOLAB PATOLOGIA CLINICA S/C LTDA</v>
      </c>
      <c r="C1837" s="54" t="s">
        <v>3</v>
      </c>
      <c r="D1837" s="54">
        <v>82693</v>
      </c>
      <c r="E1837" s="51">
        <v>4440</v>
      </c>
      <c r="F1837" s="48"/>
      <c r="G1837" s="51"/>
      <c r="H1837" s="52"/>
      <c r="I1837" s="53">
        <v>45782</v>
      </c>
    </row>
    <row r="1838" spans="1:9">
      <c r="A1838" s="47">
        <v>784</v>
      </c>
      <c r="B1838" s="48" t="str">
        <f>IFERROR(VLOOKUP(A1838,CLIENTES!A:E,2,0),"CADASTRAR CLIENTE")</f>
        <v>LAB.ANAL.CLIN. ALBERT SABIN SC LTDA.</v>
      </c>
      <c r="C1838" s="54" t="s">
        <v>3</v>
      </c>
      <c r="D1838" s="54">
        <v>82715</v>
      </c>
      <c r="E1838" s="51">
        <v>4191.79</v>
      </c>
      <c r="F1838" s="48"/>
      <c r="G1838" s="51"/>
      <c r="H1838" s="52"/>
      <c r="I1838" s="53">
        <v>45782</v>
      </c>
    </row>
    <row r="1839" spans="1:9">
      <c r="A1839" s="47">
        <v>432</v>
      </c>
      <c r="B1839" s="48" t="str">
        <f>IFERROR(VLOOKUP(A1839,CLIENTES!A:E,2,0),"CADASTRAR CLIENTE")</f>
        <v>LABORATORIO PASTEUR HEMATOLOGIA E MICROBIOLOGIA S/S LTDA</v>
      </c>
      <c r="C1839" s="54" t="s">
        <v>3</v>
      </c>
      <c r="D1839" s="54">
        <v>85288</v>
      </c>
      <c r="E1839" s="51">
        <v>3926.25</v>
      </c>
      <c r="F1839" s="48"/>
      <c r="G1839" s="51"/>
      <c r="H1839" s="52"/>
      <c r="I1839" s="53">
        <v>45782</v>
      </c>
    </row>
    <row r="1840" spans="1:9">
      <c r="A1840" s="47">
        <v>822</v>
      </c>
      <c r="B1840" s="48" t="str">
        <f>IFERROR(VLOOKUP(A1840,CLIENTES!A:E,2,0),"CADASTRAR CLIENTE")</f>
        <v>SAO LUCAS LABORATORIO ANAL. CLIN. S/C LTDA</v>
      </c>
      <c r="C1840" s="54" t="s">
        <v>3</v>
      </c>
      <c r="D1840" s="54" t="s">
        <v>555</v>
      </c>
      <c r="E1840" s="51">
        <v>4131.95</v>
      </c>
      <c r="F1840" s="48"/>
      <c r="G1840" s="51"/>
      <c r="H1840" s="52"/>
      <c r="I1840" s="53">
        <v>45782</v>
      </c>
    </row>
    <row r="1841" spans="1:9">
      <c r="A1841" s="47">
        <v>704</v>
      </c>
      <c r="B1841" s="48" t="str">
        <f>IFERROR(VLOOKUP(A1841,CLIENTES!A:E,2,0),"CADASTRAR CLIENTE")</f>
        <v>LAB. ONUMA E BASILIO S/C LTDA</v>
      </c>
      <c r="C1841" s="54" t="s">
        <v>3</v>
      </c>
      <c r="D1841" s="54">
        <v>85297</v>
      </c>
      <c r="E1841" s="51">
        <v>976.95</v>
      </c>
      <c r="F1841" s="48"/>
      <c r="G1841" s="51"/>
      <c r="H1841" s="52"/>
      <c r="I1841" s="53">
        <v>45782</v>
      </c>
    </row>
    <row r="1842" spans="1:9">
      <c r="A1842" s="47">
        <v>2022</v>
      </c>
      <c r="B1842" s="48" t="str">
        <f>IFERROR(VLOOKUP(A1842,CLIENTES!A:E,2,0),"CADASTRAR CLIENTE")</f>
        <v>LAB. MEDICO DR. MARICONDI S/C LTDA.</v>
      </c>
      <c r="C1842" s="54" t="s">
        <v>3</v>
      </c>
      <c r="D1842" s="54">
        <v>85317</v>
      </c>
      <c r="E1842" s="51">
        <v>1684.38</v>
      </c>
      <c r="F1842" s="48"/>
      <c r="G1842" s="51"/>
      <c r="H1842" s="52"/>
      <c r="I1842" s="53">
        <v>45783</v>
      </c>
    </row>
    <row r="1843" spans="1:9">
      <c r="A1843" s="47">
        <v>50554</v>
      </c>
      <c r="B1843" s="48" t="str">
        <f>IFERROR(VLOOKUP(A1843,CLIENTES!A:E,2,0),"CADASTRAR CLIENTE")</f>
        <v>SAO ROQUE MEDICINA DIAGNOSTICA</v>
      </c>
      <c r="C1843" s="54" t="s">
        <v>3</v>
      </c>
      <c r="D1843" s="54" t="s">
        <v>557</v>
      </c>
      <c r="E1843" s="51">
        <v>3211.9</v>
      </c>
      <c r="F1843" s="48"/>
      <c r="G1843" s="51"/>
      <c r="H1843" s="52"/>
      <c r="I1843" s="53">
        <v>45783</v>
      </c>
    </row>
    <row r="1844" spans="1:9">
      <c r="A1844" s="47">
        <v>1652</v>
      </c>
      <c r="B1844" s="48" t="str">
        <f>IFERROR(VLOOKUP(A1844,CLIENTES!A:E,2,0),"CADASTRAR CLIENTE")</f>
        <v>LAB. SANTA CLARA ANAL.CLIN.</v>
      </c>
      <c r="C1844" s="54" t="s">
        <v>3</v>
      </c>
      <c r="D1844" s="54" t="s">
        <v>558</v>
      </c>
      <c r="E1844" s="51">
        <v>578.95000000000005</v>
      </c>
      <c r="F1844" s="48"/>
      <c r="G1844" s="51"/>
      <c r="H1844" s="52"/>
      <c r="I1844" s="53">
        <v>45783</v>
      </c>
    </row>
    <row r="1845" spans="1:9">
      <c r="A1845" s="47">
        <v>1788</v>
      </c>
      <c r="B1845" s="48" t="str">
        <f>IFERROR(VLOOKUP(A1845,CLIENTES!A:E,2,0),"CADASTRAR CLIENTE")</f>
        <v>ZANATA &amp; REIS LABORCLINICA LTDA</v>
      </c>
      <c r="C1845" s="54" t="s">
        <v>3</v>
      </c>
      <c r="D1845" s="54">
        <v>85291</v>
      </c>
      <c r="E1845" s="51">
        <v>298.3</v>
      </c>
      <c r="F1845" s="48"/>
      <c r="G1845" s="51"/>
      <c r="H1845" s="52"/>
      <c r="I1845" s="53">
        <v>45783</v>
      </c>
    </row>
    <row r="1846" spans="1:9">
      <c r="A1846" s="47">
        <v>575</v>
      </c>
      <c r="B1846" s="48" t="str">
        <f>IFERROR(VLOOKUP(A1846,CLIENTES!A:E,2,0),"CADASTRAR CLIENTE")</f>
        <v>DR MUNHOZ HOSPITAL VETERINARIO E PET SHOP</v>
      </c>
      <c r="C1846" s="54" t="s">
        <v>3</v>
      </c>
      <c r="D1846" s="54" t="s">
        <v>559</v>
      </c>
      <c r="E1846" s="51">
        <v>741.18</v>
      </c>
      <c r="F1846" s="48"/>
      <c r="G1846" s="51"/>
      <c r="H1846" s="52"/>
      <c r="I1846" s="53">
        <v>45783</v>
      </c>
    </row>
    <row r="1847" spans="1:9">
      <c r="A1847" s="47">
        <v>3194</v>
      </c>
      <c r="B1847" s="48" t="str">
        <f>IFERROR(VLOOKUP(A1847,CLIENTES!A:E,2,0),"CADASTRAR CLIENTE")</f>
        <v>CENTRO DE DIAGNOSTICOS CONTROLE LTDA</v>
      </c>
      <c r="C1847" s="54" t="s">
        <v>3</v>
      </c>
      <c r="D1847" s="54">
        <v>85263</v>
      </c>
      <c r="E1847" s="51">
        <v>2677.4</v>
      </c>
      <c r="F1847" s="48"/>
      <c r="G1847" s="51"/>
      <c r="H1847" s="52"/>
      <c r="I1847" s="53">
        <v>45783</v>
      </c>
    </row>
    <row r="1848" spans="1:9">
      <c r="A1848" s="47">
        <v>690</v>
      </c>
      <c r="B1848" s="48" t="str">
        <f>IFERROR(VLOOKUP(A1848,CLIENTES!A:E,2,0),"CADASTRAR CLIENTE")</f>
        <v>SAO ROQUE MEDICINA DIAGNOSTICA LTDA EPP</v>
      </c>
      <c r="C1848" s="54" t="s">
        <v>3</v>
      </c>
      <c r="D1848" s="54" t="s">
        <v>560</v>
      </c>
      <c r="E1848" s="51">
        <v>1678.75</v>
      </c>
      <c r="F1848" s="48"/>
      <c r="G1848" s="51"/>
      <c r="H1848" s="52"/>
      <c r="I1848" s="53">
        <v>45784</v>
      </c>
    </row>
    <row r="1849" spans="1:9">
      <c r="A1849" s="47">
        <v>784</v>
      </c>
      <c r="B1849" s="48" t="str">
        <f>IFERROR(VLOOKUP(A1849,CLIENTES!A:E,2,0),"CADASTRAR CLIENTE")</f>
        <v>LAB.ANAL.CLIN. ALBERT SABIN SC LTDA.</v>
      </c>
      <c r="C1849" s="54" t="s">
        <v>3</v>
      </c>
      <c r="D1849" s="54">
        <v>85398</v>
      </c>
      <c r="E1849" s="51">
        <v>1791</v>
      </c>
      <c r="F1849" s="48"/>
      <c r="G1849" s="51"/>
      <c r="H1849" s="52"/>
      <c r="I1849" s="53">
        <v>45784</v>
      </c>
    </row>
    <row r="1850" spans="1:9">
      <c r="A1850" s="47">
        <v>784</v>
      </c>
      <c r="B1850" s="48" t="str">
        <f>IFERROR(VLOOKUP(A1850,CLIENTES!A:E,2,0),"CADASTRAR CLIENTE")</f>
        <v>LAB.ANAL.CLIN. ALBERT SABIN SC LTDA.</v>
      </c>
      <c r="C1850" s="54" t="s">
        <v>3</v>
      </c>
      <c r="D1850" s="54">
        <v>85439</v>
      </c>
      <c r="E1850" s="51">
        <v>147.4</v>
      </c>
      <c r="F1850" s="48"/>
      <c r="G1850" s="51"/>
      <c r="H1850" s="52"/>
      <c r="I1850" s="53">
        <v>45784</v>
      </c>
    </row>
    <row r="1851" spans="1:9">
      <c r="A1851" s="47">
        <v>762</v>
      </c>
      <c r="B1851" s="48" t="str">
        <f>IFERROR(VLOOKUP(A1851,CLIENTES!A:E,2,0),"CADASTRAR CLIENTE")</f>
        <v>STA. CASA MISERICORDIA DE ARACATUBA</v>
      </c>
      <c r="C1851" s="54" t="s">
        <v>3</v>
      </c>
      <c r="D1851" s="54" t="s">
        <v>561</v>
      </c>
      <c r="E1851" s="51">
        <v>2560.7800000000002</v>
      </c>
      <c r="F1851" s="48"/>
      <c r="G1851" s="51"/>
      <c r="H1851" s="52"/>
      <c r="I1851" s="53">
        <v>45786</v>
      </c>
    </row>
    <row r="1852" spans="1:9">
      <c r="A1852" s="47">
        <v>475</v>
      </c>
      <c r="B1852" s="48" t="str">
        <f>IFERROR(VLOOKUP(A1852,CLIENTES!A:E,2,0),"CADASTRAR CLIENTE")</f>
        <v>LABORATORIO DE ANALISES CLINICAS SRC LTDA</v>
      </c>
      <c r="C1852" s="54" t="s">
        <v>2</v>
      </c>
      <c r="D1852" s="54" t="s">
        <v>562</v>
      </c>
      <c r="E1852" s="51">
        <v>5967.72</v>
      </c>
      <c r="F1852" s="48"/>
      <c r="G1852" s="51"/>
      <c r="H1852" s="52"/>
      <c r="I1852" s="53">
        <v>45786</v>
      </c>
    </row>
    <row r="1853" spans="1:9">
      <c r="A1853" s="47">
        <v>762</v>
      </c>
      <c r="B1853" s="48" t="str">
        <f>IFERROR(VLOOKUP(A1853,CLIENTES!A:E,2,0),"CADASTRAR CLIENTE")</f>
        <v>STA. CASA MISERICORDIA DE ARACATUBA</v>
      </c>
      <c r="C1853" s="54" t="s">
        <v>3</v>
      </c>
      <c r="D1853" s="54" t="s">
        <v>561</v>
      </c>
      <c r="E1853" s="51">
        <v>2560.7800000000002</v>
      </c>
      <c r="F1853" s="48"/>
      <c r="G1853" s="51"/>
      <c r="H1853" s="52"/>
      <c r="I1853" s="53">
        <v>45786</v>
      </c>
    </row>
    <row r="1854" spans="1:9">
      <c r="A1854" s="47">
        <v>432</v>
      </c>
      <c r="B1854" s="48" t="str">
        <f>IFERROR(VLOOKUP(A1854,CLIENTES!A:E,2,0),"CADASTRAR CLIENTE")</f>
        <v>LABORATORIO PASTEUR HEMATOLOGIA E MICROBIOLOGIA S/S LTDA</v>
      </c>
      <c r="C1854" s="54" t="s">
        <v>3</v>
      </c>
      <c r="D1854" s="54" t="s">
        <v>563</v>
      </c>
      <c r="E1854" s="51">
        <v>4053.71</v>
      </c>
      <c r="F1854" s="48"/>
      <c r="G1854" s="51"/>
      <c r="H1854" s="52"/>
      <c r="I1854" s="53">
        <v>45786</v>
      </c>
    </row>
    <row r="1855" spans="1:9">
      <c r="A1855" s="47">
        <v>51175</v>
      </c>
      <c r="B1855" s="48" t="str">
        <f>IFERROR(VLOOKUP(A1855,CLIENTES!A:E,2,0),"CADASTRAR CLIENTE")</f>
        <v>CLINICA MEDICA E ODONTOLOGICA AMOR SAUDE TUPA LTDA</v>
      </c>
      <c r="C1855" s="54" t="s">
        <v>3</v>
      </c>
      <c r="D1855" s="54" t="s">
        <v>564</v>
      </c>
      <c r="E1855" s="51">
        <v>1715.9</v>
      </c>
      <c r="F1855" s="48"/>
      <c r="G1855" s="51"/>
      <c r="H1855" s="52"/>
      <c r="I1855" s="53">
        <v>45786</v>
      </c>
    </row>
    <row r="1856" spans="1:9">
      <c r="A1856" s="47">
        <v>2022</v>
      </c>
      <c r="B1856" s="48" t="str">
        <f>IFERROR(VLOOKUP(A1856,CLIENTES!A:E,2,0),"CADASTRAR CLIENTE")</f>
        <v>LAB. MEDICO DR. MARICONDI S/C LTDA.</v>
      </c>
      <c r="C1856" s="54" t="s">
        <v>3</v>
      </c>
      <c r="D1856" s="54">
        <v>84743</v>
      </c>
      <c r="E1856" s="51">
        <v>6760</v>
      </c>
      <c r="F1856" s="48"/>
      <c r="G1856" s="51"/>
      <c r="H1856" s="52"/>
      <c r="I1856" s="53">
        <v>45790</v>
      </c>
    </row>
    <row r="1857" spans="1:9">
      <c r="A1857" s="47">
        <v>784</v>
      </c>
      <c r="B1857" s="48" t="str">
        <f>IFERROR(VLOOKUP(A1857,CLIENTES!A:E,2,0),"CADASTRAR CLIENTE")</f>
        <v>LAB.ANAL.CLIN. ALBERT SABIN SC LTDA.</v>
      </c>
      <c r="C1857" s="54" t="s">
        <v>3</v>
      </c>
      <c r="D1857" s="54">
        <v>85439</v>
      </c>
      <c r="E1857" s="51">
        <v>222</v>
      </c>
      <c r="F1857" s="48"/>
      <c r="G1857" s="51"/>
      <c r="H1857" s="52"/>
      <c r="I1857" s="53">
        <v>45785</v>
      </c>
    </row>
    <row r="1858" spans="1:9">
      <c r="A1858" s="47">
        <v>50418</v>
      </c>
      <c r="B1858" s="48" t="str">
        <f>IFERROR(VLOOKUP(A1858,CLIENTES!A:E,2,0),"CADASTRAR CLIENTE")</f>
        <v>LABORATORIO SAO LUCAS DE BROTAS SS LTDA</v>
      </c>
      <c r="C1858" s="54" t="s">
        <v>3</v>
      </c>
      <c r="D1858" s="54">
        <v>85453</v>
      </c>
      <c r="E1858" s="51">
        <v>1070.1500000000001</v>
      </c>
      <c r="F1858" s="48"/>
      <c r="G1858" s="51"/>
      <c r="H1858" s="52"/>
      <c r="I1858" s="53">
        <v>45785</v>
      </c>
    </row>
    <row r="1859" spans="1:9">
      <c r="A1859" s="47">
        <v>500005</v>
      </c>
      <c r="B1859" s="48" t="str">
        <f>IFERROR(VLOOKUP(A1859,CLIENTES!A:E,2,0),"CADASTRAR CLIENTE")</f>
        <v>ASSOCIACAO EDUCACIONAL DE ENSINO SUPERIOR</v>
      </c>
      <c r="C1859" s="54" t="s">
        <v>3</v>
      </c>
      <c r="D1859" s="54">
        <v>84852</v>
      </c>
      <c r="E1859" s="51">
        <v>1781.4</v>
      </c>
      <c r="F1859" s="48"/>
      <c r="G1859" s="51"/>
      <c r="H1859" s="52"/>
      <c r="I1859" s="53">
        <v>45789</v>
      </c>
    </row>
    <row r="1860" spans="1:9">
      <c r="A1860" s="47">
        <v>1164</v>
      </c>
      <c r="B1860" s="48" t="str">
        <f>IFERROR(VLOOKUP(A1860,CLIENTES!A:E,2,0),"CADASTRAR CLIENTE")</f>
        <v>LAB. ANAL. CLIN. SAO LOURENCO S/C LTDA</v>
      </c>
      <c r="C1860" s="54" t="s">
        <v>3</v>
      </c>
      <c r="D1860" s="54" t="s">
        <v>565</v>
      </c>
      <c r="E1860" s="51">
        <v>2595.08</v>
      </c>
      <c r="F1860" s="48"/>
      <c r="G1860" s="51"/>
      <c r="H1860" s="52"/>
      <c r="I1860" s="53">
        <v>45789</v>
      </c>
    </row>
    <row r="1861" spans="1:9">
      <c r="A1861" s="47">
        <v>2415</v>
      </c>
      <c r="B1861" s="48" t="str">
        <f>IFERROR(VLOOKUP(A1861,CLIENTES!A:E,2,0),"CADASTRAR CLIENTE")</f>
        <v>ROSSETTO E BARROS LABORATORIO DE ANALISES CLINICAS LTDA</v>
      </c>
      <c r="C1861" s="54" t="s">
        <v>3</v>
      </c>
      <c r="D1861" s="54">
        <v>84755</v>
      </c>
      <c r="E1861" s="51">
        <v>1584</v>
      </c>
      <c r="F1861" s="48"/>
      <c r="G1861" s="51"/>
      <c r="H1861" s="52"/>
      <c r="I1861" s="53">
        <v>45789</v>
      </c>
    </row>
    <row r="1862" spans="1:9">
      <c r="A1862" s="47">
        <v>1533</v>
      </c>
      <c r="B1862" s="48" t="str">
        <f>IFERROR(VLOOKUP(A1862,CLIENTES!A:E,2,0),"CADASTRAR CLIENTE")</f>
        <v>LABORATORIO BIOANALISE DIAGNOSTICO LTDA</v>
      </c>
      <c r="C1862" s="54" t="s">
        <v>3</v>
      </c>
      <c r="D1862" s="54">
        <v>85551</v>
      </c>
      <c r="E1862" s="51">
        <v>1254.95</v>
      </c>
      <c r="F1862" s="48"/>
      <c r="G1862" s="51"/>
      <c r="H1862" s="52"/>
      <c r="I1862" s="53">
        <v>45789</v>
      </c>
    </row>
    <row r="1863" spans="1:9">
      <c r="A1863" s="47">
        <v>2415</v>
      </c>
      <c r="B1863" s="48" t="str">
        <f>IFERROR(VLOOKUP(A1863,CLIENTES!A:E,2,0),"CADASTRAR CLIENTE")</f>
        <v>ROSSETTO E BARROS LABORATORIO DE ANALISES CLINICAS LTDA</v>
      </c>
      <c r="C1863" s="54" t="s">
        <v>3</v>
      </c>
      <c r="D1863" s="54">
        <v>84755</v>
      </c>
      <c r="E1863" s="51">
        <v>1584</v>
      </c>
      <c r="F1863" s="48"/>
      <c r="G1863" s="51"/>
      <c r="H1863" s="52"/>
      <c r="I1863" s="53">
        <v>45789</v>
      </c>
    </row>
    <row r="1864" spans="1:9">
      <c r="A1864" s="47">
        <v>3190</v>
      </c>
      <c r="B1864" s="48" t="str">
        <f>IFERROR(VLOOKUP(A1864,CLIENTES!A:E,2,0),"CADASTRAR CLIENTE")</f>
        <v>C D A CENTRO DE DIAGNOSTICO VETERINARIO</v>
      </c>
      <c r="C1864" s="54" t="s">
        <v>3</v>
      </c>
      <c r="D1864" s="54">
        <v>85582</v>
      </c>
      <c r="E1864" s="51">
        <v>766.2</v>
      </c>
      <c r="F1864" s="48"/>
      <c r="G1864" s="51"/>
      <c r="H1864" s="52"/>
      <c r="I1864" s="53">
        <v>45789</v>
      </c>
    </row>
    <row r="1865" spans="1:9">
      <c r="A1865" s="47">
        <v>618</v>
      </c>
      <c r="B1865" s="48" t="str">
        <f>IFERROR(VLOOKUP(A1865,CLIENTES!A:E,2,0),"CADASTRAR CLIENTE")</f>
        <v>LAB. ANAL. CLIN. POMPEIA</v>
      </c>
      <c r="C1865" s="54" t="s">
        <v>3</v>
      </c>
      <c r="D1865" s="54" t="s">
        <v>566</v>
      </c>
      <c r="E1865" s="51">
        <v>3000.2</v>
      </c>
      <c r="F1865" s="48"/>
      <c r="G1865" s="51"/>
      <c r="H1865" s="52"/>
      <c r="I1865" s="53">
        <v>45790</v>
      </c>
    </row>
    <row r="1866" spans="1:9">
      <c r="A1866" s="47">
        <v>1971</v>
      </c>
      <c r="B1866" s="48" t="str">
        <f>IFERROR(VLOOKUP(A1866,CLIENTES!A:E,2,0),"CADASTRAR CLIENTE")</f>
        <v>LABORATORIO POPULAR LAB 7 LTDA</v>
      </c>
      <c r="C1866" s="54" t="s">
        <v>3</v>
      </c>
      <c r="D1866" s="54" t="s">
        <v>567</v>
      </c>
      <c r="E1866" s="51">
        <v>152.85</v>
      </c>
      <c r="F1866" s="48"/>
      <c r="G1866" s="51"/>
      <c r="H1866" s="52"/>
      <c r="I1866" s="53">
        <v>45790</v>
      </c>
    </row>
    <row r="1867" spans="1:9">
      <c r="A1867" s="47">
        <v>1788</v>
      </c>
      <c r="B1867" s="48" t="str">
        <f>IFERROR(VLOOKUP(A1867,CLIENTES!A:E,2,0),"CADASTRAR CLIENTE")</f>
        <v>ZANATA &amp; REIS LABORCLINICA LTDA</v>
      </c>
      <c r="C1867" s="54" t="s">
        <v>3</v>
      </c>
      <c r="D1867" s="54">
        <v>85291</v>
      </c>
      <c r="E1867" s="51">
        <v>888</v>
      </c>
      <c r="F1867" s="48"/>
      <c r="G1867" s="51"/>
      <c r="H1867" s="52"/>
      <c r="I1867" s="53">
        <v>45790</v>
      </c>
    </row>
    <row r="1868" spans="1:9">
      <c r="A1868" s="47">
        <v>311</v>
      </c>
      <c r="B1868" s="48" t="str">
        <f>IFERROR(VLOOKUP(A1868,CLIENTES!A:E,2,0),"CADASTRAR CLIENTE")</f>
        <v>CENTRO DE ANAL.CLIN. UNILAB  SC LTDA.</v>
      </c>
      <c r="C1868" s="54" t="s">
        <v>3</v>
      </c>
      <c r="D1868" s="54">
        <v>85642</v>
      </c>
      <c r="E1868" s="51">
        <v>1497.5</v>
      </c>
      <c r="F1868" s="48"/>
      <c r="G1868" s="51"/>
      <c r="H1868" s="52"/>
      <c r="I1868" s="53">
        <v>45790</v>
      </c>
    </row>
    <row r="1869" spans="1:9">
      <c r="A1869" s="47">
        <v>746</v>
      </c>
      <c r="B1869" s="48" t="str">
        <f>IFERROR(VLOOKUP(A1869,CLIENTES!A:E,2,0),"CADASTRAR CLIENTE")</f>
        <v>LAB.ANAL.CLIN.BIOCLIN SC LTDA.</v>
      </c>
      <c r="C1869" s="54" t="s">
        <v>3</v>
      </c>
      <c r="D1869" s="54">
        <v>85341</v>
      </c>
      <c r="E1869" s="51">
        <v>939.97</v>
      </c>
      <c r="F1869" s="48"/>
      <c r="G1869" s="51"/>
      <c r="H1869" s="52"/>
      <c r="I1869" s="53">
        <v>45790</v>
      </c>
    </row>
    <row r="1870" spans="1:9">
      <c r="A1870" s="47">
        <v>724</v>
      </c>
      <c r="B1870" s="48" t="str">
        <f>IFERROR(VLOOKUP(A1870,CLIENTES!A:E,2,0),"CADASTRAR CLIENTE")</f>
        <v>LAB. ANAL. CLIN. DRA SILVIA M.MANZATO LARANJO SC LTDA.</v>
      </c>
      <c r="C1870" s="54" t="s">
        <v>3</v>
      </c>
      <c r="D1870" s="54" t="s">
        <v>568</v>
      </c>
      <c r="E1870" s="51">
        <v>302.14999999999998</v>
      </c>
      <c r="F1870" s="48"/>
      <c r="G1870" s="51"/>
      <c r="H1870" s="52"/>
      <c r="I1870" s="53">
        <v>45790</v>
      </c>
    </row>
    <row r="1871" spans="1:9">
      <c r="A1871" s="47">
        <v>2415</v>
      </c>
      <c r="B1871" s="48" t="str">
        <f>IFERROR(VLOOKUP(A1871,CLIENTES!A:E,2,0),"CADASTRAR CLIENTE")</f>
        <v>ROSSETTO E BARROS LABORATORIO DE ANALISES CLINICAS LTDA</v>
      </c>
      <c r="C1871" s="54" t="s">
        <v>3</v>
      </c>
      <c r="D1871" s="54" t="s">
        <v>569</v>
      </c>
      <c r="E1871" s="51">
        <v>1382.38</v>
      </c>
      <c r="F1871" s="48"/>
      <c r="G1871" s="51"/>
      <c r="H1871" s="52"/>
      <c r="I1871" s="53">
        <v>45790</v>
      </c>
    </row>
    <row r="1872" spans="1:9">
      <c r="A1872" s="47">
        <v>325</v>
      </c>
      <c r="B1872" s="48" t="str">
        <f>IFERROR(VLOOKUP(A1872,CLIENTES!A:E,2,0),"CADASTRAR CLIENTE")</f>
        <v>EXAME-LABORAT. DE ANAL. CLIN. CITODIAGNOSTICO S/S LTDA</v>
      </c>
      <c r="C1872" s="54" t="s">
        <v>3</v>
      </c>
      <c r="D1872" s="54">
        <v>85709</v>
      </c>
      <c r="E1872" s="51">
        <v>1134.9000000000001</v>
      </c>
      <c r="F1872" s="48"/>
      <c r="G1872" s="51"/>
      <c r="H1872" s="52"/>
      <c r="I1872" s="53">
        <v>45791</v>
      </c>
    </row>
    <row r="1873" spans="1:9">
      <c r="A1873" s="47">
        <v>1016</v>
      </c>
      <c r="B1873" s="48" t="str">
        <f>IFERROR(VLOOKUP(A1873,CLIENTES!A:E,2,0),"CADASTRAR CLIENTE")</f>
        <v>LAB.ANAL.CLIN. SAO LUCAS SC LTDA.</v>
      </c>
      <c r="C1873" s="54" t="s">
        <v>3</v>
      </c>
      <c r="D1873" s="54">
        <v>85711</v>
      </c>
      <c r="E1873" s="51">
        <v>3334.3</v>
      </c>
      <c r="F1873" s="48"/>
      <c r="G1873" s="51"/>
      <c r="H1873" s="52"/>
      <c r="I1873" s="53">
        <v>45791</v>
      </c>
    </row>
    <row r="1874" spans="1:9">
      <c r="A1874" s="47">
        <v>500005</v>
      </c>
      <c r="B1874" s="48" t="str">
        <f>IFERROR(VLOOKUP(A1874,CLIENTES!A:E,2,0),"CADASTRAR CLIENTE")</f>
        <v>ASSOCIACAO EDUCACIONAL DE ENSINO SUPERIOR</v>
      </c>
      <c r="C1874" s="54" t="s">
        <v>2</v>
      </c>
      <c r="D1874" s="54">
        <v>84852</v>
      </c>
      <c r="E1874" s="51">
        <v>796.6</v>
      </c>
      <c r="F1874" s="48"/>
      <c r="G1874" s="51"/>
      <c r="H1874" s="52"/>
      <c r="I1874" s="53">
        <v>45791</v>
      </c>
    </row>
    <row r="1875" spans="1:9">
      <c r="A1875" s="47">
        <v>3475</v>
      </c>
      <c r="B1875" s="48" t="str">
        <f>IFERROR(VLOOKUP(A1875,CLIENTES!A:E,2,0),"CADASTRAR CLIENTE")</f>
        <v>LQF LABORATORIO QUIMICO FARMACEUTICO RIO PRETO EIRELI - ME</v>
      </c>
      <c r="C1875" s="54" t="s">
        <v>3</v>
      </c>
      <c r="D1875" s="54" t="s">
        <v>570</v>
      </c>
      <c r="E1875" s="51">
        <v>158.9</v>
      </c>
      <c r="F1875" s="48"/>
      <c r="G1875" s="51"/>
      <c r="H1875" s="52"/>
      <c r="I1875" s="53">
        <v>45791</v>
      </c>
    </row>
    <row r="1876" spans="1:9">
      <c r="A1876" s="47">
        <v>3017</v>
      </c>
      <c r="B1876" s="48" t="str">
        <f>IFERROR(VLOOKUP(A1876,CLIENTES!A:E,2,0),"CADASTRAR CLIENTE")</f>
        <v>IMUNOLAB LABORATORIO DE ANALISES CLINICAS LTDA ME</v>
      </c>
      <c r="C1876" s="54" t="s">
        <v>3</v>
      </c>
      <c r="D1876" s="54">
        <v>85741</v>
      </c>
      <c r="E1876" s="51">
        <v>1040.9000000000001</v>
      </c>
      <c r="F1876" s="48"/>
      <c r="G1876" s="51"/>
      <c r="H1876" s="52"/>
      <c r="I1876" s="53">
        <v>45792</v>
      </c>
    </row>
    <row r="1877" spans="1:9">
      <c r="A1877" s="47">
        <v>663</v>
      </c>
      <c r="B1877" s="48" t="str">
        <f>IFERROR(VLOOKUP(A1877,CLIENTES!A:E,2,0),"CADASTRAR CLIENTE")</f>
        <v>LAB. MEDICO GUIMARAES</v>
      </c>
      <c r="C1877" s="54" t="s">
        <v>3</v>
      </c>
      <c r="D1877" s="54" t="s">
        <v>571</v>
      </c>
      <c r="E1877" s="51">
        <v>727.95</v>
      </c>
      <c r="F1877" s="48"/>
      <c r="G1877" s="51"/>
      <c r="H1877" s="52"/>
      <c r="I1877" s="53">
        <v>45792</v>
      </c>
    </row>
    <row r="1878" spans="1:9">
      <c r="A1878" s="47">
        <v>50418</v>
      </c>
      <c r="B1878" s="48" t="str">
        <f>IFERROR(VLOOKUP(A1878,CLIENTES!A:E,2,0),"CADASTRAR CLIENTE")</f>
        <v>LABORATORIO SAO LUCAS DE BROTAS SS LTDA</v>
      </c>
      <c r="C1878" s="54" t="s">
        <v>3</v>
      </c>
      <c r="D1878" s="54">
        <v>85749</v>
      </c>
      <c r="E1878" s="51">
        <v>3614.65</v>
      </c>
      <c r="F1878" s="48"/>
      <c r="G1878" s="51"/>
      <c r="H1878" s="52"/>
      <c r="I1878" s="53">
        <v>45792</v>
      </c>
    </row>
    <row r="1879" spans="1:9">
      <c r="A1879" s="47">
        <v>3018</v>
      </c>
      <c r="B1879" s="48" t="str">
        <f>IFERROR(VLOOKUP(A1879,CLIENTES!A:E,2,0),"CADASTRAR CLIENTE")</f>
        <v>NP- LABORATORIO DE ANALISES CLINICAS LTDA</v>
      </c>
      <c r="C1879" s="54" t="s">
        <v>3</v>
      </c>
      <c r="D1879" s="54" t="s">
        <v>572</v>
      </c>
      <c r="E1879" s="51">
        <v>852.86</v>
      </c>
      <c r="F1879" s="48"/>
      <c r="G1879" s="51"/>
      <c r="H1879" s="52"/>
      <c r="I1879" s="53">
        <v>45793</v>
      </c>
    </row>
    <row r="1880" spans="1:9">
      <c r="A1880" s="47">
        <v>1206</v>
      </c>
      <c r="B1880" s="48" t="str">
        <f>IFERROR(VLOOKUP(A1880,CLIENTES!A:E,2,0),"CADASTRAR CLIENTE")</f>
        <v>LABORATORIO RIO NEGRO CENTER DE MARILIA  LTDA</v>
      </c>
      <c r="C1880" s="54" t="s">
        <v>3</v>
      </c>
      <c r="D1880" s="54">
        <v>85780</v>
      </c>
      <c r="E1880" s="51">
        <v>3346.2</v>
      </c>
      <c r="F1880" s="48"/>
      <c r="G1880" s="51"/>
      <c r="H1880" s="52"/>
      <c r="I1880" s="53">
        <v>45793</v>
      </c>
    </row>
    <row r="1881" spans="1:9">
      <c r="A1881" s="47">
        <v>2572</v>
      </c>
      <c r="B1881" s="48" t="str">
        <f>IFERROR(VLOOKUP(A1881,CLIENTES!A:E,2,0),"CADASTRAR CLIENTE")</f>
        <v>LAB. ANAL. CLIN. COFFERS S/C LTDA</v>
      </c>
      <c r="C1881" s="54" t="s">
        <v>3</v>
      </c>
      <c r="D1881" s="54">
        <v>85790</v>
      </c>
      <c r="E1881" s="51">
        <v>2130</v>
      </c>
      <c r="F1881" s="48"/>
      <c r="G1881" s="51"/>
      <c r="H1881" s="52"/>
      <c r="I1881" s="53">
        <v>45793</v>
      </c>
    </row>
    <row r="1882" spans="1:9">
      <c r="A1882" s="47">
        <v>3077</v>
      </c>
      <c r="B1882" s="48" t="str">
        <f>IFERROR(VLOOKUP(A1882,CLIENTES!A:E,2,0),"CADASTRAR CLIENTE")</f>
        <v>CBI ANALISES CLINICAS S/S LTDA</v>
      </c>
      <c r="C1882" s="54" t="s">
        <v>3</v>
      </c>
      <c r="D1882" s="54">
        <v>85801</v>
      </c>
      <c r="E1882" s="51">
        <v>929.26</v>
      </c>
      <c r="F1882" s="48"/>
      <c r="G1882" s="51"/>
      <c r="H1882" s="52"/>
      <c r="I1882" s="53">
        <v>45793</v>
      </c>
    </row>
    <row r="1883" spans="1:9">
      <c r="A1883" s="47">
        <v>746</v>
      </c>
      <c r="B1883" s="48" t="str">
        <f>IFERROR(VLOOKUP(A1883,CLIENTES!A:E,2,0),"CADASTRAR CLIENTE")</f>
        <v>LAB.ANAL.CLIN.BIOCLIN SC LTDA.</v>
      </c>
      <c r="C1883" s="54" t="s">
        <v>3</v>
      </c>
      <c r="D1883" s="54">
        <v>85024</v>
      </c>
      <c r="E1883" s="51">
        <v>4177.5600000000004</v>
      </c>
      <c r="F1883" s="48"/>
      <c r="G1883" s="51"/>
      <c r="H1883" s="52"/>
      <c r="I1883" s="53">
        <v>45793</v>
      </c>
    </row>
    <row r="1884" spans="1:9">
      <c r="A1884" s="47">
        <v>1493</v>
      </c>
      <c r="B1884" s="48" t="str">
        <f>IFERROR(VLOOKUP(A1884,CLIENTES!A:E,2,0),"CADASTRAR CLIENTE")</f>
        <v>CEDIMA  CENTRO DE DIAG MONTE AZUL ANAL CLIN E CIT</v>
      </c>
      <c r="C1884" s="54" t="s">
        <v>328</v>
      </c>
      <c r="D1884" s="54">
        <v>85809</v>
      </c>
      <c r="E1884" s="51">
        <v>2191.27</v>
      </c>
      <c r="F1884" s="48"/>
      <c r="G1884" s="51"/>
      <c r="H1884" s="52"/>
      <c r="I1884" s="53">
        <v>45793</v>
      </c>
    </row>
    <row r="1885" spans="1:9">
      <c r="A1885" s="47">
        <v>761</v>
      </c>
      <c r="B1885" s="48" t="str">
        <f>IFERROR(VLOOKUP(A1885,CLIENTES!A:E,2,0),"CADASTRAR CLIENTE")</f>
        <v>EXAME CENTRO DIAG.M.ARACATUBA SC LTDA.</v>
      </c>
      <c r="C1885" s="54" t="s">
        <v>3</v>
      </c>
      <c r="D1885" s="54" t="s">
        <v>573</v>
      </c>
      <c r="E1885" s="51">
        <v>2104.1999999999998</v>
      </c>
      <c r="F1885" s="48"/>
      <c r="G1885" s="51"/>
      <c r="H1885" s="52"/>
      <c r="I1885" s="53">
        <v>45796</v>
      </c>
    </row>
    <row r="1886" spans="1:9">
      <c r="A1886" s="47">
        <v>325</v>
      </c>
      <c r="B1886" s="48" t="str">
        <f>IFERROR(VLOOKUP(A1886,CLIENTES!A:E,2,0),"CADASTRAR CLIENTE")</f>
        <v>EXAME-LABORAT. DE ANAL. CLIN. CITODIAGNOSTICO S/S LTDA</v>
      </c>
      <c r="C1886" s="54" t="s">
        <v>3</v>
      </c>
      <c r="D1886" s="54">
        <v>100961</v>
      </c>
      <c r="E1886" s="51">
        <v>255.35</v>
      </c>
      <c r="F1886" s="48"/>
      <c r="G1886" s="51"/>
      <c r="H1886" s="52"/>
      <c r="I1886" s="53">
        <v>45796</v>
      </c>
    </row>
    <row r="1887" spans="1:9">
      <c r="A1887" s="47">
        <v>761</v>
      </c>
      <c r="B1887" s="48" t="str">
        <f>IFERROR(VLOOKUP(A1887,CLIENTES!A:E,2,0),"CADASTRAR CLIENTE")</f>
        <v>EXAME CENTRO DIAG.M.ARACATUBA SC LTDA.</v>
      </c>
      <c r="C1887" s="54" t="s">
        <v>3</v>
      </c>
      <c r="D1887" s="54">
        <v>85840</v>
      </c>
      <c r="E1887" s="51">
        <v>296</v>
      </c>
      <c r="F1887" s="48"/>
      <c r="G1887" s="51"/>
      <c r="H1887" s="52"/>
      <c r="I1887" s="53">
        <v>45796</v>
      </c>
    </row>
    <row r="1888" spans="1:9">
      <c r="A1888" s="47">
        <v>2980</v>
      </c>
      <c r="B1888" s="48" t="str">
        <f>IFERROR(VLOOKUP(A1888,CLIENTES!A:E,2,0),"CADASTRAR CLIENTE")</f>
        <v>ALMEIDA &amp; FLAITT LABORATORIOS DE ANALISES CLINICAS LTDA</v>
      </c>
      <c r="C1888" s="54" t="s">
        <v>3</v>
      </c>
      <c r="D1888" s="54" t="s">
        <v>574</v>
      </c>
      <c r="E1888" s="51">
        <v>828.62</v>
      </c>
      <c r="F1888" s="48"/>
      <c r="G1888" s="51"/>
      <c r="H1888" s="52"/>
      <c r="I1888" s="53">
        <v>45796</v>
      </c>
    </row>
    <row r="1889" spans="1:9">
      <c r="A1889" s="47">
        <v>311</v>
      </c>
      <c r="B1889" s="48" t="str">
        <f>IFERROR(VLOOKUP(A1889,CLIENTES!A:E,2,0),"CADASTRAR CLIENTE")</f>
        <v>CENTRO DE ANAL.CLIN. UNILAB  SC LTDA.</v>
      </c>
      <c r="C1889" s="54" t="s">
        <v>3</v>
      </c>
      <c r="D1889" s="54" t="s">
        <v>575</v>
      </c>
      <c r="E1889" s="51">
        <v>1308.8</v>
      </c>
      <c r="F1889" s="48"/>
      <c r="G1889" s="51"/>
      <c r="H1889" s="52"/>
      <c r="I1889" s="53">
        <v>45796</v>
      </c>
    </row>
    <row r="1890" spans="1:9">
      <c r="A1890" s="47">
        <v>516</v>
      </c>
      <c r="B1890" s="48" t="str">
        <f>IFERROR(VLOOKUP(A1890,CLIENTES!A:E,2,0),"CADASTRAR CLIENTE")</f>
        <v>TECNOLAB PATOLOGIA CLINICA S/C LTDA</v>
      </c>
      <c r="C1890" s="54" t="s">
        <v>2</v>
      </c>
      <c r="D1890" s="54">
        <v>85463</v>
      </c>
      <c r="E1890" s="51">
        <v>8301.7900000000009</v>
      </c>
      <c r="F1890" s="48"/>
      <c r="G1890" s="51"/>
      <c r="H1890" s="52"/>
      <c r="I1890" s="53">
        <v>45796</v>
      </c>
    </row>
    <row r="1891" spans="1:9">
      <c r="A1891" s="47">
        <v>575</v>
      </c>
      <c r="B1891" s="48" t="str">
        <f>IFERROR(VLOOKUP(A1891,CLIENTES!A:E,2,0),"CADASTRAR CLIENTE")</f>
        <v>DR MUNHOZ HOSPITAL VETERINARIO E PET SHOP</v>
      </c>
      <c r="C1891" s="54" t="s">
        <v>2</v>
      </c>
      <c r="D1891" s="54" t="s">
        <v>576</v>
      </c>
      <c r="E1891" s="51">
        <v>681.28</v>
      </c>
      <c r="F1891" s="48"/>
      <c r="G1891" s="51"/>
      <c r="H1891" s="52"/>
      <c r="I1891" s="53">
        <v>45796</v>
      </c>
    </row>
    <row r="1892" spans="1:9">
      <c r="A1892" s="47">
        <v>50576</v>
      </c>
      <c r="B1892" s="48" t="str">
        <f>IFERROR(VLOOKUP(A1892,CLIENTES!A:E,2,0),"CADASTRAR CLIENTE")</f>
        <v>ANDRIAO CANEPPA E SILVA LTDA ME</v>
      </c>
      <c r="C1892" s="54" t="s">
        <v>3</v>
      </c>
      <c r="D1892" s="54" t="s">
        <v>577</v>
      </c>
      <c r="E1892" s="51">
        <v>1172.5</v>
      </c>
      <c r="F1892" s="48"/>
      <c r="G1892" s="51"/>
      <c r="H1892" s="52"/>
      <c r="I1892" s="53">
        <v>45796</v>
      </c>
    </row>
    <row r="1893" spans="1:9">
      <c r="A1893" s="47">
        <v>1842</v>
      </c>
      <c r="B1893" s="48" t="str">
        <f>IFERROR(VLOOKUP(A1893,CLIENTES!A:E,2,0),"CADASTRAR CLIENTE")</f>
        <v>LABORATORIO UNILABVET EIRELI</v>
      </c>
      <c r="C1893" s="54" t="s">
        <v>3</v>
      </c>
      <c r="D1893" s="54" t="s">
        <v>578</v>
      </c>
      <c r="E1893" s="51">
        <v>725.58</v>
      </c>
      <c r="F1893" s="48"/>
      <c r="G1893" s="51"/>
      <c r="H1893" s="52"/>
      <c r="I1893" s="53">
        <v>45796</v>
      </c>
    </row>
    <row r="1894" spans="1:9">
      <c r="A1894" s="47">
        <v>572</v>
      </c>
      <c r="B1894" s="48" t="str">
        <f>IFERROR(VLOOKUP(A1894,CLIENTES!A:E,2,0),"CADASTRAR CLIENTE")</f>
        <v>LABORATORIO MULTIANALISES LTDA-ME</v>
      </c>
      <c r="C1894" s="54" t="s">
        <v>3</v>
      </c>
      <c r="D1894" s="54">
        <v>85864</v>
      </c>
      <c r="E1894" s="51">
        <v>1558.15</v>
      </c>
      <c r="F1894" s="48"/>
      <c r="G1894" s="51"/>
      <c r="H1894" s="52"/>
      <c r="I1894" s="53">
        <v>45796</v>
      </c>
    </row>
    <row r="1895" spans="1:9">
      <c r="A1895" s="47">
        <v>1813</v>
      </c>
      <c r="B1895" s="48" t="str">
        <f>IFERROR(VLOOKUP(A1895,CLIENTES!A:E,2,0),"CADASTRAR CLIENTE")</f>
        <v>BIOMED LAB.ANAL.CLIN. SC  LTDA</v>
      </c>
      <c r="C1895" s="54" t="s">
        <v>3</v>
      </c>
      <c r="D1895" s="54">
        <v>85818</v>
      </c>
      <c r="E1895" s="51">
        <v>1583.2</v>
      </c>
      <c r="F1895" s="48"/>
      <c r="G1895" s="51"/>
      <c r="H1895" s="52"/>
      <c r="I1895" s="53">
        <v>45796</v>
      </c>
    </row>
    <row r="1896" spans="1:9">
      <c r="A1896" s="47">
        <v>960</v>
      </c>
      <c r="B1896" s="48" t="str">
        <f>IFERROR(VLOOKUP(A1896,CLIENTES!A:E,2,0),"CADASTRAR CLIENTE")</f>
        <v>LUIS VALERIO FILHO-ME</v>
      </c>
      <c r="C1896" s="54" t="s">
        <v>3</v>
      </c>
      <c r="D1896" s="54" t="s">
        <v>579</v>
      </c>
      <c r="E1896" s="51">
        <v>1087.28</v>
      </c>
      <c r="F1896" s="48"/>
      <c r="G1896" s="51"/>
      <c r="H1896" s="52"/>
      <c r="I1896" s="53">
        <v>45796</v>
      </c>
    </row>
    <row r="1897" spans="1:9">
      <c r="A1897" s="47">
        <v>1240</v>
      </c>
      <c r="B1897" s="48" t="str">
        <f>IFERROR(VLOOKUP(A1897,CLIENTES!A:E,2,0),"CADASTRAR CLIENTE")</f>
        <v>MONICA VIEIRA DE CAMPOS REBELO-ME</v>
      </c>
      <c r="C1897" s="54" t="s">
        <v>3</v>
      </c>
      <c r="D1897" s="54">
        <v>85732</v>
      </c>
      <c r="E1897" s="51">
        <v>1440.45</v>
      </c>
      <c r="F1897" s="48"/>
      <c r="G1897" s="51"/>
      <c r="H1897" s="52"/>
      <c r="I1897" s="53">
        <v>45797</v>
      </c>
    </row>
    <row r="1898" spans="1:9">
      <c r="A1898" s="47">
        <v>687</v>
      </c>
      <c r="B1898" s="48" t="str">
        <f>IFERROR(VLOOKUP(A1898,CLIENTES!A:E,2,0),"CADASTRAR CLIENTE")</f>
        <v>LAB ANAL CLIN VENDRAMINI S/S LTDA</v>
      </c>
      <c r="C1898" s="54" t="s">
        <v>3</v>
      </c>
      <c r="D1898" s="54">
        <v>85894</v>
      </c>
      <c r="E1898" s="51">
        <v>4669.8</v>
      </c>
      <c r="F1898" s="48"/>
      <c r="G1898" s="51"/>
      <c r="H1898" s="52"/>
      <c r="I1898" s="53">
        <v>45797</v>
      </c>
    </row>
    <row r="1899" spans="1:9">
      <c r="A1899" s="47">
        <v>1164</v>
      </c>
      <c r="B1899" s="48" t="str">
        <f>IFERROR(VLOOKUP(A1899,CLIENTES!A:E,2,0),"CADASTRAR CLIENTE")</f>
        <v>LAB. ANAL. CLIN. SAO LOURENCO S/C LTDA</v>
      </c>
      <c r="C1899" s="54" t="s">
        <v>3</v>
      </c>
      <c r="D1899" s="54" t="s">
        <v>580</v>
      </c>
      <c r="E1899" s="51">
        <v>231.04</v>
      </c>
      <c r="F1899" s="48"/>
      <c r="G1899" s="51"/>
      <c r="H1899" s="52"/>
      <c r="I1899" s="53">
        <v>45797</v>
      </c>
    </row>
    <row r="1900" spans="1:9">
      <c r="A1900" s="47">
        <v>2022</v>
      </c>
      <c r="B1900" s="48" t="str">
        <f>IFERROR(VLOOKUP(A1900,CLIENTES!A:E,2,0),"CADASTRAR CLIENTE")</f>
        <v>LAB. MEDICO DR. MARICONDI S/C LTDA.</v>
      </c>
      <c r="C1900" s="54" t="s">
        <v>3</v>
      </c>
      <c r="D1900" s="54" t="s">
        <v>581</v>
      </c>
      <c r="E1900" s="51">
        <v>2182.5700000000002</v>
      </c>
      <c r="F1900" s="48"/>
      <c r="G1900" s="51"/>
      <c r="H1900" s="52"/>
      <c r="I1900" s="53">
        <v>45797</v>
      </c>
    </row>
    <row r="1901" spans="1:9">
      <c r="A1901" s="47">
        <v>1502</v>
      </c>
      <c r="B1901" s="48" t="str">
        <f>IFERROR(VLOOKUP(A1901,CLIENTES!A:E,2,0),"CADASTRAR CLIENTE")</f>
        <v>ASSOC.CASA DE SAUDE BEN. DE INDIAPORA</v>
      </c>
      <c r="C1901" s="54" t="s">
        <v>2</v>
      </c>
      <c r="D1901" s="54">
        <v>85867</v>
      </c>
      <c r="E1901" s="51">
        <v>3202.7</v>
      </c>
      <c r="F1901" s="48"/>
      <c r="G1901" s="51"/>
      <c r="H1901" s="52"/>
      <c r="I1901" s="53">
        <v>45797</v>
      </c>
    </row>
    <row r="1902" spans="1:9">
      <c r="A1902" s="47">
        <v>50961</v>
      </c>
      <c r="B1902" s="48" t="str">
        <f>IFERROR(VLOOKUP(A1902,CLIENTES!A:E,2,0),"CADASTRAR CLIENTE")</f>
        <v>SOLUTE MEDICAL GROUP BRAZIL LTDA</v>
      </c>
      <c r="C1902" s="54" t="s">
        <v>3</v>
      </c>
      <c r="D1902" s="54">
        <v>85887</v>
      </c>
      <c r="E1902" s="51">
        <v>377.8</v>
      </c>
      <c r="F1902" s="48"/>
      <c r="G1902" s="51"/>
      <c r="H1902" s="52"/>
      <c r="I1902" s="53">
        <v>45797</v>
      </c>
    </row>
    <row r="1903" spans="1:9">
      <c r="A1903" s="47">
        <v>687</v>
      </c>
      <c r="B1903" s="48" t="str">
        <f>IFERROR(VLOOKUP(A1903,CLIENTES!A:E,2,0),"CADASTRAR CLIENTE")</f>
        <v>LAB ANAL CLIN VENDRAMINI S/S LTDA</v>
      </c>
      <c r="C1903" s="54" t="s">
        <v>3</v>
      </c>
      <c r="D1903" s="54">
        <v>85894</v>
      </c>
      <c r="E1903" s="51">
        <v>6382.2</v>
      </c>
      <c r="F1903" s="48"/>
      <c r="G1903" s="51"/>
      <c r="H1903" s="52"/>
      <c r="I1903" s="53">
        <v>45797</v>
      </c>
    </row>
    <row r="1904" spans="1:9">
      <c r="A1904" s="47">
        <v>1122</v>
      </c>
      <c r="B1904" s="48" t="str">
        <f>IFERROR(VLOOKUP(A1904,CLIENTES!A:E,2,0),"CADASTRAR CLIENTE")</f>
        <v>FUNDEPAG</v>
      </c>
      <c r="C1904" s="54" t="s">
        <v>2</v>
      </c>
      <c r="D1904" s="54" t="s">
        <v>582</v>
      </c>
      <c r="E1904" s="51">
        <v>1510</v>
      </c>
      <c r="F1904" s="48"/>
      <c r="G1904" s="51"/>
      <c r="H1904" s="52"/>
      <c r="I1904" s="53">
        <v>45797</v>
      </c>
    </row>
    <row r="1905" spans="1:9">
      <c r="A1905" s="47">
        <v>905</v>
      </c>
      <c r="B1905" s="48" t="str">
        <f>IFERROR(VLOOKUP(A1905,CLIENTES!A:E,2,0),"CADASTRAR CLIENTE")</f>
        <v>LAB AN CLIN DR NESTOR FERRAREZZI FILHO  SC LTDA</v>
      </c>
      <c r="C1905" s="54" t="s">
        <v>328</v>
      </c>
      <c r="D1905" s="54" t="s">
        <v>583</v>
      </c>
      <c r="E1905" s="51">
        <v>750.5</v>
      </c>
      <c r="F1905" s="48"/>
      <c r="G1905" s="51"/>
      <c r="H1905" s="52"/>
      <c r="I1905" s="53">
        <v>45798</v>
      </c>
    </row>
    <row r="1906" spans="1:9">
      <c r="A1906" s="47">
        <v>772</v>
      </c>
      <c r="B1906" s="48" t="str">
        <f>IFERROR(VLOOKUP(A1906,CLIENTES!A:E,2,0),"CADASTRAR CLIENTE")</f>
        <v>MEGARON LABORATORIO ANAL.CLIN.SC LTDA.</v>
      </c>
      <c r="C1906" s="54" t="s">
        <v>3</v>
      </c>
      <c r="D1906" s="54" t="s">
        <v>584</v>
      </c>
      <c r="E1906" s="51">
        <v>1796.75</v>
      </c>
      <c r="F1906" s="48"/>
      <c r="G1906" s="51"/>
      <c r="H1906" s="52"/>
      <c r="I1906" s="53">
        <v>45798</v>
      </c>
    </row>
    <row r="1907" spans="1:9">
      <c r="A1907" s="47">
        <v>480</v>
      </c>
      <c r="B1907" s="48" t="str">
        <f>IFERROR(VLOOKUP(A1907,CLIENTES!A:E,2,0),"CADASTRAR CLIENTE")</f>
        <v>LAB SAO LUCAS</v>
      </c>
      <c r="C1907" s="54" t="s">
        <v>3</v>
      </c>
      <c r="D1907" s="54" t="s">
        <v>585</v>
      </c>
      <c r="E1907" s="51">
        <v>1739.9</v>
      </c>
      <c r="F1907" s="48"/>
      <c r="G1907" s="51"/>
      <c r="H1907" s="52"/>
      <c r="I1907" s="53">
        <v>45798</v>
      </c>
    </row>
    <row r="1908" spans="1:9">
      <c r="A1908" s="47">
        <v>474</v>
      </c>
      <c r="B1908" s="48" t="str">
        <f>IFERROR(VLOOKUP(A1908,CLIENTES!A:E,2,0),"CADASTRAR CLIENTE")</f>
        <v>LABORATI LAB. ANAL. CLIN. TIETE S/C LTDA.</v>
      </c>
      <c r="C1908" s="54" t="s">
        <v>3</v>
      </c>
      <c r="D1908" s="54" t="s">
        <v>586</v>
      </c>
      <c r="E1908" s="51">
        <v>937.1</v>
      </c>
      <c r="F1908" s="48"/>
      <c r="G1908" s="51"/>
      <c r="H1908" s="52"/>
      <c r="I1908" s="53">
        <v>45798</v>
      </c>
    </row>
    <row r="1909" spans="1:9">
      <c r="A1909" s="47">
        <v>475</v>
      </c>
      <c r="B1909" s="48" t="str">
        <f>IFERROR(VLOOKUP(A1909,CLIENTES!A:E,2,0),"CADASTRAR CLIENTE")</f>
        <v>LABORATORIO DE ANALISES CLINICAS SRC LTDA</v>
      </c>
      <c r="C1909" s="54" t="s">
        <v>3</v>
      </c>
      <c r="D1909" s="54">
        <v>85712</v>
      </c>
      <c r="E1909" s="51">
        <v>9340</v>
      </c>
      <c r="F1909" s="48"/>
      <c r="G1909" s="51"/>
      <c r="H1909" s="52"/>
      <c r="I1909" s="53">
        <v>45798</v>
      </c>
    </row>
    <row r="1910" spans="1:9">
      <c r="A1910" s="47">
        <v>620</v>
      </c>
      <c r="B1910" s="48" t="str">
        <f>IFERROR(VLOOKUP(A1910,CLIENTES!A:E,2,0),"CADASTRAR CLIENTE")</f>
        <v>LAB.SAO PAULO DE ANAL.CLIN.SC LTDA.</v>
      </c>
      <c r="C1910" s="54" t="s">
        <v>3</v>
      </c>
      <c r="D1910" s="54" t="s">
        <v>587</v>
      </c>
      <c r="E1910" s="51">
        <v>587.29999999999995</v>
      </c>
      <c r="F1910" s="48"/>
      <c r="G1910" s="51"/>
      <c r="H1910" s="52"/>
      <c r="I1910" s="53">
        <v>45798</v>
      </c>
    </row>
    <row r="1911" spans="1:9">
      <c r="A1911" s="47">
        <v>905</v>
      </c>
      <c r="B1911" s="48" t="str">
        <f>IFERROR(VLOOKUP(A1911,CLIENTES!A:E,2,0),"CADASTRAR CLIENTE")</f>
        <v>LAB AN CLIN DR NESTOR FERRAREZZI FILHO  SC LTDA</v>
      </c>
      <c r="C1911" s="54" t="s">
        <v>3</v>
      </c>
      <c r="D1911" s="54">
        <v>85899</v>
      </c>
      <c r="E1911" s="51">
        <v>778</v>
      </c>
      <c r="F1911" s="48"/>
      <c r="G1911" s="51"/>
      <c r="H1911" s="52"/>
      <c r="I1911" s="53">
        <v>45797</v>
      </c>
    </row>
    <row r="1912" spans="1:9">
      <c r="A1912" s="47">
        <v>1989</v>
      </c>
      <c r="B1912" s="48" t="str">
        <f>IFERROR(VLOOKUP(A1912,CLIENTES!A:E,2,0),"CADASTRAR CLIENTE")</f>
        <v>SAO FRANCISCO ANAL. CLIN.</v>
      </c>
      <c r="C1912" s="54" t="s">
        <v>328</v>
      </c>
      <c r="D1912" s="54" t="s">
        <v>588</v>
      </c>
      <c r="E1912" s="51">
        <v>826.73</v>
      </c>
      <c r="F1912" s="48"/>
      <c r="G1912" s="51"/>
      <c r="H1912" s="52"/>
      <c r="I1912" s="53">
        <v>45798</v>
      </c>
    </row>
    <row r="1913" spans="1:9">
      <c r="A1913" s="47">
        <v>690</v>
      </c>
      <c r="B1913" s="48" t="str">
        <f>IFERROR(VLOOKUP(A1913,CLIENTES!A:E,2,0),"CADASTRAR CLIENTE")</f>
        <v>SAO ROQUE MEDICINA DIAGNOSTICA LTDA EPP</v>
      </c>
      <c r="C1913" s="54" t="s">
        <v>3</v>
      </c>
      <c r="D1913" s="54">
        <v>85107</v>
      </c>
      <c r="E1913" s="51">
        <v>189</v>
      </c>
      <c r="F1913" s="48"/>
      <c r="G1913" s="51"/>
      <c r="H1913" s="52"/>
      <c r="I1913" s="53">
        <v>45798</v>
      </c>
    </row>
    <row r="1914" spans="1:9">
      <c r="A1914" s="47">
        <v>50554</v>
      </c>
      <c r="B1914" s="48" t="str">
        <f>IFERROR(VLOOKUP(A1914,CLIENTES!A:E,2,0),"CADASTRAR CLIENTE")</f>
        <v>SAO ROQUE MEDICINA DIAGNOSTICA</v>
      </c>
      <c r="C1914" s="54" t="s">
        <v>3</v>
      </c>
      <c r="D1914" s="54">
        <v>85108</v>
      </c>
      <c r="E1914" s="51">
        <v>189</v>
      </c>
      <c r="F1914" s="48"/>
      <c r="G1914" s="51"/>
      <c r="H1914" s="52"/>
      <c r="I1914" s="53">
        <v>45798</v>
      </c>
    </row>
    <row r="1915" spans="1:9">
      <c r="A1915" s="47">
        <v>1026</v>
      </c>
      <c r="B1915" s="48" t="str">
        <f>IFERROR(VLOOKUP(A1915,CLIENTES!A:E,2,0),"CADASTRAR CLIENTE")</f>
        <v>LABSC SERVICOS LABORATORIAIS LTDA</v>
      </c>
      <c r="C1915" s="54" t="s">
        <v>3</v>
      </c>
      <c r="D1915" s="54">
        <v>85771</v>
      </c>
      <c r="E1915" s="51">
        <v>1094</v>
      </c>
      <c r="F1915" s="48"/>
      <c r="G1915" s="51"/>
      <c r="H1915" s="52"/>
      <c r="I1915" s="53">
        <v>45798</v>
      </c>
    </row>
    <row r="1916" spans="1:9">
      <c r="A1916" s="47">
        <v>2198</v>
      </c>
      <c r="B1916" s="48" t="str">
        <f>IFERROR(VLOOKUP(A1916,CLIENTES!A:E,2,0),"CADASTRAR CLIENTE")</f>
        <v>LABORATORIO BIONALISES S.S. LTDA</v>
      </c>
      <c r="C1916" s="54" t="s">
        <v>3</v>
      </c>
      <c r="D1916" s="54">
        <v>85967</v>
      </c>
      <c r="E1916" s="51">
        <v>3649</v>
      </c>
      <c r="F1916" s="48"/>
      <c r="G1916" s="51"/>
      <c r="H1916" s="52"/>
      <c r="I1916" s="53">
        <v>45798</v>
      </c>
    </row>
    <row r="1917" spans="1:9">
      <c r="A1917" s="47">
        <v>1616</v>
      </c>
      <c r="B1917" s="48" t="str">
        <f>IFERROR(VLOOKUP(A1917,CLIENTES!A:E,2,0),"CADASTRAR CLIENTE")</f>
        <v>NOVO HORIZONTE LAB.ANAL.CLIN.S/C LTDA.</v>
      </c>
      <c r="C1917" s="54" t="s">
        <v>3</v>
      </c>
      <c r="D1917" s="54" t="s">
        <v>591</v>
      </c>
      <c r="E1917" s="51">
        <v>1940</v>
      </c>
      <c r="F1917" s="48"/>
      <c r="G1917" s="51"/>
      <c r="H1917" s="52"/>
      <c r="I1917" s="53">
        <v>45798</v>
      </c>
    </row>
    <row r="1918" spans="1:9">
      <c r="A1918" s="47">
        <v>2022</v>
      </c>
      <c r="B1918" s="48" t="str">
        <f>IFERROR(VLOOKUP(A1918,CLIENTES!A:E,2,0),"CADASTRAR CLIENTE")</f>
        <v>LAB. MEDICO DR. MARICONDI S/C LTDA.</v>
      </c>
      <c r="C1918" s="54" t="s">
        <v>3</v>
      </c>
      <c r="D1918" s="54">
        <v>85984</v>
      </c>
      <c r="E1918" s="51">
        <v>7996.05</v>
      </c>
      <c r="F1918" s="48"/>
      <c r="G1918" s="51"/>
      <c r="H1918" s="52"/>
      <c r="I1918" s="53">
        <v>45798</v>
      </c>
    </row>
    <row r="1919" spans="1:9">
      <c r="A1919" s="47">
        <v>784</v>
      </c>
      <c r="B1919" s="48" t="str">
        <f>IFERROR(VLOOKUP(A1919,CLIENTES!A:E,2,0),"CADASTRAR CLIENTE")</f>
        <v>LAB.ANAL.CLIN. ALBERT SABIN SC LTDA.</v>
      </c>
      <c r="C1919" s="54" t="s">
        <v>3</v>
      </c>
      <c r="D1919" s="54">
        <v>85997</v>
      </c>
      <c r="E1919" s="51">
        <v>291.7</v>
      </c>
      <c r="F1919" s="48"/>
      <c r="G1919" s="51"/>
      <c r="H1919" s="52"/>
      <c r="I1919" s="53">
        <v>45799</v>
      </c>
    </row>
    <row r="1920" spans="1:9">
      <c r="A1920" s="47">
        <v>1971</v>
      </c>
      <c r="B1920" s="48" t="str">
        <f>IFERROR(VLOOKUP(A1920,CLIENTES!A:E,2,0),"CADASTRAR CLIENTE")</f>
        <v>LABORATORIO POPULAR LAB 7 LTDA</v>
      </c>
      <c r="C1920" s="54" t="s">
        <v>3</v>
      </c>
      <c r="D1920" s="54">
        <v>86001</v>
      </c>
      <c r="E1920" s="51">
        <v>507</v>
      </c>
      <c r="F1920" s="48"/>
      <c r="G1920" s="51"/>
      <c r="H1920" s="52"/>
      <c r="I1920" s="53">
        <v>45799</v>
      </c>
    </row>
    <row r="1921" spans="1:9">
      <c r="A1921" s="47">
        <v>2415</v>
      </c>
      <c r="B1921" s="48" t="str">
        <f>IFERROR(VLOOKUP(A1921,CLIENTES!A:E,2,0),"CADASTRAR CLIENTE")</f>
        <v>ROSSETTO E BARROS LABORATORIO DE ANALISES CLINICAS LTDA</v>
      </c>
      <c r="C1921" s="54" t="s">
        <v>3</v>
      </c>
      <c r="D1921" s="54">
        <v>85931</v>
      </c>
      <c r="E1921" s="51">
        <v>499.6</v>
      </c>
      <c r="F1921" s="48"/>
      <c r="G1921" s="51"/>
      <c r="H1921" s="52"/>
      <c r="I1921" s="53">
        <v>45799</v>
      </c>
    </row>
    <row r="1922" spans="1:9">
      <c r="A1922" s="47">
        <v>50576</v>
      </c>
      <c r="B1922" s="48" t="str">
        <f>IFERROR(VLOOKUP(A1922,CLIENTES!A:E,2,0),"CADASTRAR CLIENTE")</f>
        <v>ANDRIAO CANEPPA E SILVA LTDA ME</v>
      </c>
      <c r="C1922" s="54" t="s">
        <v>3</v>
      </c>
      <c r="D1922" s="54">
        <v>86013</v>
      </c>
      <c r="E1922" s="51">
        <v>1030</v>
      </c>
      <c r="F1922" s="48"/>
      <c r="G1922" s="51"/>
      <c r="H1922" s="52"/>
      <c r="I1922" s="53">
        <v>45800</v>
      </c>
    </row>
    <row r="1923" spans="1:9">
      <c r="A1923" s="47">
        <v>3017</v>
      </c>
      <c r="B1923" s="48" t="str">
        <f>IFERROR(VLOOKUP(A1923,CLIENTES!A:E,2,0),"CADASTRAR CLIENTE")</f>
        <v>IMUNOLAB LABORATORIO DE ANALISES CLINICAS LTDA ME</v>
      </c>
      <c r="C1923" s="54" t="s">
        <v>3</v>
      </c>
      <c r="D1923" s="54">
        <v>76060</v>
      </c>
      <c r="E1923" s="51">
        <v>180.4</v>
      </c>
      <c r="F1923" s="48"/>
      <c r="G1923" s="51"/>
      <c r="H1923" s="52"/>
      <c r="I1923" s="53">
        <v>45800</v>
      </c>
    </row>
    <row r="1924" spans="1:9">
      <c r="A1924" s="47">
        <v>50219</v>
      </c>
      <c r="B1924" s="48" t="str">
        <f>IFERROR(VLOOKUP(A1924,CLIENTES!A:E,2,0),"CADASTRAR CLIENTE")</f>
        <v>UNIPREV LAB DE ANALISES LOCACAO DE BENS E REPAROS LTDA EPP</v>
      </c>
      <c r="C1924" s="54" t="s">
        <v>3</v>
      </c>
      <c r="D1924" s="54">
        <v>86065</v>
      </c>
      <c r="E1924" s="51">
        <v>1725</v>
      </c>
      <c r="F1924" s="48"/>
      <c r="G1924" s="51"/>
      <c r="H1924" s="52"/>
      <c r="I1924" s="53">
        <v>45800</v>
      </c>
    </row>
    <row r="1925" spans="1:9">
      <c r="A1925" s="47">
        <v>500243</v>
      </c>
      <c r="B1925" s="48" t="str">
        <f>IFERROR(VLOOKUP(A1925,CLIENTES!A:E,2,0),"CADASTRAR CLIENTE")</f>
        <v>UNIMED DE IBITINGA COOPERATIVA DE TRABALHO MEDICO</v>
      </c>
      <c r="C1925" s="54" t="s">
        <v>3</v>
      </c>
      <c r="D1925" s="54">
        <v>85964</v>
      </c>
      <c r="E1925" s="51">
        <v>1508.56</v>
      </c>
      <c r="F1925" s="48"/>
      <c r="G1925" s="51"/>
      <c r="H1925" s="52"/>
      <c r="I1925" s="53">
        <v>45800</v>
      </c>
    </row>
    <row r="1926" spans="1:9">
      <c r="A1926" s="47">
        <v>475</v>
      </c>
      <c r="B1926" s="48" t="str">
        <f>IFERROR(VLOOKUP(A1926,CLIENTES!A:E,2,0),"CADASTRAR CLIENTE")</f>
        <v>LABORATORIO DE ANALISES CLINICAS SRC LTDA</v>
      </c>
      <c r="C1926" s="54" t="s">
        <v>2</v>
      </c>
      <c r="D1926" s="54" t="s">
        <v>589</v>
      </c>
      <c r="E1926" s="51">
        <v>16483.580000000002</v>
      </c>
      <c r="F1926" s="48"/>
      <c r="G1926" s="51"/>
      <c r="H1926" s="52"/>
      <c r="I1926" s="53">
        <v>45800</v>
      </c>
    </row>
    <row r="1927" spans="1:9">
      <c r="A1927" s="47">
        <v>1813</v>
      </c>
      <c r="B1927" s="48" t="str">
        <f>IFERROR(VLOOKUP(A1927,CLIENTES!A:E,2,0),"CADASTRAR CLIENTE")</f>
        <v>BIOMED LAB.ANAL.CLIN. SC  LTDA</v>
      </c>
      <c r="C1927" s="54" t="s">
        <v>3</v>
      </c>
      <c r="D1927" s="54">
        <v>86022</v>
      </c>
      <c r="E1927" s="51">
        <v>886.75</v>
      </c>
      <c r="F1927" s="48"/>
      <c r="G1927" s="51"/>
      <c r="H1927" s="52"/>
      <c r="I1927" s="53">
        <v>45800</v>
      </c>
    </row>
    <row r="1928" spans="1:9">
      <c r="A1928" s="47">
        <v>572</v>
      </c>
      <c r="B1928" s="48" t="str">
        <f>IFERROR(VLOOKUP(A1928,CLIENTES!A:E,2,0),"CADASTRAR CLIENTE")</f>
        <v>LABORATORIO MULTIANALISES LTDA-ME</v>
      </c>
      <c r="C1928" s="54" t="s">
        <v>3</v>
      </c>
      <c r="D1928" s="54" t="s">
        <v>590</v>
      </c>
      <c r="E1928" s="51">
        <v>1876.85</v>
      </c>
      <c r="F1928" s="48"/>
      <c r="G1928" s="51"/>
      <c r="H1928" s="52"/>
      <c r="I1928" s="53">
        <v>45800</v>
      </c>
    </row>
    <row r="1929" spans="1:9">
      <c r="A1929" s="47">
        <v>618</v>
      </c>
      <c r="B1929" s="48" t="str">
        <f>IFERROR(VLOOKUP(A1929,CLIENTES!A:E,2,0),"CADASTRAR CLIENTE")</f>
        <v>LAB. ANAL. CLIN. POMPEIA</v>
      </c>
      <c r="C1929" s="54" t="s">
        <v>2</v>
      </c>
      <c r="D1929" s="54">
        <v>86113</v>
      </c>
      <c r="E1929" s="51">
        <v>1216</v>
      </c>
      <c r="F1929" s="48"/>
      <c r="G1929" s="51"/>
      <c r="H1929" s="52"/>
      <c r="I1929" s="53">
        <v>45803</v>
      </c>
    </row>
    <row r="1930" spans="1:9">
      <c r="A1930" s="47">
        <v>1905</v>
      </c>
      <c r="B1930" s="48" t="str">
        <f>IFERROR(VLOOKUP(A1930,CLIENTES!A:E,2,0),"CADASTRAR CLIENTE")</f>
        <v>A.C. CORREA DE OLIVEIRA LABORATORIO CLÍNICO</v>
      </c>
      <c r="C1930" s="54" t="s">
        <v>3</v>
      </c>
      <c r="D1930" s="54">
        <v>85899</v>
      </c>
      <c r="E1930" s="51">
        <v>774</v>
      </c>
      <c r="F1930" s="48"/>
      <c r="G1930" s="51"/>
      <c r="H1930" s="52"/>
      <c r="I1930" s="53">
        <v>45803</v>
      </c>
    </row>
    <row r="1931" spans="1:9">
      <c r="A1931" s="47">
        <v>581</v>
      </c>
      <c r="B1931" s="48" t="str">
        <f>IFERROR(VLOOKUP(A1931,CLIENTES!A:E,2,0),"CADASTRAR CLIENTE")</f>
        <v>CLINILAB LABORAT. ANAL. CLIN SC LTDA</v>
      </c>
      <c r="C1931" s="54" t="s">
        <v>3</v>
      </c>
      <c r="D1931" s="54">
        <v>86134</v>
      </c>
      <c r="E1931" s="51">
        <v>778</v>
      </c>
      <c r="F1931" s="48"/>
      <c r="G1931" s="51"/>
      <c r="H1931" s="52"/>
      <c r="I1931" s="53">
        <v>45803</v>
      </c>
    </row>
    <row r="1932" spans="1:9">
      <c r="A1932" s="47">
        <v>1533</v>
      </c>
      <c r="B1932" s="48" t="str">
        <f>IFERROR(VLOOKUP(A1932,CLIENTES!A:E,2,0),"CADASTRAR CLIENTE")</f>
        <v>LABORATORIO BIOANALISE DIAGNOSTICO LTDA</v>
      </c>
      <c r="C1932" s="54" t="s">
        <v>3</v>
      </c>
      <c r="D1932" s="54">
        <v>86147</v>
      </c>
      <c r="E1932" s="51">
        <v>970</v>
      </c>
      <c r="F1932" s="48"/>
      <c r="G1932" s="51"/>
      <c r="H1932" s="52"/>
      <c r="I1932" s="53">
        <v>45803</v>
      </c>
    </row>
    <row r="1933" spans="1:9">
      <c r="A1933" s="47">
        <v>761</v>
      </c>
      <c r="B1933" s="48" t="str">
        <f>IFERROR(VLOOKUP(A1933,CLIENTES!A:E,2,0),"CADASTRAR CLIENTE")</f>
        <v>EXAME CENTRO DIAG.M.ARACATUBA SC LTDA.</v>
      </c>
      <c r="C1933" s="54" t="s">
        <v>3</v>
      </c>
      <c r="D1933" s="54" t="s">
        <v>593</v>
      </c>
      <c r="E1933" s="51">
        <v>1373.15</v>
      </c>
      <c r="F1933" s="48"/>
      <c r="G1933" s="51"/>
      <c r="H1933" s="52"/>
      <c r="I1933" s="53">
        <v>45803</v>
      </c>
    </row>
    <row r="1934" spans="1:9">
      <c r="A1934" s="47">
        <v>2955</v>
      </c>
      <c r="B1934" s="48" t="str">
        <f>IFERROR(VLOOKUP(A1934,CLIENTES!A:E,2,0),"CADASTRAR CLIENTE")</f>
        <v>ASSOCIACAO SANTA CASA SAUDE DE ARACATUBA</v>
      </c>
      <c r="C1934" s="54" t="s">
        <v>3</v>
      </c>
      <c r="D1934" s="54" t="s">
        <v>595</v>
      </c>
      <c r="E1934" s="51">
        <v>1602.6</v>
      </c>
      <c r="F1934" s="48"/>
      <c r="G1934" s="51"/>
      <c r="H1934" s="52"/>
      <c r="I1934" s="53">
        <v>45803</v>
      </c>
    </row>
    <row r="1935" spans="1:9">
      <c r="A1935" s="47">
        <v>1164</v>
      </c>
      <c r="B1935" s="48" t="str">
        <f>IFERROR(VLOOKUP(A1935,CLIENTES!A:E,2,0),"CADASTRAR CLIENTE")</f>
        <v>LAB. ANAL. CLIN. SAO LOURENCO S/C LTDA</v>
      </c>
      <c r="C1935" s="54" t="s">
        <v>3</v>
      </c>
      <c r="D1935" s="54">
        <v>86114</v>
      </c>
      <c r="E1935" s="51">
        <v>778</v>
      </c>
      <c r="F1935" s="48"/>
      <c r="G1935" s="51"/>
      <c r="H1935" s="52"/>
      <c r="I1935" s="53">
        <v>45803</v>
      </c>
    </row>
    <row r="1936" spans="1:9">
      <c r="A1936" s="47">
        <v>1493</v>
      </c>
      <c r="B1936" s="48" t="str">
        <f>IFERROR(VLOOKUP(A1936,CLIENTES!A:E,2,0),"CADASTRAR CLIENTE")</f>
        <v>CEDIMA  CENTRO DE DIAG MONTE AZUL ANAL CLIN E CIT</v>
      </c>
      <c r="C1936" s="54" t="s">
        <v>3</v>
      </c>
      <c r="D1936" s="54">
        <v>86161</v>
      </c>
      <c r="E1936" s="51">
        <v>718.6</v>
      </c>
      <c r="F1936" s="48"/>
      <c r="G1936" s="51"/>
      <c r="H1936" s="52"/>
      <c r="I1936" s="53">
        <v>45803</v>
      </c>
    </row>
    <row r="1937" spans="1:9">
      <c r="A1937" s="47">
        <v>906</v>
      </c>
      <c r="B1937" s="48" t="str">
        <f>IFERROR(VLOOKUP(A1937,CLIENTES!A:E,2,0),"CADASTRAR CLIENTE")</f>
        <v>LABORATORIO ANAL. CLIN. DESCALVADO LTDA</v>
      </c>
      <c r="C1937" s="54" t="s">
        <v>3</v>
      </c>
      <c r="D1937" s="54" t="s">
        <v>592</v>
      </c>
      <c r="E1937" s="51">
        <v>4857.01</v>
      </c>
      <c r="F1937" s="48"/>
      <c r="G1937" s="51"/>
      <c r="H1937" s="52"/>
      <c r="I1937" s="53">
        <v>45803</v>
      </c>
    </row>
    <row r="1938" spans="1:9">
      <c r="A1938" s="47">
        <v>874</v>
      </c>
      <c r="B1938" s="48" t="str">
        <f>IFERROR(VLOOKUP(A1938,CLIENTES!A:E,2,0),"CADASTRAR CLIENTE")</f>
        <v>LAB.ANAL.CLIN ABI JAUDI SC LTDA.</v>
      </c>
      <c r="C1938" s="54" t="s">
        <v>3</v>
      </c>
      <c r="D1938" s="54" t="s">
        <v>594</v>
      </c>
      <c r="E1938" s="51">
        <v>624.66</v>
      </c>
      <c r="F1938" s="48"/>
      <c r="G1938" s="51"/>
      <c r="H1938" s="52"/>
      <c r="I1938" s="53">
        <v>45804</v>
      </c>
    </row>
    <row r="1939" spans="1:9">
      <c r="A1939" s="47">
        <v>2198</v>
      </c>
      <c r="B1939" s="48" t="str">
        <f>IFERROR(VLOOKUP(A1939,CLIENTES!A:E,2,0),"CADASTRAR CLIENTE")</f>
        <v>LABORATORIO BIONALISES S.S. LTDA</v>
      </c>
      <c r="C1939" s="54" t="s">
        <v>3</v>
      </c>
      <c r="D1939" s="54">
        <v>85967</v>
      </c>
      <c r="E1939" s="51">
        <v>4247.76</v>
      </c>
      <c r="F1939" s="48"/>
      <c r="G1939" s="51"/>
      <c r="H1939" s="52"/>
      <c r="I1939" s="53">
        <v>45804</v>
      </c>
    </row>
    <row r="1940" spans="1:9">
      <c r="A1940" s="47">
        <v>3017</v>
      </c>
      <c r="B1940" s="48" t="str">
        <f>IFERROR(VLOOKUP(A1940,CLIENTES!A:E,2,0),"CADASTRAR CLIENTE")</f>
        <v>IMUNOLAB LABORATORIO DE ANALISES CLINICAS LTDA ME</v>
      </c>
      <c r="C1940" s="54" t="s">
        <v>3</v>
      </c>
      <c r="D1940" s="54">
        <v>86224</v>
      </c>
      <c r="E1940" s="51">
        <v>1003.66</v>
      </c>
      <c r="F1940" s="48"/>
      <c r="G1940" s="51"/>
      <c r="H1940" s="52"/>
      <c r="I1940" s="53">
        <v>45804</v>
      </c>
    </row>
    <row r="1941" spans="1:9">
      <c r="A1941" s="47">
        <v>2198</v>
      </c>
      <c r="B1941" s="48" t="str">
        <f>IFERROR(VLOOKUP(A1941,CLIENTES!A:E,2,0),"CADASTRAR CLIENTE")</f>
        <v>LABORATORIO BIONALISES S.S. LTDA</v>
      </c>
      <c r="C1941" s="54" t="s">
        <v>3</v>
      </c>
      <c r="D1941" s="54">
        <v>85967</v>
      </c>
      <c r="E1941" s="51">
        <v>3713.76</v>
      </c>
      <c r="F1941" s="48"/>
      <c r="G1941" s="51"/>
      <c r="H1941" s="52"/>
      <c r="I1941" s="53">
        <v>45804</v>
      </c>
    </row>
    <row r="1942" spans="1:9">
      <c r="A1942" s="47">
        <v>2702</v>
      </c>
      <c r="B1942" s="48" t="str">
        <f>IFERROR(VLOOKUP(A1942,CLIENTES!A:E,2,0),"CADASTRAR CLIENTE")</f>
        <v>SANTA CASA DE MISER. DE TAQUARITUBA</v>
      </c>
      <c r="C1942" s="54" t="s">
        <v>3</v>
      </c>
      <c r="D1942" s="54">
        <v>86261</v>
      </c>
      <c r="E1942" s="51">
        <v>1287</v>
      </c>
      <c r="F1942" s="48"/>
      <c r="G1942" s="51"/>
      <c r="H1942" s="52"/>
      <c r="I1942" s="53">
        <v>45805</v>
      </c>
    </row>
    <row r="1943" spans="1:9">
      <c r="A1943" s="47">
        <v>50426</v>
      </c>
      <c r="B1943" s="48" t="str">
        <f>IFERROR(VLOOKUP(A1943,CLIENTES!A:E,2,0),"CADASTRAR CLIENTE")</f>
        <v>LABORATORIO DE ANALISES CLINICAS VIDA BIRIGUI LTDA</v>
      </c>
      <c r="C1943" s="54" t="s">
        <v>3</v>
      </c>
      <c r="D1943" s="54">
        <v>86265</v>
      </c>
      <c r="E1943" s="51">
        <v>3250</v>
      </c>
      <c r="F1943" s="48"/>
      <c r="G1943" s="51"/>
      <c r="H1943" s="52"/>
      <c r="I1943" s="53">
        <v>45805</v>
      </c>
    </row>
    <row r="1944" spans="1:9">
      <c r="A1944" s="47">
        <v>2022</v>
      </c>
      <c r="B1944" s="48" t="str">
        <f>IFERROR(VLOOKUP(A1944,CLIENTES!A:E,2,0),"CADASTRAR CLIENTE")</f>
        <v>LAB. MEDICO DR. MARICONDI S/C LTDA.</v>
      </c>
      <c r="C1944" s="54" t="s">
        <v>3</v>
      </c>
      <c r="D1944" s="54">
        <v>86280</v>
      </c>
      <c r="E1944" s="51">
        <v>2028.3</v>
      </c>
      <c r="F1944" s="48"/>
      <c r="G1944" s="51"/>
      <c r="H1944" s="52"/>
      <c r="I1944" s="53">
        <v>45805</v>
      </c>
    </row>
    <row r="1945" spans="1:9">
      <c r="A1945" s="47">
        <v>516</v>
      </c>
      <c r="B1945" s="48" t="str">
        <f>IFERROR(VLOOKUP(A1945,CLIENTES!A:E,2,0),"CADASTRAR CLIENTE")</f>
        <v>TECNOLAB PATOLOGIA CLINICA S/C LTDA</v>
      </c>
      <c r="C1945" s="54" t="s">
        <v>3</v>
      </c>
      <c r="D1945" s="54">
        <v>85643</v>
      </c>
      <c r="E1945" s="51">
        <v>182.5</v>
      </c>
      <c r="F1945" s="48"/>
      <c r="G1945" s="51"/>
      <c r="H1945" s="52"/>
      <c r="I1945" s="53">
        <v>45805</v>
      </c>
    </row>
    <row r="1946" spans="1:9">
      <c r="A1946" s="47">
        <v>3017</v>
      </c>
      <c r="B1946" s="48" t="str">
        <f>IFERROR(VLOOKUP(A1946,CLIENTES!A:E,2,0),"CADASTRAR CLIENTE")</f>
        <v>IMUNOLAB LABORATORIO DE ANALISES CLINICAS LTDA ME</v>
      </c>
      <c r="C1946" s="54" t="s">
        <v>3</v>
      </c>
      <c r="D1946" s="54">
        <v>86320</v>
      </c>
      <c r="E1946" s="51">
        <v>250</v>
      </c>
      <c r="F1946" s="48"/>
      <c r="G1946" s="51"/>
      <c r="H1946" s="52"/>
      <c r="I1946" s="53">
        <v>45806</v>
      </c>
    </row>
    <row r="1947" spans="1:9">
      <c r="A1947" s="47">
        <v>1533</v>
      </c>
      <c r="B1947" s="48" t="str">
        <f>IFERROR(VLOOKUP(A1947,CLIENTES!A:E,2,0),"CADASTRAR CLIENTE")</f>
        <v>LABORATORIO BIOANALISE DIAGNOSTICO LTDA</v>
      </c>
      <c r="C1947" s="54" t="s">
        <v>3</v>
      </c>
      <c r="D1947" s="54">
        <v>86312</v>
      </c>
      <c r="E1947" s="51">
        <v>1167</v>
      </c>
      <c r="F1947" s="48"/>
      <c r="G1947" s="51"/>
      <c r="H1947" s="52"/>
      <c r="I1947" s="53">
        <v>45806</v>
      </c>
    </row>
    <row r="1948" spans="1:9">
      <c r="A1948" s="47">
        <v>3194</v>
      </c>
      <c r="B1948" s="48" t="str">
        <f>IFERROR(VLOOKUP(A1948,CLIENTES!A:E,2,0),"CADASTRAR CLIENTE")</f>
        <v>CENTRO DE DIAGNOSTICOS CONTROLE LTDA</v>
      </c>
      <c r="C1948" s="54" t="s">
        <v>3</v>
      </c>
      <c r="D1948" s="54">
        <v>86381</v>
      </c>
      <c r="E1948" s="59">
        <v>4169.55</v>
      </c>
      <c r="F1948" s="48"/>
      <c r="G1948" s="51"/>
      <c r="H1948" s="52"/>
      <c r="I1948" s="53">
        <v>45810</v>
      </c>
    </row>
    <row r="1949" spans="1:9">
      <c r="A1949" s="47">
        <v>2911</v>
      </c>
      <c r="B1949" s="48" t="str">
        <f>IFERROR(VLOOKUP(A1949,CLIENTES!A:E,2,0),"CADASTRAR CLIENTE")</f>
        <v>BIOLIFE-LABORATORIO DE ANALISES CLINICAS LTDA</v>
      </c>
      <c r="C1949" s="54" t="s">
        <v>3</v>
      </c>
      <c r="D1949" s="54" t="s">
        <v>596</v>
      </c>
      <c r="E1949" s="59">
        <v>2153.7800000000002</v>
      </c>
      <c r="F1949" s="48"/>
      <c r="G1949" s="51"/>
      <c r="H1949" s="52"/>
      <c r="I1949" s="53">
        <v>45810</v>
      </c>
    </row>
    <row r="1950" spans="1:9">
      <c r="A1950" s="47">
        <v>1989</v>
      </c>
      <c r="B1950" s="48" t="str">
        <f>IFERROR(VLOOKUP(A1950,CLIENTES!A:E,2,0),"CADASTRAR CLIENTE")</f>
        <v>SAO FRANCISCO ANAL. CLIN.</v>
      </c>
      <c r="C1950" s="54" t="s">
        <v>3</v>
      </c>
      <c r="D1950" s="54">
        <v>86376</v>
      </c>
      <c r="E1950" s="51">
        <v>1556</v>
      </c>
      <c r="F1950" s="48"/>
      <c r="G1950" s="51"/>
      <c r="H1950" s="52"/>
      <c r="I1950" s="53">
        <v>45810</v>
      </c>
    </row>
    <row r="1951" spans="1:9">
      <c r="A1951" s="47">
        <v>1026</v>
      </c>
      <c r="B1951" s="48" t="str">
        <f>IFERROR(VLOOKUP(A1951,CLIENTES!A:E,2,0),"CADASTRAR CLIENTE")</f>
        <v>LABSC SERVICOS LABORATORIAIS LTDA</v>
      </c>
      <c r="C1951" s="54" t="s">
        <v>3</v>
      </c>
      <c r="D1951" s="54">
        <v>86376</v>
      </c>
      <c r="E1951" s="51">
        <v>1036.8800000000001</v>
      </c>
      <c r="F1951" s="48"/>
      <c r="G1951" s="51"/>
      <c r="H1951" s="52"/>
      <c r="I1951" s="53">
        <v>45810</v>
      </c>
    </row>
    <row r="1952" spans="1:9">
      <c r="A1952" s="47">
        <v>3153</v>
      </c>
      <c r="B1952" s="48" t="str">
        <f>IFERROR(VLOOKUP(A1952,CLIENTES!A:E,2,0),"CADASTRAR CLIENTE")</f>
        <v>UNIMED DE TUPA COOPERATIVA DE TRABALHO MEDICO</v>
      </c>
      <c r="C1952" s="54" t="s">
        <v>3</v>
      </c>
      <c r="D1952" s="54">
        <v>86418</v>
      </c>
      <c r="E1952" s="51">
        <v>2266.6799999999998</v>
      </c>
      <c r="F1952" s="48"/>
      <c r="G1952" s="51"/>
      <c r="H1952" s="52"/>
      <c r="I1952" s="53">
        <v>45811</v>
      </c>
    </row>
    <row r="1953" spans="1:9">
      <c r="A1953" s="47">
        <v>663</v>
      </c>
      <c r="B1953" s="48" t="str">
        <f>IFERROR(VLOOKUP(A1953,CLIENTES!A:E,2,0),"CADASTRAR CLIENTE")</f>
        <v>LAB. MEDICO GUIMARAES</v>
      </c>
      <c r="C1953" s="54" t="s">
        <v>3</v>
      </c>
      <c r="D1953" s="54" t="s">
        <v>597</v>
      </c>
      <c r="E1953" s="51">
        <v>776.18</v>
      </c>
      <c r="F1953" s="48"/>
      <c r="G1953" s="51"/>
      <c r="H1953" s="52"/>
      <c r="I1953" s="53">
        <v>45811</v>
      </c>
    </row>
    <row r="1954" spans="1:9">
      <c r="A1954" s="47">
        <v>475</v>
      </c>
      <c r="B1954" s="48" t="str">
        <f>IFERROR(VLOOKUP(A1954,CLIENTES!A:E,2,0),"CADASTRAR CLIENTE")</f>
        <v>LABORATORIO DE ANALISES CLINICAS SRC LTDA</v>
      </c>
      <c r="C1954" s="54" t="s">
        <v>2</v>
      </c>
      <c r="D1954" s="54">
        <v>85712</v>
      </c>
      <c r="E1954" s="51">
        <v>1578.8</v>
      </c>
      <c r="F1954" s="48"/>
      <c r="G1954" s="51"/>
      <c r="H1954" s="52"/>
      <c r="I1954" s="53">
        <v>45811</v>
      </c>
    </row>
    <row r="1955" spans="1:9">
      <c r="A1955" s="47">
        <v>746</v>
      </c>
      <c r="B1955" s="48" t="str">
        <f>IFERROR(VLOOKUP(A1955,CLIENTES!A:E,2,0),"CADASTRAR CLIENTE")</f>
        <v>LAB.ANAL.CLIN.BIOCLIN SC LTDA.</v>
      </c>
      <c r="C1955" s="54" t="s">
        <v>328</v>
      </c>
      <c r="D1955" s="54" t="s">
        <v>598</v>
      </c>
      <c r="E1955" s="51">
        <v>4374.37</v>
      </c>
      <c r="F1955" s="48"/>
      <c r="G1955" s="51"/>
      <c r="H1955" s="52"/>
      <c r="I1955" s="53">
        <v>45811</v>
      </c>
    </row>
    <row r="1956" spans="1:9">
      <c r="A1956" s="47">
        <v>731</v>
      </c>
      <c r="B1956" s="48" t="str">
        <f>IFERROR(VLOOKUP(A1956,CLIENTES!A:E,2,0),"CADASTRAR CLIENTE")</f>
        <v>UNILAB LABORATORIO ANALISES CLINICAS SANTA FE DO SUL LTDA</v>
      </c>
      <c r="C1956" s="54" t="s">
        <v>3</v>
      </c>
      <c r="D1956" s="54">
        <v>86436</v>
      </c>
      <c r="E1956" s="51">
        <v>778</v>
      </c>
      <c r="F1956" s="48"/>
      <c r="G1956" s="51"/>
      <c r="H1956" s="52"/>
      <c r="I1956" s="53">
        <v>45811</v>
      </c>
    </row>
    <row r="1957" spans="1:9">
      <c r="A1957" s="47">
        <v>784</v>
      </c>
      <c r="B1957" s="48" t="str">
        <f>IFERROR(VLOOKUP(A1957,CLIENTES!A:E,2,0),"CADASTRAR CLIENTE")</f>
        <v>LAB.ANAL.CLIN. ALBERT SABIN SC LTDA.</v>
      </c>
      <c r="C1957" s="54" t="s">
        <v>2</v>
      </c>
      <c r="D1957" s="54" t="s">
        <v>599</v>
      </c>
      <c r="E1957" s="51">
        <v>4181</v>
      </c>
      <c r="F1957" s="48"/>
      <c r="G1957" s="51"/>
      <c r="H1957" s="52"/>
      <c r="I1957" s="53">
        <v>45811</v>
      </c>
    </row>
    <row r="1958" spans="1:9">
      <c r="A1958" s="47">
        <v>2163</v>
      </c>
      <c r="B1958" s="48" t="str">
        <f>IFERROR(VLOOKUP(A1958,CLIENTES!A:E,2,0),"CADASTRAR CLIENTE")</f>
        <v>BIO-LAB SAO JUDAS TADEU S/C LTDA - ME</v>
      </c>
      <c r="C1958" s="54" t="s">
        <v>328</v>
      </c>
      <c r="D1958" s="54">
        <v>86455</v>
      </c>
      <c r="E1958" s="51">
        <v>3013.98</v>
      </c>
      <c r="F1958" s="48"/>
      <c r="G1958" s="51"/>
      <c r="H1958" s="52"/>
      <c r="I1958" s="53">
        <v>45811</v>
      </c>
    </row>
    <row r="1959" spans="1:9">
      <c r="A1959" s="47">
        <v>50465</v>
      </c>
      <c r="B1959" s="48" t="str">
        <f>IFERROR(VLOOKUP(A1959,CLIENTES!A:E,2,0),"CADASTRAR CLIENTE")</f>
        <v>LABORATORIO DE ANALISES CLINICAS VIDA BIRIGUI LTDA</v>
      </c>
      <c r="C1959" s="54" t="s">
        <v>3</v>
      </c>
      <c r="D1959" s="54">
        <v>86457</v>
      </c>
      <c r="E1959" s="51">
        <v>498</v>
      </c>
      <c r="F1959" s="48"/>
      <c r="G1959" s="51"/>
      <c r="H1959" s="52"/>
      <c r="I1959" s="53">
        <v>45811</v>
      </c>
    </row>
    <row r="1960" spans="1:9">
      <c r="A1960" s="47">
        <v>432</v>
      </c>
      <c r="B1960" s="48" t="str">
        <f>IFERROR(VLOOKUP(A1960,CLIENTES!A:E,2,0),"CADASTRAR CLIENTE")</f>
        <v>LABORATORIO PASTEUR HEMATOLOGIA E MICROBIOLOGIA S/S LTDA</v>
      </c>
      <c r="C1960" s="54" t="s">
        <v>3</v>
      </c>
      <c r="D1960" s="54">
        <v>86428</v>
      </c>
      <c r="E1960" s="51">
        <v>1627.04</v>
      </c>
      <c r="F1960" s="48"/>
      <c r="G1960" s="51"/>
      <c r="H1960" s="52"/>
      <c r="I1960" s="53">
        <v>45811</v>
      </c>
    </row>
    <row r="1961" spans="1:9">
      <c r="A1961" s="47">
        <v>2022</v>
      </c>
      <c r="B1961" s="48" t="str">
        <f>IFERROR(VLOOKUP(A1961,CLIENTES!A:E,2,0),"CADASTRAR CLIENTE")</f>
        <v>LAB. MEDICO DR. MARICONDI S/C LTDA.</v>
      </c>
      <c r="C1961" s="54" t="s">
        <v>3</v>
      </c>
      <c r="D1961" s="54" t="s">
        <v>601</v>
      </c>
      <c r="E1961" s="51">
        <v>8072.05</v>
      </c>
      <c r="F1961" s="48"/>
      <c r="G1961" s="51"/>
      <c r="H1961" s="52"/>
      <c r="I1961" s="53">
        <v>45811</v>
      </c>
    </row>
    <row r="1962" spans="1:9">
      <c r="A1962" s="47">
        <v>171</v>
      </c>
      <c r="B1962" s="48" t="str">
        <f>IFERROR(VLOOKUP(A1962,CLIENTES!A:E,2,0),"CADASTRAR CLIENTE")</f>
        <v>HOSPITAL BENEFICENTE SAO JOSE</v>
      </c>
      <c r="C1962" s="54" t="s">
        <v>3</v>
      </c>
      <c r="D1962" s="54">
        <v>85302</v>
      </c>
      <c r="E1962" s="51">
        <v>1576.96</v>
      </c>
      <c r="F1962" s="48"/>
      <c r="G1962" s="51"/>
      <c r="H1962" s="52"/>
      <c r="I1962" s="53">
        <v>45811</v>
      </c>
    </row>
    <row r="1963" spans="1:9">
      <c r="A1963" s="47">
        <v>311</v>
      </c>
      <c r="B1963" s="48" t="str">
        <f>IFERROR(VLOOKUP(A1963,CLIENTES!A:E,2,0),"CADASTRAR CLIENTE")</f>
        <v>CENTRO DE ANAL.CLIN. UNILAB  SC LTDA.</v>
      </c>
      <c r="C1963" s="54" t="s">
        <v>3</v>
      </c>
      <c r="D1963" s="54" t="s">
        <v>600</v>
      </c>
      <c r="E1963" s="51">
        <v>1133.5</v>
      </c>
      <c r="F1963" s="48"/>
      <c r="G1963" s="51"/>
      <c r="H1963" s="52"/>
      <c r="I1963" s="53">
        <v>45811</v>
      </c>
    </row>
    <row r="1964" spans="1:9">
      <c r="A1964" s="47">
        <v>784</v>
      </c>
      <c r="B1964" s="48" t="str">
        <f>IFERROR(VLOOKUP(A1964,CLIENTES!A:E,2,0),"CADASTRAR CLIENTE")</f>
        <v>LAB.ANAL.CLIN. ALBERT SABIN SC LTDA.</v>
      </c>
      <c r="C1964" s="54" t="s">
        <v>3</v>
      </c>
      <c r="D1964" s="54" t="s">
        <v>602</v>
      </c>
      <c r="E1964" s="51">
        <v>3003.86</v>
      </c>
      <c r="F1964" s="48"/>
      <c r="G1964" s="51"/>
      <c r="H1964" s="52"/>
      <c r="I1964" s="53">
        <v>45811</v>
      </c>
    </row>
    <row r="1965" spans="1:9">
      <c r="A1965" s="47">
        <v>50465</v>
      </c>
      <c r="B1965" s="48" t="str">
        <f>IFERROR(VLOOKUP(A1965,CLIENTES!A:E,2,0),"CADASTRAR CLIENTE")</f>
        <v>LABORATORIO DE ANALISES CLINICAS VIDA BIRIGUI LTDA</v>
      </c>
      <c r="C1965" s="54" t="s">
        <v>3</v>
      </c>
      <c r="D1965" s="54">
        <v>86457</v>
      </c>
      <c r="E1965" s="51">
        <v>498</v>
      </c>
      <c r="F1965" s="48"/>
      <c r="G1965" s="51"/>
      <c r="H1965" s="52"/>
      <c r="I1965" s="53">
        <v>45811</v>
      </c>
    </row>
    <row r="1966" spans="1:9">
      <c r="A1966" s="47">
        <v>2702</v>
      </c>
      <c r="B1966" s="48" t="str">
        <f>IFERROR(VLOOKUP(A1966,CLIENTES!A:E,2,0),"CADASTRAR CLIENTE")</f>
        <v>SANTA CASA DE MISER. DE TAQUARITUBA</v>
      </c>
      <c r="C1966" s="54" t="s">
        <v>3</v>
      </c>
      <c r="D1966" s="54">
        <v>85230</v>
      </c>
      <c r="E1966" s="51">
        <v>1622.4</v>
      </c>
      <c r="F1966" s="48"/>
      <c r="G1966" s="51"/>
      <c r="H1966" s="52"/>
      <c r="I1966" s="53">
        <v>45811</v>
      </c>
    </row>
    <row r="1967" spans="1:9">
      <c r="A1967" s="63">
        <v>1989</v>
      </c>
      <c r="B1967" s="64" t="str">
        <f>IFERROR(VLOOKUP(A1967,CLIENTES!A:E,2,0),"CADASTRAR CLIENTE")</f>
        <v>SAO FRANCISCO ANAL. CLIN.</v>
      </c>
      <c r="C1967" s="69" t="s">
        <v>3</v>
      </c>
      <c r="D1967" s="69">
        <v>86203</v>
      </c>
      <c r="E1967" s="65">
        <v>616.03</v>
      </c>
      <c r="F1967" s="64"/>
      <c r="G1967" s="65"/>
      <c r="H1967" s="66"/>
      <c r="I1967" s="67">
        <v>45811</v>
      </c>
    </row>
    <row r="1968" spans="1:9">
      <c r="A1968" s="63">
        <v>50554</v>
      </c>
      <c r="B1968" s="64" t="str">
        <f>IFERROR(VLOOKUP(A1968,CLIENTES!A:E,2,0),"CADASTRAR CLIENTE")</f>
        <v>SAO ROQUE MEDICINA DIAGNOSTICA</v>
      </c>
      <c r="C1968" s="69" t="s">
        <v>3</v>
      </c>
      <c r="D1968" s="69">
        <v>86213</v>
      </c>
      <c r="E1968" s="65">
        <v>189</v>
      </c>
      <c r="F1968" s="64"/>
      <c r="G1968" s="65"/>
      <c r="H1968" s="66"/>
      <c r="I1968" s="67">
        <v>45811</v>
      </c>
    </row>
    <row r="1969" spans="1:9">
      <c r="A1969" s="63">
        <v>690</v>
      </c>
      <c r="B1969" s="64" t="str">
        <f>IFERROR(VLOOKUP(A1969,CLIENTES!A:E,2,0),"CADASTRAR CLIENTE")</f>
        <v>SAO ROQUE MEDICINA DIAGNOSTICA LTDA EPP</v>
      </c>
      <c r="C1969" s="69" t="s">
        <v>3</v>
      </c>
      <c r="D1969" s="69" t="s">
        <v>624</v>
      </c>
      <c r="E1969" s="65">
        <v>295.3</v>
      </c>
      <c r="F1969" s="64"/>
      <c r="G1969" s="65"/>
      <c r="H1969" s="66"/>
      <c r="I1969" s="67">
        <v>45811</v>
      </c>
    </row>
    <row r="1970" spans="1:9">
      <c r="A1970" s="47">
        <v>50418</v>
      </c>
      <c r="B1970" s="48" t="str">
        <f>IFERROR(VLOOKUP(A1970,CLIENTES!A:E,2,0),"CADASTRAR CLIENTE")</f>
        <v>LABORATORIO SAO LUCAS DE BROTAS SS LTDA</v>
      </c>
      <c r="C1970" s="54" t="s">
        <v>3</v>
      </c>
      <c r="D1970" s="54">
        <v>86475</v>
      </c>
      <c r="E1970" s="51">
        <v>2977.05</v>
      </c>
      <c r="F1970" s="48"/>
      <c r="G1970" s="51"/>
      <c r="H1970" s="52"/>
      <c r="I1970" s="53">
        <v>45812</v>
      </c>
    </row>
    <row r="1971" spans="1:9">
      <c r="A1971" s="47">
        <v>50554</v>
      </c>
      <c r="B1971" s="48" t="str">
        <f>IFERROR(VLOOKUP(A1971,CLIENTES!A:E,2,0),"CADASTRAR CLIENTE")</f>
        <v>SAO ROQUE MEDICINA DIAGNOSTICA</v>
      </c>
      <c r="C1971" s="54" t="s">
        <v>3</v>
      </c>
      <c r="D1971" s="54" t="s">
        <v>603</v>
      </c>
      <c r="E1971" s="51">
        <v>5019.37</v>
      </c>
      <c r="F1971" s="48"/>
      <c r="G1971" s="51"/>
      <c r="H1971" s="52"/>
      <c r="I1971" s="53">
        <v>45812</v>
      </c>
    </row>
    <row r="1972" spans="1:9">
      <c r="A1972" s="47">
        <v>475</v>
      </c>
      <c r="B1972" s="48" t="str">
        <f>IFERROR(VLOOKUP(A1972,CLIENTES!A:E,2,0),"CADASTRAR CLIENTE")</f>
        <v>LABORATORIO DE ANALISES CLINICAS SRC LTDA</v>
      </c>
      <c r="C1972" s="54" t="s">
        <v>3</v>
      </c>
      <c r="D1972" s="54">
        <v>86480</v>
      </c>
      <c r="E1972" s="51">
        <v>4102.3500000000004</v>
      </c>
      <c r="F1972" s="48"/>
      <c r="G1972" s="51"/>
      <c r="H1972" s="52"/>
      <c r="I1972" s="53">
        <v>45812</v>
      </c>
    </row>
    <row r="1973" spans="1:9">
      <c r="A1973" s="47">
        <v>1533</v>
      </c>
      <c r="B1973" s="48" t="str">
        <f>IFERROR(VLOOKUP(A1973,CLIENTES!A:E,2,0),"CADASTRAR CLIENTE")</f>
        <v>LABORATORIO BIOANALISE DIAGNOSTICO LTDA</v>
      </c>
      <c r="C1973" s="54" t="s">
        <v>3</v>
      </c>
      <c r="D1973" s="54">
        <v>86492</v>
      </c>
      <c r="E1973" s="51">
        <v>278.7</v>
      </c>
      <c r="F1973" s="48"/>
      <c r="G1973" s="51"/>
      <c r="H1973" s="52"/>
      <c r="I1973" s="53">
        <v>45812</v>
      </c>
    </row>
    <row r="1974" spans="1:9">
      <c r="A1974" s="47">
        <v>197</v>
      </c>
      <c r="B1974" s="48" t="str">
        <f>IFERROR(VLOOKUP(A1974,CLIENTES!A:E,2,0),"CADASTRAR CLIENTE")</f>
        <v>LAB.ANAL.CLIN.DE ITAPETININGA</v>
      </c>
      <c r="C1974" s="54" t="s">
        <v>3</v>
      </c>
      <c r="D1974" s="54">
        <v>86493</v>
      </c>
      <c r="E1974" s="51">
        <v>808.2</v>
      </c>
      <c r="F1974" s="48"/>
      <c r="G1974" s="51"/>
      <c r="H1974" s="52"/>
      <c r="I1974" s="53">
        <v>45812</v>
      </c>
    </row>
    <row r="1975" spans="1:9">
      <c r="A1975" s="47">
        <v>761</v>
      </c>
      <c r="B1975" s="48" t="str">
        <f>IFERROR(VLOOKUP(A1975,CLIENTES!A:E,2,0),"CADASTRAR CLIENTE")</f>
        <v>EXAME CENTRO DIAG.M.ARACATUBA SC LTDA.</v>
      </c>
      <c r="C1975" s="54" t="s">
        <v>3</v>
      </c>
      <c r="D1975" s="54" t="s">
        <v>604</v>
      </c>
      <c r="E1975" s="51">
        <v>1563.83</v>
      </c>
      <c r="F1975" s="48"/>
      <c r="G1975" s="51"/>
      <c r="H1975" s="52"/>
      <c r="I1975" s="53">
        <v>45812</v>
      </c>
    </row>
    <row r="1976" spans="1:9">
      <c r="A1976" s="47">
        <v>2022</v>
      </c>
      <c r="B1976" s="48" t="str">
        <f>IFERROR(VLOOKUP(A1976,CLIENTES!A:E,2,0),"CADASTRAR CLIENTE")</f>
        <v>LAB. MEDICO DR. MARICONDI S/C LTDA.</v>
      </c>
      <c r="C1976" s="54" t="s">
        <v>3</v>
      </c>
      <c r="D1976" s="54">
        <v>86280</v>
      </c>
      <c r="E1976" s="51">
        <v>332.72</v>
      </c>
      <c r="F1976" s="48"/>
      <c r="G1976" s="51"/>
      <c r="H1976" s="52"/>
      <c r="I1976" s="53">
        <v>45812</v>
      </c>
    </row>
    <row r="1977" spans="1:9">
      <c r="A1977" s="47">
        <v>50219</v>
      </c>
      <c r="B1977" s="48" t="str">
        <f>IFERROR(VLOOKUP(A1977,CLIENTES!A:E,2,0),"CADASTRAR CLIENTE")</f>
        <v>UNIPREV LAB DE ANALISES LOCACAO DE BENS E REPAROS LTDA EPP</v>
      </c>
      <c r="C1977" s="54" t="s">
        <v>3</v>
      </c>
      <c r="D1977" s="54">
        <v>86530</v>
      </c>
      <c r="E1977" s="51">
        <v>1548.5</v>
      </c>
      <c r="F1977" s="48"/>
      <c r="G1977" s="51"/>
      <c r="H1977" s="52"/>
      <c r="I1977" s="53">
        <v>45812</v>
      </c>
    </row>
    <row r="1978" spans="1:9">
      <c r="A1978" s="47">
        <v>500434</v>
      </c>
      <c r="B1978" s="48" t="str">
        <f>IFERROR(VLOOKUP(A1978,CLIENTES!A:E,2,0),"CADASTRAR CLIENTE")</f>
        <v>MS10 COMERCIAL DE VIDRARIAS PARA LABORATORIOS LTDA</v>
      </c>
      <c r="C1978" s="54" t="s">
        <v>3</v>
      </c>
      <c r="D1978" s="54">
        <v>86538</v>
      </c>
      <c r="E1978" s="51">
        <v>347.88</v>
      </c>
      <c r="F1978" s="48"/>
      <c r="G1978" s="51"/>
      <c r="H1978" s="52"/>
      <c r="I1978" s="53">
        <v>45813</v>
      </c>
    </row>
    <row r="1979" spans="1:9">
      <c r="A1979" s="47">
        <v>761</v>
      </c>
      <c r="B1979" s="48" t="str">
        <f>IFERROR(VLOOKUP(A1979,CLIENTES!A:E,2,0),"CADASTRAR CLIENTE")</f>
        <v>EXAME CENTRO DIAG.M.ARACATUBA SC LTDA.</v>
      </c>
      <c r="C1979" s="54" t="s">
        <v>3</v>
      </c>
      <c r="D1979" s="54">
        <v>85379</v>
      </c>
      <c r="E1979" s="51">
        <v>1563.83</v>
      </c>
      <c r="F1979" s="48"/>
      <c r="G1979" s="51"/>
      <c r="H1979" s="52"/>
      <c r="I1979" s="53">
        <v>45813</v>
      </c>
    </row>
    <row r="1980" spans="1:9">
      <c r="A1980" s="47">
        <v>432</v>
      </c>
      <c r="B1980" s="48" t="str">
        <f>IFERROR(VLOOKUP(A1980,CLIENTES!A:E,2,0),"CADASTRAR CLIENTE")</f>
        <v>LABORATORIO PASTEUR HEMATOLOGIA E MICROBIOLOGIA S/S LTDA</v>
      </c>
      <c r="C1980" s="54" t="s">
        <v>3</v>
      </c>
      <c r="D1980" s="54" t="s">
        <v>605</v>
      </c>
      <c r="E1980" s="51">
        <v>649.79999999999995</v>
      </c>
      <c r="F1980" s="48"/>
      <c r="G1980" s="51"/>
      <c r="H1980" s="52"/>
      <c r="I1980" s="53">
        <v>45813</v>
      </c>
    </row>
    <row r="1981" spans="1:9">
      <c r="A1981" s="47">
        <v>1726</v>
      </c>
      <c r="B1981" s="48" t="str">
        <f>IFERROR(VLOOKUP(A1981,CLIENTES!A:E,2,0),"CADASTRAR CLIENTE")</f>
        <v>IRMANDADE DA SANTA CASA DE MISERIC. DE MOGI MIRIM</v>
      </c>
      <c r="C1981" s="54" t="s">
        <v>2</v>
      </c>
      <c r="D1981" s="54">
        <v>86568</v>
      </c>
      <c r="E1981" s="51">
        <v>213</v>
      </c>
      <c r="F1981" s="48"/>
      <c r="G1981" s="51"/>
      <c r="H1981" s="52"/>
      <c r="I1981" s="53">
        <v>45813</v>
      </c>
    </row>
    <row r="1982" spans="1:9">
      <c r="A1982" s="47">
        <v>761</v>
      </c>
      <c r="B1982" s="48" t="str">
        <f>IFERROR(VLOOKUP(A1982,CLIENTES!A:E,2,0),"CADASTRAR CLIENTE")</f>
        <v>EXAME CENTRO DIAG.M.ARACATUBA SC LTDA.</v>
      </c>
      <c r="C1982" s="54" t="s">
        <v>3</v>
      </c>
      <c r="D1982" s="54">
        <v>85379</v>
      </c>
      <c r="E1982" s="51">
        <v>771.8</v>
      </c>
      <c r="F1982" s="48"/>
      <c r="G1982" s="51"/>
      <c r="H1982" s="52"/>
      <c r="I1982" s="53">
        <v>45813</v>
      </c>
    </row>
    <row r="1983" spans="1:9">
      <c r="A1983" s="47">
        <v>762</v>
      </c>
      <c r="B1983" s="48" t="str">
        <f>IFERROR(VLOOKUP(A1983,CLIENTES!A:E,2,0),"CADASTRAR CLIENTE")</f>
        <v>STA. CASA MISERICORDIA DE ARACATUBA</v>
      </c>
      <c r="C1983" s="54" t="s">
        <v>2</v>
      </c>
      <c r="D1983" s="54" t="s">
        <v>606</v>
      </c>
      <c r="E1983" s="51">
        <v>2202.4</v>
      </c>
      <c r="F1983" s="48"/>
      <c r="G1983" s="51"/>
      <c r="H1983" s="52"/>
      <c r="I1983" s="53">
        <v>45814</v>
      </c>
    </row>
    <row r="1984" spans="1:9">
      <c r="A1984" s="47">
        <v>2702</v>
      </c>
      <c r="B1984" s="48" t="str">
        <f>IFERROR(VLOOKUP(A1984,CLIENTES!A:E,2,0),"CADASTRAR CLIENTE")</f>
        <v>SANTA CASA DE MISER. DE TAQUARITUBA</v>
      </c>
      <c r="C1984" s="54" t="s">
        <v>3</v>
      </c>
      <c r="D1984" s="54">
        <v>86261</v>
      </c>
      <c r="E1984" s="51">
        <v>1622.4</v>
      </c>
      <c r="F1984" s="48"/>
      <c r="G1984" s="51"/>
      <c r="H1984" s="52"/>
      <c r="I1984" s="53">
        <v>45814</v>
      </c>
    </row>
    <row r="1985" spans="1:9">
      <c r="A1985" s="47">
        <v>50219</v>
      </c>
      <c r="B1985" s="48" t="str">
        <f>IFERROR(VLOOKUP(A1985,CLIENTES!A:E,2,0),"CADASTRAR CLIENTE")</f>
        <v>UNIPREV LAB DE ANALISES LOCACAO DE BENS E REPAROS LTDA EPP</v>
      </c>
      <c r="C1985" s="54" t="s">
        <v>3</v>
      </c>
      <c r="D1985" s="54">
        <v>86591</v>
      </c>
      <c r="E1985" s="51">
        <v>283.79000000000002</v>
      </c>
      <c r="F1985" s="48"/>
      <c r="G1985" s="51"/>
      <c r="H1985" s="52"/>
      <c r="I1985" s="53">
        <v>45814</v>
      </c>
    </row>
    <row r="1986" spans="1:9">
      <c r="A1986" s="47">
        <v>516</v>
      </c>
      <c r="B1986" s="48" t="str">
        <f>IFERROR(VLOOKUP(A1986,CLIENTES!A:E,2,0),"CADASTRAR CLIENTE")</f>
        <v>TECNOLAB PATOLOGIA CLINICA S/C LTDA</v>
      </c>
      <c r="C1986" s="54" t="s">
        <v>3</v>
      </c>
      <c r="D1986" s="54">
        <v>766505</v>
      </c>
      <c r="E1986" s="51">
        <v>246.15</v>
      </c>
      <c r="F1986" s="48"/>
      <c r="G1986" s="51"/>
      <c r="H1986" s="52"/>
      <c r="I1986" s="53">
        <v>45814</v>
      </c>
    </row>
    <row r="1987" spans="1:9">
      <c r="A1987" s="47">
        <v>1026</v>
      </c>
      <c r="B1987" s="48" t="str">
        <f>IFERROR(VLOOKUP(A1987,CLIENTES!A:E,2,0),"CADASTRAR CLIENTE")</f>
        <v>LABSC SERVICOS LABORATORIAIS LTDA</v>
      </c>
      <c r="C1987" s="54" t="s">
        <v>3</v>
      </c>
      <c r="D1987" s="54">
        <v>86621</v>
      </c>
      <c r="E1987" s="51">
        <v>1167</v>
      </c>
      <c r="F1987" s="48"/>
      <c r="G1987" s="51"/>
      <c r="H1987" s="52"/>
      <c r="I1987" s="53">
        <v>45814</v>
      </c>
    </row>
    <row r="1988" spans="1:9">
      <c r="A1988" s="47">
        <v>50558</v>
      </c>
      <c r="B1988" s="48" t="str">
        <f>IFERROR(VLOOKUP(A1988,CLIENTES!A:E,2,0),"CADASTRAR CLIENTE")</f>
        <v>FUNDACAO PAULISTA DE TECNOLOGIA E EDUCACAO</v>
      </c>
      <c r="C1988" s="54" t="s">
        <v>2</v>
      </c>
      <c r="D1988" s="54">
        <v>76620</v>
      </c>
      <c r="E1988" s="51">
        <v>3674.4</v>
      </c>
      <c r="F1988" s="48"/>
      <c r="G1988" s="51"/>
      <c r="H1988" s="52"/>
      <c r="I1988" s="53">
        <v>45817</v>
      </c>
    </row>
    <row r="1989" spans="1:9">
      <c r="A1989" s="47">
        <v>690</v>
      </c>
      <c r="B1989" s="48" t="str">
        <f>IFERROR(VLOOKUP(A1989,CLIENTES!A:E,2,0),"CADASTRAR CLIENTE")</f>
        <v>SAO ROQUE MEDICINA DIAGNOSTICA LTDA EPP</v>
      </c>
      <c r="C1989" s="54" t="s">
        <v>3</v>
      </c>
      <c r="D1989" s="68" t="s">
        <v>607</v>
      </c>
      <c r="E1989" s="51">
        <v>1462.65</v>
      </c>
      <c r="F1989" s="48"/>
      <c r="G1989" s="51"/>
      <c r="H1989" s="52"/>
      <c r="I1989" s="53">
        <v>45817</v>
      </c>
    </row>
    <row r="1990" spans="1:9">
      <c r="A1990" s="47">
        <v>618</v>
      </c>
      <c r="B1990" s="48" t="str">
        <f>IFERROR(VLOOKUP(A1990,CLIENTES!A:E,2,0),"CADASTRAR CLIENTE")</f>
        <v>LAB. ANAL. CLIN. POMPEIA</v>
      </c>
      <c r="C1990" s="54" t="s">
        <v>3</v>
      </c>
      <c r="D1990" s="54">
        <v>86658</v>
      </c>
      <c r="E1990" s="51">
        <v>4229.1499999999996</v>
      </c>
      <c r="F1990" s="48"/>
      <c r="G1990" s="51"/>
      <c r="H1990" s="52"/>
      <c r="I1990" s="53">
        <v>45817</v>
      </c>
    </row>
    <row r="1991" spans="1:9">
      <c r="A1991" s="47">
        <v>2415</v>
      </c>
      <c r="B1991" s="48" t="str">
        <f>IFERROR(VLOOKUP(A1991,CLIENTES!A:E,2,0),"CADASTRAR CLIENTE")</f>
        <v>ROSSETTO E BARROS LABORATORIO DE ANALISES CLINICAS LTDA</v>
      </c>
      <c r="C1991" s="54" t="s">
        <v>3</v>
      </c>
      <c r="D1991" s="54">
        <v>86619</v>
      </c>
      <c r="E1991" s="51">
        <v>3325.78</v>
      </c>
      <c r="F1991" s="48"/>
      <c r="G1991" s="51"/>
      <c r="H1991" s="52"/>
      <c r="I1991" s="53">
        <v>45817</v>
      </c>
    </row>
    <row r="1992" spans="1:9">
      <c r="A1992" s="47">
        <v>3475</v>
      </c>
      <c r="B1992" s="48" t="str">
        <f>IFERROR(VLOOKUP(A1992,CLIENTES!A:E,2,0),"CADASTRAR CLIENTE")</f>
        <v>LQF LABORATORIO QUIMICO FARMACEUTICO RIO PRETO EIRELI - ME</v>
      </c>
      <c r="C1992" s="54" t="s">
        <v>3</v>
      </c>
      <c r="D1992" s="54">
        <v>86445</v>
      </c>
      <c r="E1992" s="51">
        <v>213.7</v>
      </c>
      <c r="F1992" s="48"/>
      <c r="G1992" s="51"/>
      <c r="H1992" s="52"/>
      <c r="I1992" s="53">
        <v>45817</v>
      </c>
    </row>
    <row r="1993" spans="1:9">
      <c r="A1993" s="47">
        <v>761</v>
      </c>
      <c r="B1993" s="48" t="str">
        <f>IFERROR(VLOOKUP(A1993,CLIENTES!A:E,2,0),"CADASTRAR CLIENTE")</f>
        <v>EXAME CENTRO DIAG.M.ARACATUBA SC LTDA.</v>
      </c>
      <c r="C1993" s="54" t="s">
        <v>3</v>
      </c>
      <c r="D1993" s="54" t="s">
        <v>608</v>
      </c>
      <c r="E1993" s="51">
        <v>415.2</v>
      </c>
      <c r="F1993" s="48"/>
      <c r="G1993" s="51"/>
      <c r="H1993" s="52"/>
      <c r="I1993" s="53">
        <v>45818</v>
      </c>
    </row>
    <row r="1994" spans="1:9">
      <c r="A1994" s="47">
        <v>746</v>
      </c>
      <c r="B1994" s="48" t="str">
        <f>IFERROR(VLOOKUP(A1994,CLIENTES!A:E,2,0),"CADASTRAR CLIENTE")</f>
        <v>LAB.ANAL.CLIN.BIOCLIN SC LTDA.</v>
      </c>
      <c r="C1994" s="54" t="s">
        <v>3</v>
      </c>
      <c r="D1994" s="54">
        <v>86706</v>
      </c>
      <c r="E1994" s="51">
        <v>39.799999999999997</v>
      </c>
      <c r="F1994" s="48"/>
      <c r="G1994" s="51"/>
      <c r="H1994" s="52"/>
      <c r="I1994" s="53">
        <v>45818</v>
      </c>
    </row>
    <row r="1995" spans="1:9">
      <c r="A1995" s="47">
        <v>874</v>
      </c>
      <c r="B1995" s="48" t="str">
        <f>IFERROR(VLOOKUP(A1995,CLIENTES!A:E,2,0),"CADASTRAR CLIENTE")</f>
        <v>LAB.ANAL.CLIN ABI JAUDI SC LTDA.</v>
      </c>
      <c r="C1995" s="54" t="s">
        <v>3</v>
      </c>
      <c r="D1995" s="54" t="s">
        <v>609</v>
      </c>
      <c r="E1995" s="51">
        <v>3596.4</v>
      </c>
      <c r="F1995" s="48"/>
      <c r="G1995" s="51"/>
      <c r="H1995" s="52"/>
      <c r="I1995" s="53">
        <v>45818</v>
      </c>
    </row>
    <row r="1996" spans="1:9">
      <c r="A1996" s="47">
        <v>1122</v>
      </c>
      <c r="B1996" s="48" t="str">
        <f>IFERROR(VLOOKUP(A1996,CLIENTES!A:E,2,0),"CADASTRAR CLIENTE")</f>
        <v>FUNDEPAG</v>
      </c>
      <c r="C1996" s="54" t="s">
        <v>2</v>
      </c>
      <c r="D1996" s="54">
        <v>86717</v>
      </c>
      <c r="E1996" s="51">
        <v>2180</v>
      </c>
      <c r="F1996" s="48"/>
      <c r="G1996" s="51"/>
      <c r="H1996" s="52"/>
      <c r="I1996" s="53">
        <v>45818</v>
      </c>
    </row>
    <row r="1997" spans="1:9">
      <c r="A1997" s="47">
        <v>475</v>
      </c>
      <c r="B1997" s="48" t="str">
        <f>IFERROR(VLOOKUP(A1997,CLIENTES!A:E,2,0),"CADASTRAR CLIENTE")</f>
        <v>LABORATORIO DE ANALISES CLINICAS SRC LTDA</v>
      </c>
      <c r="C1997" s="54" t="s">
        <v>3</v>
      </c>
      <c r="D1997" s="54" t="s">
        <v>610</v>
      </c>
      <c r="E1997" s="51">
        <v>11035.82</v>
      </c>
      <c r="F1997" s="48"/>
      <c r="G1997" s="51"/>
      <c r="H1997" s="52"/>
      <c r="I1997" s="53">
        <v>45818</v>
      </c>
    </row>
    <row r="1998" spans="1:9">
      <c r="A1998" s="47">
        <v>50554</v>
      </c>
      <c r="B1998" s="48" t="str">
        <f>IFERROR(VLOOKUP(A1998,CLIENTES!A:E,2,0),"CADASTRAR CLIENTE")</f>
        <v>SAO ROQUE MEDICINA DIAGNOSTICA</v>
      </c>
      <c r="C1998" s="54" t="s">
        <v>3</v>
      </c>
      <c r="D1998" s="54">
        <v>86730</v>
      </c>
      <c r="E1998" s="51">
        <v>78.7</v>
      </c>
      <c r="F1998" s="48"/>
      <c r="G1998" s="51"/>
      <c r="H1998" s="52"/>
      <c r="I1998" s="53">
        <v>45818</v>
      </c>
    </row>
    <row r="1999" spans="1:9">
      <c r="A1999" s="47">
        <v>1788</v>
      </c>
      <c r="B1999" s="48" t="str">
        <f>IFERROR(VLOOKUP(A1999,CLIENTES!A:E,2,0),"CADASTRAR CLIENTE")</f>
        <v>ZANATA &amp; REIS LABORCLINICA LTDA</v>
      </c>
      <c r="C1999" s="54" t="s">
        <v>3</v>
      </c>
      <c r="D1999" s="54">
        <v>86738</v>
      </c>
      <c r="E1999" s="51">
        <v>162.5</v>
      </c>
      <c r="F1999" s="48"/>
      <c r="G1999" s="51"/>
      <c r="H1999" s="52"/>
      <c r="I1999" s="53">
        <v>45818</v>
      </c>
    </row>
    <row r="2000" spans="1:9">
      <c r="A2000" s="47">
        <v>762</v>
      </c>
      <c r="B2000" s="48" t="str">
        <f>IFERROR(VLOOKUP(A2000,CLIENTES!A:E,2,0),"CADASTRAR CLIENTE")</f>
        <v>STA. CASA MISERICORDIA DE ARACATUBA</v>
      </c>
      <c r="C2000" s="54" t="s">
        <v>3</v>
      </c>
      <c r="D2000" s="54">
        <v>86744</v>
      </c>
      <c r="E2000" s="51">
        <v>5832.6</v>
      </c>
      <c r="F2000" s="48"/>
      <c r="G2000" s="51"/>
      <c r="H2000" s="52"/>
      <c r="I2000" s="53">
        <v>45818</v>
      </c>
    </row>
    <row r="2001" spans="1:9">
      <c r="A2001" s="47">
        <v>197</v>
      </c>
      <c r="B2001" s="48" t="str">
        <f>IFERROR(VLOOKUP(A2001,CLIENTES!A:E,2,0),"CADASTRAR CLIENTE")</f>
        <v>LAB.ANAL.CLIN.DE ITAPETININGA</v>
      </c>
      <c r="C2001" s="54" t="s">
        <v>3</v>
      </c>
      <c r="D2001" s="54">
        <v>86493</v>
      </c>
      <c r="E2001" s="51">
        <v>1635.4</v>
      </c>
      <c r="F2001" s="48"/>
      <c r="G2001" s="51"/>
      <c r="H2001" s="52"/>
      <c r="I2001" s="53">
        <v>45819</v>
      </c>
    </row>
    <row r="2002" spans="1:9">
      <c r="A2002" s="47">
        <v>3475</v>
      </c>
      <c r="B2002" s="48" t="str">
        <f>IFERROR(VLOOKUP(A2002,CLIENTES!A:E,2,0),"CADASTRAR CLIENTE")</f>
        <v>LQF LABORATORIO QUIMICO FARMACEUTICO RIO PRETO EIRELI - ME</v>
      </c>
      <c r="C2002" s="54" t="s">
        <v>3</v>
      </c>
      <c r="D2002" s="54" t="s">
        <v>611</v>
      </c>
      <c r="E2002" s="51">
        <v>538.20000000000005</v>
      </c>
      <c r="F2002" s="48"/>
      <c r="G2002" s="51"/>
      <c r="H2002" s="52"/>
      <c r="I2002" s="53">
        <v>45819</v>
      </c>
    </row>
    <row r="2003" spans="1:9">
      <c r="A2003" s="47">
        <v>50310</v>
      </c>
      <c r="B2003" s="48" t="str">
        <f>IFERROR(VLOOKUP(A2003,CLIENTES!A:E,2,0),"CADASTRAR CLIENTE")</f>
        <v>ANSELMO EDUARDO BIANCO</v>
      </c>
      <c r="C2003" s="54" t="s">
        <v>3</v>
      </c>
      <c r="D2003" s="54">
        <v>101148</v>
      </c>
      <c r="E2003" s="51">
        <v>356.2</v>
      </c>
      <c r="F2003" s="48"/>
      <c r="G2003" s="51"/>
      <c r="H2003" s="52"/>
      <c r="I2003" s="53">
        <v>45819</v>
      </c>
    </row>
    <row r="2004" spans="1:9">
      <c r="A2004" s="47">
        <v>463</v>
      </c>
      <c r="B2004" s="48" t="str">
        <f>IFERROR(VLOOKUP(A2004,CLIENTES!A:E,2,0),"CADASTRAR CLIENTE")</f>
        <v>MASUDA &amp; MASUDA LABORATORIO CLINICO LTDA</v>
      </c>
      <c r="C2004" s="54" t="s">
        <v>3</v>
      </c>
      <c r="D2004" s="54">
        <v>86451</v>
      </c>
      <c r="E2004" s="51">
        <v>1256</v>
      </c>
      <c r="F2004" s="48"/>
      <c r="G2004" s="51"/>
      <c r="H2004" s="52"/>
      <c r="I2004" s="53">
        <v>45819</v>
      </c>
    </row>
    <row r="2005" spans="1:9">
      <c r="A2005" s="47">
        <v>1493</v>
      </c>
      <c r="B2005" s="48" t="str">
        <f>IFERROR(VLOOKUP(A2005,CLIENTES!A:E,2,0),"CADASTRAR CLIENTE")</f>
        <v>CEDIMA  CENTRO DE DIAG MONTE AZUL ANAL CLIN E CIT</v>
      </c>
      <c r="C2005" s="54" t="s">
        <v>3</v>
      </c>
      <c r="D2005" s="54">
        <v>86773</v>
      </c>
      <c r="E2005" s="51">
        <v>1763.72</v>
      </c>
      <c r="F2005" s="48"/>
      <c r="G2005" s="51"/>
      <c r="H2005" s="52"/>
      <c r="I2005" s="53">
        <v>45819</v>
      </c>
    </row>
    <row r="2006" spans="1:9">
      <c r="A2006" s="47">
        <v>761</v>
      </c>
      <c r="B2006" s="48" t="str">
        <f>IFERROR(VLOOKUP(A2006,CLIENTES!A:E,2,0),"CADASTRAR CLIENTE")</f>
        <v>EXAME CENTRO DIAG.M.ARACATUBA SC LTDA.</v>
      </c>
      <c r="C2006" s="54" t="s">
        <v>3</v>
      </c>
      <c r="D2006" s="54">
        <v>86774</v>
      </c>
      <c r="E2006" s="51">
        <v>444</v>
      </c>
      <c r="F2006" s="48"/>
      <c r="G2006" s="51"/>
      <c r="H2006" s="52"/>
      <c r="I2006" s="53">
        <v>45819</v>
      </c>
    </row>
    <row r="2007" spans="1:9">
      <c r="A2007" s="47">
        <v>50219</v>
      </c>
      <c r="B2007" s="48" t="str">
        <f>IFERROR(VLOOKUP(A2007,CLIENTES!A:E,2,0),"CADASTRAR CLIENTE")</f>
        <v>UNIPREV LAB DE ANALISES LOCACAO DE BENS E REPAROS LTDA EPP</v>
      </c>
      <c r="C2007" s="54" t="s">
        <v>3</v>
      </c>
      <c r="D2007" s="54">
        <v>86776</v>
      </c>
      <c r="E2007" s="51">
        <v>488.4</v>
      </c>
      <c r="F2007" s="48"/>
      <c r="G2007" s="51"/>
      <c r="H2007" s="52"/>
      <c r="I2007" s="53">
        <v>45819</v>
      </c>
    </row>
    <row r="2008" spans="1:9">
      <c r="A2008" s="47">
        <v>823</v>
      </c>
      <c r="B2008" s="48" t="str">
        <f>IFERROR(VLOOKUP(A2008,CLIENTES!A:E,2,0),"CADASTRAR CLIENTE")</f>
        <v>SANCHES x SANCHES S/C LTDA</v>
      </c>
      <c r="C2008" s="54" t="s">
        <v>3</v>
      </c>
      <c r="D2008" s="54" t="s">
        <v>612</v>
      </c>
      <c r="E2008" s="51">
        <v>9010.9</v>
      </c>
      <c r="F2008" s="48"/>
      <c r="G2008" s="51"/>
      <c r="H2008" s="52"/>
      <c r="I2008" s="53">
        <v>45820</v>
      </c>
    </row>
    <row r="2009" spans="1:9">
      <c r="A2009" s="47">
        <v>500149</v>
      </c>
      <c r="B2009" s="48" t="str">
        <f>IFERROR(VLOOKUP(A2009,CLIENTES!A:E,2,0),"CADASTRAR CLIENTE")</f>
        <v>SAO ROQUE MEDICINA DIAGNOSTICA LTDA</v>
      </c>
      <c r="C2009" s="54" t="s">
        <v>3</v>
      </c>
      <c r="D2009" s="54" t="s">
        <v>614</v>
      </c>
      <c r="E2009" s="51">
        <v>2993.6</v>
      </c>
      <c r="F2009" s="48"/>
      <c r="G2009" s="51"/>
      <c r="H2009" s="52"/>
      <c r="I2009" s="53">
        <v>45820</v>
      </c>
    </row>
    <row r="2010" spans="1:9">
      <c r="A2010" s="47">
        <v>412</v>
      </c>
      <c r="B2010" s="48" t="str">
        <f>IFERROR(VLOOKUP(A2010,CLIENTES!A:E,2,0),"CADASTRAR CLIENTE")</f>
        <v>LAB.ANAL.CLIN.SAO MANUEL SC LTDA.</v>
      </c>
      <c r="C2010" s="54" t="s">
        <v>3</v>
      </c>
      <c r="D2010" s="54" t="s">
        <v>615</v>
      </c>
      <c r="E2010" s="51">
        <v>1065.5999999999999</v>
      </c>
      <c r="F2010" s="48"/>
      <c r="G2010" s="51"/>
      <c r="H2010" s="52"/>
      <c r="I2010" s="53">
        <v>45820</v>
      </c>
    </row>
    <row r="2011" spans="1:9">
      <c r="A2011" s="47">
        <v>171</v>
      </c>
      <c r="B2011" s="48" t="str">
        <f>IFERROR(VLOOKUP(A2011,CLIENTES!A:E,2,0),"CADASTRAR CLIENTE")</f>
        <v>HOSPITAL BENEFICENTE SAO JOSE</v>
      </c>
      <c r="C2011" s="54" t="s">
        <v>3</v>
      </c>
      <c r="D2011" s="54">
        <v>86780</v>
      </c>
      <c r="E2011" s="51">
        <v>1444.2</v>
      </c>
      <c r="F2011" s="48"/>
      <c r="G2011" s="51"/>
      <c r="H2011" s="52"/>
      <c r="I2011" s="53">
        <v>45820</v>
      </c>
    </row>
    <row r="2012" spans="1:9">
      <c r="A2012" s="47">
        <v>50418</v>
      </c>
      <c r="B2012" s="48" t="str">
        <f>IFERROR(VLOOKUP(A2012,CLIENTES!A:E,2,0),"CADASTRAR CLIENTE")</f>
        <v>LABORATORIO SAO LUCAS DE BROTAS SS LTDA</v>
      </c>
      <c r="C2012" s="54" t="s">
        <v>3</v>
      </c>
      <c r="D2012" s="54">
        <v>86834</v>
      </c>
      <c r="E2012" s="51">
        <v>5772.6</v>
      </c>
      <c r="F2012" s="48"/>
      <c r="G2012" s="51"/>
      <c r="H2012" s="52"/>
      <c r="I2012" s="53">
        <v>45820</v>
      </c>
    </row>
    <row r="2013" spans="1:9">
      <c r="A2013" s="47">
        <v>822</v>
      </c>
      <c r="B2013" s="48" t="str">
        <f>IFERROR(VLOOKUP(A2013,CLIENTES!A:E,2,0),"CADASTRAR CLIENTE")</f>
        <v>SAO LUCAS LABORATORIO ANAL. CLIN. S/C LTDA</v>
      </c>
      <c r="C2013" s="54" t="s">
        <v>3</v>
      </c>
      <c r="D2013" s="54">
        <v>86837</v>
      </c>
      <c r="E2013" s="51">
        <v>1467.8</v>
      </c>
      <c r="F2013" s="48"/>
      <c r="G2013" s="51"/>
      <c r="H2013" s="52"/>
      <c r="I2013" s="53">
        <v>45820</v>
      </c>
    </row>
    <row r="2014" spans="1:9">
      <c r="A2014" s="47">
        <v>1905</v>
      </c>
      <c r="B2014" s="48" t="str">
        <f>IFERROR(VLOOKUP(A2014,CLIENTES!A:E,2,0),"CADASTRAR CLIENTE")</f>
        <v>A.C. CORREA DE OLIVEIRA LABORATORIO CLÍNICO</v>
      </c>
      <c r="C2014" s="54" t="s">
        <v>3</v>
      </c>
      <c r="D2014" s="54">
        <v>86675</v>
      </c>
      <c r="E2014" s="51">
        <v>585.54</v>
      </c>
      <c r="F2014" s="48"/>
      <c r="G2014" s="51"/>
      <c r="H2014" s="52"/>
      <c r="I2014" s="53">
        <v>45821</v>
      </c>
    </row>
    <row r="2015" spans="1:9">
      <c r="A2015" s="47">
        <v>731</v>
      </c>
      <c r="B2015" s="48" t="str">
        <f>IFERROR(VLOOKUP(A2015,CLIENTES!A:E,2,0),"CADASTRAR CLIENTE")</f>
        <v>UNILAB LABORATORIO ANALISES CLINICAS SANTA FE DO SUL LTDA</v>
      </c>
      <c r="C2015" s="54" t="s">
        <v>3</v>
      </c>
      <c r="D2015" s="54">
        <v>86859</v>
      </c>
      <c r="E2015" s="51">
        <v>778</v>
      </c>
      <c r="F2015" s="48"/>
      <c r="G2015" s="51"/>
      <c r="H2015" s="52"/>
      <c r="I2015" s="53">
        <v>45821</v>
      </c>
    </row>
    <row r="2016" spans="1:9">
      <c r="A2016" s="47">
        <v>687</v>
      </c>
      <c r="B2016" s="48" t="str">
        <f>IFERROR(VLOOKUP(A2016,CLIENTES!A:E,2,0),"CADASTRAR CLIENTE")</f>
        <v>LAB ANAL CLIN VENDRAMINI S/S LTDA</v>
      </c>
      <c r="C2016" s="54" t="s">
        <v>3</v>
      </c>
      <c r="D2016" s="54" t="s">
        <v>616</v>
      </c>
      <c r="E2016" s="51">
        <v>777.75</v>
      </c>
      <c r="F2016" s="48"/>
      <c r="G2016" s="51"/>
      <c r="H2016" s="52"/>
      <c r="I2016" s="53">
        <v>45821</v>
      </c>
    </row>
    <row r="2017" spans="1:9">
      <c r="A2017" s="47">
        <v>704</v>
      </c>
      <c r="B2017" s="48" t="str">
        <f>IFERROR(VLOOKUP(A2017,CLIENTES!A:E,2,0),"CADASTRAR CLIENTE")</f>
        <v>LAB. ONUMA E BASILIO S/C LTDA</v>
      </c>
      <c r="C2017" s="54" t="s">
        <v>328</v>
      </c>
      <c r="D2017" s="54" t="s">
        <v>617</v>
      </c>
      <c r="E2017" s="51">
        <v>987.23</v>
      </c>
      <c r="F2017" s="48"/>
      <c r="G2017" s="51"/>
      <c r="H2017" s="52"/>
      <c r="I2017" s="53">
        <v>45824</v>
      </c>
    </row>
    <row r="2018" spans="1:9">
      <c r="A2018" s="47">
        <v>1164</v>
      </c>
      <c r="B2018" s="48" t="str">
        <f>IFERROR(VLOOKUP(A2018,CLIENTES!A:E,2,0),"CADASTRAR CLIENTE")</f>
        <v>LAB. ANAL. CLIN. SAO LOURENCO S/C LTDA</v>
      </c>
      <c r="C2018" s="54" t="s">
        <v>3</v>
      </c>
      <c r="D2018" s="54" t="s">
        <v>618</v>
      </c>
      <c r="E2018" s="51">
        <v>1130.73</v>
      </c>
      <c r="F2018" s="48"/>
      <c r="G2018" s="51"/>
      <c r="H2018" s="52"/>
      <c r="I2018" s="53">
        <v>45824</v>
      </c>
    </row>
    <row r="2019" spans="1:9">
      <c r="A2019" s="47">
        <v>705</v>
      </c>
      <c r="B2019" s="48" t="str">
        <f>IFERROR(VLOOKUP(A2019,CLIENTES!A:E,2,0),"CADASTRAR CLIENTE")</f>
        <v>JOAO JOSE SCHIAVUZZO ME</v>
      </c>
      <c r="C2019" s="54" t="s">
        <v>3</v>
      </c>
      <c r="D2019" s="54" t="s">
        <v>619</v>
      </c>
      <c r="E2019" s="51">
        <v>1100.72</v>
      </c>
      <c r="F2019" s="48"/>
      <c r="G2019" s="51"/>
      <c r="H2019" s="52"/>
      <c r="I2019" s="53">
        <v>45824</v>
      </c>
    </row>
    <row r="2020" spans="1:9">
      <c r="A2020" s="47">
        <v>1652</v>
      </c>
      <c r="B2020" s="48" t="str">
        <f>IFERROR(VLOOKUP(A2020,CLIENTES!A:E,2,0),"CADASTRAR CLIENTE")</f>
        <v>LAB. SANTA CLARA ANAL.CLIN.</v>
      </c>
      <c r="C2020" s="54" t="s">
        <v>328</v>
      </c>
      <c r="D2020" s="54" t="s">
        <v>620</v>
      </c>
      <c r="E2020" s="51">
        <v>1061.69</v>
      </c>
      <c r="F2020" s="48"/>
      <c r="G2020" s="51"/>
      <c r="H2020" s="52"/>
      <c r="I2020" s="53">
        <v>45825</v>
      </c>
    </row>
    <row r="2021" spans="1:9">
      <c r="A2021" s="47">
        <v>480</v>
      </c>
      <c r="B2021" s="48" t="str">
        <f>IFERROR(VLOOKUP(A2021,CLIENTES!A:E,2,0),"CADASTRAR CLIENTE")</f>
        <v>LAB SAO LUCAS</v>
      </c>
      <c r="C2021" s="54" t="s">
        <v>3</v>
      </c>
      <c r="D2021" s="54">
        <v>86923</v>
      </c>
      <c r="E2021" s="51">
        <v>3685.15</v>
      </c>
      <c r="F2021" s="48"/>
      <c r="G2021" s="51"/>
      <c r="H2021" s="52"/>
      <c r="I2021" s="53">
        <v>45825</v>
      </c>
    </row>
    <row r="2022" spans="1:9">
      <c r="A2022" s="47">
        <v>761</v>
      </c>
      <c r="B2022" s="48" t="str">
        <f>IFERROR(VLOOKUP(A2022,CLIENTES!A:E,2,0),"CADASTRAR CLIENTE")</f>
        <v>EXAME CENTRO DIAG.M.ARACATUBA SC LTDA.</v>
      </c>
      <c r="C2022" s="54" t="s">
        <v>3</v>
      </c>
      <c r="D2022" s="54">
        <v>86926</v>
      </c>
      <c r="E2022" s="51">
        <v>1971.27</v>
      </c>
      <c r="F2022" s="48"/>
      <c r="G2022" s="51"/>
      <c r="H2022" s="52"/>
      <c r="I2022" s="53">
        <v>45825</v>
      </c>
    </row>
    <row r="2023" spans="1:9">
      <c r="A2023" s="47">
        <v>2980</v>
      </c>
      <c r="B2023" s="48" t="str">
        <f>IFERROR(VLOOKUP(A2023,CLIENTES!A:E,2,0),"CADASTRAR CLIENTE")</f>
        <v>ALMEIDA &amp; FLAITT LABORATORIOS DE ANALISES CLINICAS LTDA</v>
      </c>
      <c r="C2023" s="54" t="s">
        <v>3</v>
      </c>
      <c r="D2023" s="54" t="s">
        <v>621</v>
      </c>
      <c r="E2023" s="51">
        <v>961.23</v>
      </c>
      <c r="F2023" s="48"/>
      <c r="G2023" s="51"/>
      <c r="H2023" s="52"/>
      <c r="I2023" s="53">
        <v>45826</v>
      </c>
    </row>
    <row r="2024" spans="1:9">
      <c r="A2024" s="47">
        <v>1533</v>
      </c>
      <c r="B2024" s="48" t="str">
        <f>IFERROR(VLOOKUP(A2024,CLIENTES!A:E,2,0),"CADASTRAR CLIENTE")</f>
        <v>LABORATORIO BIOANALISE DIAGNOSTICO LTDA</v>
      </c>
      <c r="C2024" s="54" t="s">
        <v>3</v>
      </c>
      <c r="D2024" s="54" t="s">
        <v>622</v>
      </c>
      <c r="E2024" s="51">
        <v>1379.55</v>
      </c>
      <c r="F2024" s="48"/>
      <c r="G2024" s="51"/>
      <c r="H2024" s="52"/>
      <c r="I2024" s="53">
        <v>45826</v>
      </c>
    </row>
    <row r="2025" spans="1:9">
      <c r="A2025" s="47">
        <v>325</v>
      </c>
      <c r="B2025" s="48" t="str">
        <f>IFERROR(VLOOKUP(A2025,CLIENTES!A:E,2,0),"CADASTRAR CLIENTE")</f>
        <v>EXAME-LABORAT. DE ANAL. CLIN. CITODIAGNOSTICO S/S LTDA</v>
      </c>
      <c r="C2025" s="54" t="s">
        <v>3</v>
      </c>
      <c r="D2025" s="54" t="s">
        <v>623</v>
      </c>
      <c r="E2025" s="51">
        <v>4182.1499999999996</v>
      </c>
      <c r="F2025" s="48"/>
      <c r="G2025" s="51"/>
      <c r="H2025" s="52"/>
      <c r="I2025" s="53">
        <v>45826</v>
      </c>
    </row>
    <row r="2026" spans="1:9">
      <c r="A2026" s="47">
        <v>906</v>
      </c>
      <c r="B2026" s="48" t="str">
        <f>IFERROR(VLOOKUP(A2026,CLIENTES!A:E,2,0),"CADASTRAR CLIENTE")</f>
        <v>LABORATORIO ANAL. CLIN. DESCALVADO LTDA</v>
      </c>
      <c r="C2026" s="54" t="s">
        <v>3</v>
      </c>
      <c r="D2026" s="54">
        <v>86976</v>
      </c>
      <c r="E2026" s="51">
        <v>1254</v>
      </c>
      <c r="F2026" s="48"/>
      <c r="G2026" s="51"/>
      <c r="H2026" s="52"/>
      <c r="I2026" s="53">
        <v>45826</v>
      </c>
    </row>
    <row r="2027" spans="1:9">
      <c r="A2027" s="47">
        <v>516</v>
      </c>
      <c r="B2027" s="48" t="str">
        <f>IFERROR(VLOOKUP(A2027,CLIENTES!A:E,2,0),"CADASTRAR CLIENTE")</f>
        <v>TECNOLAB PATOLOGIA CLINICA S/C LTDA</v>
      </c>
      <c r="C2027" s="54" t="s">
        <v>2</v>
      </c>
      <c r="D2027" s="54" t="s">
        <v>625</v>
      </c>
      <c r="E2027" s="51">
        <v>10883.92</v>
      </c>
      <c r="F2027" s="48"/>
      <c r="G2027" s="51"/>
      <c r="H2027" s="52"/>
      <c r="I2027" s="53">
        <v>45826</v>
      </c>
    </row>
    <row r="2028" spans="1:9">
      <c r="A2028" s="47">
        <v>50936</v>
      </c>
      <c r="B2028" s="48" t="str">
        <f>IFERROR(VLOOKUP(A2028,CLIENTES!A:E,2,0),"CADASTRAR CLIENTE")</f>
        <v>LABORATORIO DE ANALISES CLINICAS SAO JOSE LTDA</v>
      </c>
      <c r="C2028" s="54" t="s">
        <v>3</v>
      </c>
      <c r="D2028" s="54">
        <v>86991</v>
      </c>
      <c r="E2028" s="51">
        <v>877.2</v>
      </c>
      <c r="F2028" s="48"/>
      <c r="G2028" s="51"/>
      <c r="H2028" s="52"/>
      <c r="I2028" s="53">
        <v>45826</v>
      </c>
    </row>
    <row r="2029" spans="1:9">
      <c r="A2029" s="47">
        <v>705</v>
      </c>
      <c r="B2029" s="48" t="str">
        <f>IFERROR(VLOOKUP(A2029,CLIENTES!A:E,2,0),"CADASTRAR CLIENTE")</f>
        <v>JOAO JOSE SCHIAVUZZO ME</v>
      </c>
      <c r="C2029" s="54" t="s">
        <v>3</v>
      </c>
      <c r="D2029" s="54">
        <v>86996</v>
      </c>
      <c r="E2029" s="51">
        <v>119.8</v>
      </c>
      <c r="F2029" s="48"/>
      <c r="G2029" s="51"/>
      <c r="H2029" s="52"/>
      <c r="I2029" s="53">
        <v>45828</v>
      </c>
    </row>
    <row r="2030" spans="1:9">
      <c r="A2030" s="47">
        <v>311</v>
      </c>
      <c r="B2030" s="48" t="str">
        <f>IFERROR(VLOOKUP(A2030,CLIENTES!A:E,2,0),"CADASTRAR CLIENTE")</f>
        <v>CENTRO DE ANAL.CLIN. UNILAB  SC LTDA.</v>
      </c>
      <c r="C2030" s="54" t="s">
        <v>3</v>
      </c>
      <c r="D2030" s="54">
        <v>87006</v>
      </c>
      <c r="E2030" s="51">
        <v>1090</v>
      </c>
      <c r="F2030" s="48"/>
      <c r="G2030" s="51"/>
      <c r="H2030" s="52"/>
      <c r="I2030" s="53">
        <v>45828</v>
      </c>
    </row>
    <row r="2031" spans="1:9">
      <c r="A2031" s="47">
        <v>475</v>
      </c>
      <c r="B2031" s="48" t="str">
        <f>IFERROR(VLOOKUP(A2031,CLIENTES!A:E,2,0),"CADASTRAR CLIENTE")</f>
        <v>LABORATORIO DE ANALISES CLINICAS SRC LTDA</v>
      </c>
      <c r="C2031" s="54" t="s">
        <v>2</v>
      </c>
      <c r="D2031" s="54" t="s">
        <v>626</v>
      </c>
      <c r="E2031" s="51">
        <v>7398.24</v>
      </c>
      <c r="F2031" s="48"/>
      <c r="G2031" s="51"/>
      <c r="H2031" s="52"/>
      <c r="I2031" s="53">
        <v>45831</v>
      </c>
    </row>
    <row r="2032" spans="1:9">
      <c r="A2032" s="47">
        <v>572</v>
      </c>
      <c r="B2032" s="48" t="str">
        <f>IFERROR(VLOOKUP(A2032,CLIENTES!A:E,2,0),"CADASTRAR CLIENTE")</f>
        <v>LABORATORIO MULTIANALISES LTDA-ME</v>
      </c>
      <c r="C2032" s="54" t="s">
        <v>3</v>
      </c>
      <c r="D2032" s="54">
        <v>86935</v>
      </c>
      <c r="E2032" s="51">
        <v>684.99</v>
      </c>
      <c r="F2032" s="48"/>
      <c r="G2032" s="51"/>
      <c r="H2032" s="52"/>
      <c r="I2032" s="53">
        <v>45831</v>
      </c>
    </row>
    <row r="2033" spans="1:9">
      <c r="A2033" s="47">
        <v>50310</v>
      </c>
      <c r="B2033" s="48" t="str">
        <f>IFERROR(VLOOKUP(A2033,CLIENTES!A:E,2,0),"CADASTRAR CLIENTE")</f>
        <v>ANSELMO EDUARDO BIANCO</v>
      </c>
      <c r="C2033" s="54" t="s">
        <v>3</v>
      </c>
      <c r="D2033" s="54">
        <v>101148</v>
      </c>
      <c r="E2033" s="51">
        <v>356.2</v>
      </c>
      <c r="F2033" s="48"/>
      <c r="G2033" s="51"/>
      <c r="H2033" s="52"/>
      <c r="I2033" s="53">
        <v>45831</v>
      </c>
    </row>
    <row r="2034" spans="1:9">
      <c r="A2034" s="47">
        <v>708</v>
      </c>
      <c r="B2034" s="48" t="str">
        <f>IFERROR(VLOOKUP(A2034,CLIENTES!A:E,2,0),"CADASTRAR CLIENTE")</f>
        <v>IMEDI INST.MEDICO DE PAT.E DIAGNOSTICO SC LTDA.</v>
      </c>
      <c r="C2034" s="54" t="s">
        <v>3</v>
      </c>
      <c r="D2034" s="54">
        <v>86588</v>
      </c>
      <c r="E2034" s="51">
        <v>2274</v>
      </c>
      <c r="F2034" s="48"/>
      <c r="G2034" s="51"/>
      <c r="H2034" s="52"/>
      <c r="I2034" s="53">
        <v>45831</v>
      </c>
    </row>
    <row r="2035" spans="1:9">
      <c r="A2035" s="47">
        <v>1164</v>
      </c>
      <c r="B2035" s="48" t="str">
        <f>IFERROR(VLOOKUP(A2035,CLIENTES!A:E,2,0),"CADASTRAR CLIENTE")</f>
        <v>LAB. ANAL. CLIN. SAO LOURENCO S/C LTDA</v>
      </c>
      <c r="C2035" s="54" t="s">
        <v>3</v>
      </c>
      <c r="D2035" s="54" t="s">
        <v>627</v>
      </c>
      <c r="E2035" s="51">
        <v>621.04</v>
      </c>
      <c r="F2035" s="48"/>
      <c r="G2035" s="51"/>
      <c r="H2035" s="52"/>
      <c r="I2035" s="53">
        <v>45831</v>
      </c>
    </row>
    <row r="2036" spans="1:9">
      <c r="A2036" s="47">
        <v>50185</v>
      </c>
      <c r="B2036" s="48" t="str">
        <f>IFERROR(VLOOKUP(A2036,CLIENTES!A:E,2,0),"CADASTRAR CLIENTE")</f>
        <v>ANIMALAB SS LTDA</v>
      </c>
      <c r="C2036" s="54" t="s">
        <v>3</v>
      </c>
      <c r="D2036" s="54">
        <v>87046</v>
      </c>
      <c r="E2036" s="51">
        <v>671</v>
      </c>
      <c r="F2036" s="48"/>
      <c r="G2036" s="51"/>
      <c r="H2036" s="52"/>
      <c r="I2036" s="53">
        <v>45831</v>
      </c>
    </row>
    <row r="2037" spans="1:9">
      <c r="A2037" s="47">
        <v>1493</v>
      </c>
      <c r="B2037" s="48" t="str">
        <f>IFERROR(VLOOKUP(A2037,CLIENTES!A:E,2,0),"CADASTRAR CLIENTE")</f>
        <v>CEDIMA  CENTRO DE DIAG MONTE AZUL ANAL CLIN E CIT</v>
      </c>
      <c r="C2037" s="54" t="s">
        <v>3</v>
      </c>
      <c r="D2037" s="54">
        <v>86888</v>
      </c>
      <c r="E2037" s="51">
        <v>268</v>
      </c>
      <c r="F2037" s="48"/>
      <c r="G2037" s="51"/>
      <c r="H2037" s="52"/>
      <c r="I2037" s="53">
        <v>45831</v>
      </c>
    </row>
    <row r="2038" spans="1:9">
      <c r="A2038" s="47">
        <v>500243</v>
      </c>
      <c r="B2038" s="48" t="str">
        <f>IFERROR(VLOOKUP(A2038,CLIENTES!A:E,2,0),"CADASTRAR CLIENTE")</f>
        <v>UNIMED DE IBITINGA COOPERATIVA DE TRABALHO MEDICO</v>
      </c>
      <c r="C2038" s="54" t="s">
        <v>3</v>
      </c>
      <c r="D2038" s="54">
        <v>87050</v>
      </c>
      <c r="E2038" s="51">
        <v>1203.5999999999999</v>
      </c>
      <c r="F2038" s="48"/>
      <c r="G2038" s="51"/>
      <c r="H2038" s="52"/>
      <c r="I2038" s="53">
        <v>45831</v>
      </c>
    </row>
    <row r="2039" spans="1:9">
      <c r="A2039" s="47">
        <v>762</v>
      </c>
      <c r="B2039" s="48" t="str">
        <f>IFERROR(VLOOKUP(A2039,CLIENTES!A:E,2,0),"CADASTRAR CLIENTE")</f>
        <v>STA. CASA MISERICORDIA DE ARACATUBA</v>
      </c>
      <c r="C2039" s="54" t="s">
        <v>2</v>
      </c>
      <c r="D2039" s="54">
        <v>87054</v>
      </c>
      <c r="E2039" s="51">
        <v>2076.1999999999998</v>
      </c>
      <c r="F2039" s="48"/>
      <c r="G2039" s="51"/>
      <c r="H2039" s="52"/>
      <c r="I2039" s="53">
        <v>45831</v>
      </c>
    </row>
    <row r="2040" spans="1:9">
      <c r="A2040" s="47">
        <v>1533</v>
      </c>
      <c r="B2040" s="48" t="str">
        <f>IFERROR(VLOOKUP(A2040,CLIENTES!A:E,2,0),"CADASTRAR CLIENTE")</f>
        <v>LABORATORIO BIOANALISE DIAGNOSTICO LTDA</v>
      </c>
      <c r="C2040" s="54" t="s">
        <v>3</v>
      </c>
      <c r="D2040" s="54">
        <v>87051</v>
      </c>
      <c r="E2040" s="51">
        <v>930</v>
      </c>
      <c r="F2040" s="48"/>
      <c r="G2040" s="51"/>
      <c r="H2040" s="52"/>
      <c r="I2040" s="53">
        <v>45831</v>
      </c>
    </row>
    <row r="2041" spans="1:9">
      <c r="A2041" s="47">
        <v>960</v>
      </c>
      <c r="B2041" s="48" t="str">
        <f>IFERROR(VLOOKUP(A2041,CLIENTES!A:E,2,0),"CADASTRAR CLIENTE")</f>
        <v>LUIS VALERIO FILHO-ME</v>
      </c>
      <c r="C2041" s="54" t="s">
        <v>3</v>
      </c>
      <c r="D2041" s="54" t="s">
        <v>628</v>
      </c>
      <c r="E2041" s="51">
        <v>1854.73</v>
      </c>
      <c r="F2041" s="48"/>
      <c r="G2041" s="51"/>
      <c r="H2041" s="52"/>
      <c r="I2041" s="53">
        <v>45832</v>
      </c>
    </row>
    <row r="2042" spans="1:9">
      <c r="A2042" s="47">
        <v>50312</v>
      </c>
      <c r="B2042" s="48" t="str">
        <f>IFERROR(VLOOKUP(A2042,CLIENTES!A:E,2,0),"CADASTRAR CLIENTE")</f>
        <v>LAB-MED LAB.ANALISES CLINICAS</v>
      </c>
      <c r="C2042" s="54" t="s">
        <v>3</v>
      </c>
      <c r="D2042" s="54">
        <v>101148</v>
      </c>
      <c r="E2042" s="51">
        <v>356.2</v>
      </c>
      <c r="F2042" s="48"/>
      <c r="G2042" s="51"/>
      <c r="H2042" s="52"/>
      <c r="I2042" s="53">
        <v>45831</v>
      </c>
    </row>
    <row r="2043" spans="1:9">
      <c r="A2043" s="47">
        <v>51042</v>
      </c>
      <c r="B2043" s="48" t="str">
        <f>IFERROR(VLOOKUP(A2043,CLIENTES!A:E,2,0),"CADASTRAR CLIENTE")</f>
        <v>CLINICAO ANDRADINA PET SHOP E CLINICA VETERINARIA LTDA</v>
      </c>
      <c r="C2043" s="54" t="s">
        <v>3</v>
      </c>
      <c r="D2043" s="54" t="s">
        <v>629</v>
      </c>
      <c r="E2043" s="51">
        <v>428.1</v>
      </c>
      <c r="F2043" s="48"/>
      <c r="G2043" s="51"/>
      <c r="H2043" s="52"/>
      <c r="I2043" s="53">
        <v>45831</v>
      </c>
    </row>
    <row r="2044" spans="1:9">
      <c r="A2044" s="47">
        <v>1813</v>
      </c>
      <c r="B2044" s="48" t="str">
        <f>IFERROR(VLOOKUP(A2044,CLIENTES!A:E,2,0),"CADASTRAR CLIENTE")</f>
        <v>BIOMED LAB.ANAL.CLIN. SC  LTDA</v>
      </c>
      <c r="C2044" s="54" t="s">
        <v>3</v>
      </c>
      <c r="D2044" s="54">
        <v>87088</v>
      </c>
      <c r="E2044" s="51">
        <v>1201.7</v>
      </c>
      <c r="F2044" s="48"/>
      <c r="G2044" s="51"/>
      <c r="H2044" s="52"/>
      <c r="I2044" s="53">
        <v>45831</v>
      </c>
    </row>
    <row r="2045" spans="1:9">
      <c r="A2045" s="47">
        <v>2415</v>
      </c>
      <c r="B2045" s="48" t="str">
        <f>IFERROR(VLOOKUP(A2045,CLIENTES!A:E,2,0),"CADASTRAR CLIENTE")</f>
        <v>ROSSETTO E BARROS LABORATORIO DE ANALISES CLINICAS LTDA</v>
      </c>
      <c r="C2045" s="54" t="s">
        <v>3</v>
      </c>
      <c r="D2045" s="54" t="s">
        <v>630</v>
      </c>
      <c r="E2045" s="51">
        <v>537.5</v>
      </c>
      <c r="F2045" s="48"/>
      <c r="G2045" s="51"/>
      <c r="H2045" s="52"/>
      <c r="I2045" s="53">
        <v>45831</v>
      </c>
    </row>
    <row r="2046" spans="1:9">
      <c r="A2046" s="47">
        <v>463</v>
      </c>
      <c r="B2046" s="48" t="str">
        <f>IFERROR(VLOOKUP(A2046,CLIENTES!A:E,2,0),"CADASTRAR CLIENTE")</f>
        <v>MASUDA &amp; MASUDA LABORATORIO CLINICO LTDA</v>
      </c>
      <c r="C2046" s="54" t="s">
        <v>3</v>
      </c>
      <c r="D2046" s="54">
        <v>87090</v>
      </c>
      <c r="E2046" s="51">
        <v>714.33</v>
      </c>
      <c r="F2046" s="48"/>
      <c r="G2046" s="51"/>
      <c r="H2046" s="52"/>
      <c r="I2046" s="53">
        <v>45831</v>
      </c>
    </row>
    <row r="2047" spans="1:9">
      <c r="A2047" s="47">
        <v>50576</v>
      </c>
      <c r="B2047" s="48" t="str">
        <f>IFERROR(VLOOKUP(A2047,CLIENTES!A:E,2,0),"CADASTRAR CLIENTE")</f>
        <v>ANDRIAO CANEPPA E SILVA LTDA ME</v>
      </c>
      <c r="C2047" s="54" t="s">
        <v>3</v>
      </c>
      <c r="D2047" s="54" t="s">
        <v>631</v>
      </c>
      <c r="E2047" s="51">
        <v>1850.54</v>
      </c>
      <c r="F2047" s="48"/>
      <c r="G2047" s="51"/>
      <c r="H2047" s="52"/>
      <c r="I2047" s="53">
        <v>45832</v>
      </c>
    </row>
    <row r="2048" spans="1:9">
      <c r="A2048" s="47">
        <v>761</v>
      </c>
      <c r="B2048" s="48" t="str">
        <f>IFERROR(VLOOKUP(A2048,CLIENTES!A:E,2,0),"CADASTRAR CLIENTE")</f>
        <v>EXAME CENTRO DIAG.M.ARACATUBA SC LTDA.</v>
      </c>
      <c r="C2048" s="54" t="s">
        <v>3</v>
      </c>
      <c r="D2048" s="54" t="s">
        <v>632</v>
      </c>
      <c r="E2048" s="51">
        <v>1352.3</v>
      </c>
      <c r="F2048" s="48"/>
      <c r="G2048" s="51"/>
      <c r="H2048" s="52"/>
      <c r="I2048" s="53">
        <v>45832</v>
      </c>
    </row>
    <row r="2049" spans="1:9">
      <c r="A2049" s="47">
        <v>822</v>
      </c>
      <c r="B2049" s="48" t="str">
        <f>IFERROR(VLOOKUP(A2049,CLIENTES!A:E,2,0),"CADASTRAR CLIENTE")</f>
        <v>SAO LUCAS LABORATORIO ANAL. CLIN. S/C LTDA</v>
      </c>
      <c r="C2049" s="54" t="s">
        <v>3</v>
      </c>
      <c r="D2049" s="54">
        <v>86837</v>
      </c>
      <c r="E2049" s="51">
        <v>1205</v>
      </c>
      <c r="F2049" s="48"/>
      <c r="G2049" s="51"/>
      <c r="H2049" s="52"/>
      <c r="I2049" s="53">
        <v>45832</v>
      </c>
    </row>
    <row r="2050" spans="1:9">
      <c r="A2050" s="47">
        <v>2752</v>
      </c>
      <c r="B2050" s="48" t="str">
        <f>IFERROR(VLOOKUP(A2050,CLIENTES!A:E,2,0),"CADASTRAR CLIENTE")</f>
        <v>ROTOLI CLINICA VETERINARIA LTDA ME</v>
      </c>
      <c r="C2050" s="54" t="s">
        <v>3</v>
      </c>
      <c r="D2050" s="54">
        <v>87107</v>
      </c>
      <c r="E2050" s="51">
        <v>872.54</v>
      </c>
      <c r="F2050" s="48"/>
      <c r="G2050" s="51"/>
      <c r="H2050" s="52"/>
      <c r="I2050" s="53">
        <v>45832</v>
      </c>
    </row>
    <row r="2051" spans="1:9">
      <c r="A2051" s="47">
        <v>1788</v>
      </c>
      <c r="B2051" s="48" t="str">
        <f>IFERROR(VLOOKUP(A2051,CLIENTES!A:E,2,0),"CADASTRAR CLIENTE")</f>
        <v>ZANATA &amp; REIS LABORCLINICA LTDA</v>
      </c>
      <c r="C2051" s="54" t="s">
        <v>3</v>
      </c>
      <c r="D2051" s="54">
        <v>871119</v>
      </c>
      <c r="E2051" s="51">
        <v>330.2</v>
      </c>
      <c r="F2051" s="48"/>
      <c r="G2051" s="51"/>
      <c r="H2051" s="52"/>
      <c r="I2051" s="53">
        <v>45832</v>
      </c>
    </row>
    <row r="2052" spans="1:9">
      <c r="A2052" s="47">
        <v>906</v>
      </c>
      <c r="B2052" s="48" t="str">
        <f>IFERROR(VLOOKUP(A2052,CLIENTES!A:E,2,0),"CADASTRAR CLIENTE")</f>
        <v>LABORATORIO ANAL. CLIN. DESCALVADO LTDA</v>
      </c>
      <c r="C2052" s="54" t="s">
        <v>3</v>
      </c>
      <c r="D2052" s="54" t="s">
        <v>633</v>
      </c>
      <c r="E2052" s="51">
        <v>1894.73</v>
      </c>
      <c r="F2052" s="48"/>
      <c r="G2052" s="51"/>
      <c r="H2052" s="52"/>
      <c r="I2052" s="53">
        <v>45832</v>
      </c>
    </row>
    <row r="2053" spans="1:9">
      <c r="A2053" s="47">
        <v>1623</v>
      </c>
      <c r="B2053" s="48" t="str">
        <f>IFERROR(VLOOKUP(A2053,CLIENTES!A:E,2,0),"CADASTRAR CLIENTE")</f>
        <v>LAB.ANAL.CLIN. E REP. BADY BASSIT LTDA</v>
      </c>
      <c r="C2053" s="54" t="s">
        <v>3</v>
      </c>
      <c r="D2053" s="54">
        <v>87426</v>
      </c>
      <c r="E2053" s="51">
        <v>1403.65</v>
      </c>
      <c r="F2053" s="48"/>
      <c r="G2053" s="51"/>
      <c r="H2053" s="52"/>
      <c r="I2053" s="53">
        <v>45841</v>
      </c>
    </row>
    <row r="2054" spans="1:9">
      <c r="A2054" s="47">
        <v>823</v>
      </c>
      <c r="B2054" s="48" t="str">
        <f>IFERROR(VLOOKUP(A2054,CLIENTES!A:E,2,0),"CADASTRAR CLIENTE")</f>
        <v>SANCHES x SANCHES S/C LTDA</v>
      </c>
      <c r="C2054" s="54" t="s">
        <v>3</v>
      </c>
      <c r="D2054" s="54">
        <v>87388</v>
      </c>
      <c r="E2054" s="51">
        <v>364</v>
      </c>
      <c r="F2054" s="48"/>
      <c r="G2054" s="51"/>
      <c r="H2054" s="52"/>
      <c r="I2054" s="53">
        <v>45841</v>
      </c>
    </row>
    <row r="2055" spans="1:9">
      <c r="A2055" s="47">
        <v>2980</v>
      </c>
      <c r="B2055" s="48" t="str">
        <f>IFERROR(VLOOKUP(A2055,CLIENTES!A:E,2,0),"CADASTRAR CLIENTE")</f>
        <v>ALMEIDA &amp; FLAITT LABORATORIOS DE ANALISES CLINICAS LTDA</v>
      </c>
      <c r="C2055" s="54" t="s">
        <v>3</v>
      </c>
      <c r="D2055" s="54" t="s">
        <v>635</v>
      </c>
      <c r="E2055" s="51">
        <v>1234.48</v>
      </c>
      <c r="F2055" s="48"/>
      <c r="G2055" s="51"/>
      <c r="H2055" s="52"/>
      <c r="I2055" s="53">
        <v>45841</v>
      </c>
    </row>
    <row r="2056" spans="1:9">
      <c r="A2056" s="47">
        <v>1041</v>
      </c>
      <c r="B2056" s="48" t="str">
        <f>IFERROR(VLOOKUP(A2056,CLIENTES!A:E,2,0),"CADASTRAR CLIENTE")</f>
        <v>EDSON VANDERLEI CARRERA</v>
      </c>
      <c r="C2056" s="54" t="s">
        <v>3</v>
      </c>
      <c r="D2056" s="54">
        <v>87414</v>
      </c>
      <c r="E2056" s="51">
        <v>876.3</v>
      </c>
      <c r="F2056" s="48"/>
      <c r="G2056" s="51"/>
      <c r="H2056" s="52"/>
      <c r="I2056" s="53">
        <v>45841</v>
      </c>
    </row>
    <row r="2057" spans="1:9">
      <c r="A2057" s="47">
        <v>784</v>
      </c>
      <c r="B2057" s="48" t="str">
        <f>IFERROR(VLOOKUP(A2057,CLIENTES!A:E,2,0),"CADASTRAR CLIENTE")</f>
        <v>LAB.ANAL.CLIN. ALBERT SABIN SC LTDA.</v>
      </c>
      <c r="C2057" s="54" t="s">
        <v>3</v>
      </c>
      <c r="D2057" s="54">
        <v>87375</v>
      </c>
      <c r="E2057" s="51">
        <v>1278.5999999999999</v>
      </c>
      <c r="F2057" s="48"/>
      <c r="G2057" s="51"/>
      <c r="H2057" s="52"/>
      <c r="I2057" s="53">
        <v>45841</v>
      </c>
    </row>
    <row r="2058" spans="1:9">
      <c r="A2058" s="18">
        <v>3194</v>
      </c>
      <c r="B2058" s="19" t="str">
        <f>IFERROR(VLOOKUP(A2058,CLIENTES!A:E,2,0),"CADASTRAR CLIENTE")</f>
        <v>CENTRO DE DIAGNOSTICOS CONTROLE LTDA</v>
      </c>
      <c r="C2058" s="60" t="s">
        <v>3</v>
      </c>
      <c r="D2058" s="60">
        <v>87419</v>
      </c>
      <c r="E2058" s="21">
        <v>1470.1</v>
      </c>
      <c r="F2058" s="19"/>
      <c r="G2058" s="21"/>
      <c r="H2058" s="22"/>
      <c r="I2058" s="20">
        <v>45841</v>
      </c>
    </row>
    <row r="2059" spans="1:9">
      <c r="A2059" s="47">
        <v>1206</v>
      </c>
      <c r="B2059" s="48" t="str">
        <f>IFERROR(VLOOKUP(A2059,CLIENTES!A:E,2,0),"CADASTRAR CLIENTE")</f>
        <v>LABORATORIO RIO NEGRO CENTER DE MARILIA  LTDA</v>
      </c>
      <c r="C2059" s="54" t="s">
        <v>3</v>
      </c>
      <c r="D2059" s="54">
        <v>87450</v>
      </c>
      <c r="E2059" s="51">
        <v>867.86</v>
      </c>
      <c r="F2059" s="48"/>
      <c r="G2059" s="51"/>
      <c r="H2059" s="52"/>
      <c r="I2059" s="53">
        <v>45841</v>
      </c>
    </row>
    <row r="2060" spans="1:9">
      <c r="A2060" s="47">
        <v>50554</v>
      </c>
      <c r="B2060" s="48" t="str">
        <f>IFERROR(VLOOKUP(A2060,CLIENTES!A:E,2,0),"CADASTRAR CLIENTE")</f>
        <v>SAO ROQUE MEDICINA DIAGNOSTICA</v>
      </c>
      <c r="C2060" s="54" t="s">
        <v>3</v>
      </c>
      <c r="D2060" s="54" t="s">
        <v>634</v>
      </c>
      <c r="E2060" s="51">
        <v>3082.18</v>
      </c>
      <c r="F2060" s="48"/>
      <c r="G2060" s="51"/>
      <c r="H2060" s="52"/>
      <c r="I2060" s="53">
        <v>45842</v>
      </c>
    </row>
    <row r="2061" spans="1:9">
      <c r="A2061" s="47">
        <v>1623</v>
      </c>
      <c r="B2061" s="48" t="str">
        <f>IFERROR(VLOOKUP(A2061,CLIENTES!A:E,2,0),"CADASTRAR CLIENTE")</f>
        <v>LAB.ANAL.CLIN. E REP. BADY BASSIT LTDA</v>
      </c>
      <c r="C2061" s="54" t="s">
        <v>3</v>
      </c>
      <c r="D2061" s="54">
        <v>87426</v>
      </c>
      <c r="E2061" s="51">
        <v>708.05</v>
      </c>
      <c r="F2061" s="48"/>
      <c r="G2061" s="51"/>
      <c r="H2061" s="52"/>
      <c r="I2061" s="53">
        <v>45842</v>
      </c>
    </row>
    <row r="2062" spans="1:9">
      <c r="A2062" s="47">
        <v>663</v>
      </c>
      <c r="B2062" s="48" t="str">
        <f>IFERROR(VLOOKUP(A2062,CLIENTES!A:E,2,0),"CADASTRAR CLIENTE")</f>
        <v>LAB. MEDICO GUIMARAES</v>
      </c>
      <c r="C2062" s="54" t="s">
        <v>3</v>
      </c>
      <c r="D2062" s="54" t="s">
        <v>636</v>
      </c>
      <c r="E2062" s="51">
        <v>1165.95</v>
      </c>
      <c r="F2062" s="48"/>
      <c r="G2062" s="51"/>
      <c r="H2062" s="52"/>
      <c r="I2062" s="53">
        <v>45842</v>
      </c>
    </row>
    <row r="2063" spans="1:9">
      <c r="A2063" s="47">
        <v>1122</v>
      </c>
      <c r="B2063" s="48" t="str">
        <f>IFERROR(VLOOKUP(A2063,CLIENTES!A:E,2,0),"CADASTRAR CLIENTE")</f>
        <v>FUNDEPAG</v>
      </c>
      <c r="C2063" s="54" t="s">
        <v>3</v>
      </c>
      <c r="D2063" s="54">
        <v>86990</v>
      </c>
      <c r="E2063" s="51">
        <v>889</v>
      </c>
      <c r="F2063" s="48"/>
      <c r="G2063" s="51"/>
      <c r="H2063" s="52"/>
      <c r="I2063" s="53">
        <v>45845</v>
      </c>
    </row>
    <row r="2064" spans="1:9">
      <c r="A2064" s="47">
        <v>2980</v>
      </c>
      <c r="B2064" s="48" t="str">
        <f>IFERROR(VLOOKUP(A2064,CLIENTES!A:E,2,0),"CADASTRAR CLIENTE")</f>
        <v>ALMEIDA &amp; FLAITT LABORATORIOS DE ANALISES CLINICAS LTDA</v>
      </c>
      <c r="C2064" s="54" t="s">
        <v>3</v>
      </c>
      <c r="D2064" s="54" t="s">
        <v>635</v>
      </c>
      <c r="E2064" s="51">
        <v>1099.5899999999999</v>
      </c>
      <c r="F2064" s="48"/>
      <c r="G2064" s="51"/>
      <c r="H2064" s="52"/>
      <c r="I2064" s="53">
        <v>45845</v>
      </c>
    </row>
    <row r="2065" spans="1:9">
      <c r="A2065" s="47">
        <v>746</v>
      </c>
      <c r="B2065" s="48" t="str">
        <f>IFERROR(VLOOKUP(A2065,CLIENTES!A:E,2,0),"CADASTRAR CLIENTE")</f>
        <v>LAB.ANAL.CLIN.BIOCLIN SC LTDA.</v>
      </c>
      <c r="C2065" s="54" t="s">
        <v>3</v>
      </c>
      <c r="D2065" s="54" t="s">
        <v>637</v>
      </c>
      <c r="E2065" s="51">
        <v>2506.89</v>
      </c>
      <c r="F2065" s="48"/>
      <c r="G2065" s="51"/>
      <c r="H2065" s="52"/>
      <c r="I2065" s="53">
        <v>45845</v>
      </c>
    </row>
    <row r="2066" spans="1:9">
      <c r="A2066" s="47">
        <v>1164</v>
      </c>
      <c r="B2066" s="48" t="str">
        <f>IFERROR(VLOOKUP(A2066,CLIENTES!A:E,2,0),"CADASTRAR CLIENTE")</f>
        <v>LAB. ANAL. CLIN. SAO LOURENCO S/C LTDA</v>
      </c>
      <c r="C2066" s="54" t="s">
        <v>3</v>
      </c>
      <c r="D2066" s="54">
        <v>87501</v>
      </c>
      <c r="E2066" s="51">
        <v>2173.7800000000002</v>
      </c>
      <c r="F2066" s="48"/>
      <c r="G2066" s="51"/>
      <c r="H2066" s="52"/>
      <c r="I2066" s="53">
        <v>45845</v>
      </c>
    </row>
    <row r="2067" spans="1:9">
      <c r="A2067" s="47">
        <v>1652</v>
      </c>
      <c r="B2067" s="48" t="str">
        <f>IFERROR(VLOOKUP(A2067,CLIENTES!A:E,2,0),"CADASTRAR CLIENTE")</f>
        <v>LAB. SANTA CLARA ANAL.CLIN.</v>
      </c>
      <c r="C2067" s="54" t="s">
        <v>3</v>
      </c>
      <c r="D2067" s="54" t="s">
        <v>638</v>
      </c>
      <c r="E2067" s="51">
        <v>622.5</v>
      </c>
      <c r="F2067" s="48"/>
      <c r="G2067" s="51"/>
      <c r="H2067" s="52"/>
      <c r="I2067" s="53">
        <v>45845</v>
      </c>
    </row>
    <row r="2068" spans="1:9">
      <c r="A2068" s="47">
        <v>475</v>
      </c>
      <c r="B2068" s="48" t="str">
        <f>IFERROR(VLOOKUP(A2068,CLIENTES!A:E,2,0),"CADASTRAR CLIENTE")</f>
        <v>LABORATORIO DE ANALISES CLINICAS SRC LTDA</v>
      </c>
      <c r="C2068" s="54" t="s">
        <v>2</v>
      </c>
      <c r="D2068" s="54" t="s">
        <v>639</v>
      </c>
      <c r="E2068" s="51">
        <v>10414.31</v>
      </c>
      <c r="F2068" s="48"/>
      <c r="G2068" s="51"/>
      <c r="H2068" s="52"/>
      <c r="I2068" s="53">
        <v>45845</v>
      </c>
    </row>
    <row r="2069" spans="1:9">
      <c r="A2069" s="18">
        <v>690</v>
      </c>
      <c r="B2069" s="19" t="str">
        <f>IFERROR(VLOOKUP(A2069,CLIENTES!A:E,2,0),"CADASTRAR CLIENTE")</f>
        <v>SAO ROQUE MEDICINA DIAGNOSTICA LTDA EPP</v>
      </c>
      <c r="C2069" s="60" t="s">
        <v>3</v>
      </c>
      <c r="D2069" s="60" t="s">
        <v>653</v>
      </c>
      <c r="E2069" s="21">
        <v>1649.05</v>
      </c>
      <c r="F2069" s="19"/>
      <c r="G2069" s="21"/>
      <c r="H2069" s="22"/>
      <c r="I2069" s="20">
        <v>45845</v>
      </c>
    </row>
    <row r="2070" spans="1:9">
      <c r="A2070" s="47">
        <v>50558</v>
      </c>
      <c r="B2070" s="48" t="str">
        <f>IFERROR(VLOOKUP(A2070,CLIENTES!A:E,2,0),"CADASTRAR CLIENTE")</f>
        <v>FUNDACAO PAULISTA DE TECNOLOGIA E EDUCACAO</v>
      </c>
      <c r="C2070" s="54" t="s">
        <v>2</v>
      </c>
      <c r="D2070" s="54" t="s">
        <v>640</v>
      </c>
      <c r="E2070" s="51">
        <v>3290.9</v>
      </c>
      <c r="F2070" s="48"/>
      <c r="G2070" s="51"/>
      <c r="H2070" s="52"/>
      <c r="I2070" s="53">
        <v>45845</v>
      </c>
    </row>
    <row r="2071" spans="1:9">
      <c r="A2071" s="47">
        <v>581</v>
      </c>
      <c r="B2071" s="48" t="str">
        <f>IFERROR(VLOOKUP(A2071,CLIENTES!A:E,2,0),"CADASTRAR CLIENTE")</f>
        <v>CLINILAB LABORAT. ANAL. CLIN SC LTDA</v>
      </c>
      <c r="C2071" s="54" t="s">
        <v>3</v>
      </c>
      <c r="D2071" s="54">
        <v>101274</v>
      </c>
      <c r="E2071" s="51">
        <v>2019.49</v>
      </c>
      <c r="F2071" s="48"/>
      <c r="G2071" s="51"/>
      <c r="H2071" s="52"/>
      <c r="I2071" s="53">
        <v>45846</v>
      </c>
    </row>
    <row r="2072" spans="1:9">
      <c r="A2072" s="47">
        <v>784</v>
      </c>
      <c r="B2072" s="48" t="str">
        <f>IFERROR(VLOOKUP(A2072,CLIENTES!A:E,2,0),"CADASTRAR CLIENTE")</f>
        <v>LAB.ANAL.CLIN. ALBERT SABIN SC LTDA.</v>
      </c>
      <c r="C2072" s="54" t="s">
        <v>3</v>
      </c>
      <c r="D2072" s="54" t="s">
        <v>641</v>
      </c>
      <c r="E2072" s="51">
        <v>1554.6</v>
      </c>
      <c r="F2072" s="48"/>
      <c r="G2072" s="51"/>
      <c r="H2072" s="52"/>
      <c r="I2072" s="53">
        <v>45846</v>
      </c>
    </row>
    <row r="2073" spans="1:9">
      <c r="A2073" s="47">
        <v>761</v>
      </c>
      <c r="B2073" s="48" t="str">
        <f>IFERROR(VLOOKUP(A2073,CLIENTES!A:E,2,0),"CADASTRAR CLIENTE")</f>
        <v>EXAME CENTRO DIAG.M.ARACATUBA SC LTDA.</v>
      </c>
      <c r="C2073" s="54" t="s">
        <v>3</v>
      </c>
      <c r="D2073" s="54" t="s">
        <v>642</v>
      </c>
      <c r="E2073" s="51">
        <v>1151.7</v>
      </c>
      <c r="F2073" s="48"/>
      <c r="G2073" s="51"/>
      <c r="H2073" s="52"/>
      <c r="I2073" s="53">
        <v>45846</v>
      </c>
    </row>
    <row r="2074" spans="1:9">
      <c r="A2074" s="47">
        <v>50418</v>
      </c>
      <c r="B2074" s="48" t="str">
        <f>IFERROR(VLOOKUP(A2074,CLIENTES!A:E,2,0),"CADASTRAR CLIENTE")</f>
        <v>LABORATORIO SAO LUCAS DE BROTAS SS LTDA</v>
      </c>
      <c r="C2074" s="54" t="s">
        <v>3</v>
      </c>
      <c r="D2074" s="54">
        <v>87602</v>
      </c>
      <c r="E2074" s="51">
        <v>4953.2</v>
      </c>
      <c r="F2074" s="48"/>
      <c r="G2074" s="51"/>
      <c r="H2074" s="52"/>
      <c r="I2074" s="53">
        <v>45848</v>
      </c>
    </row>
    <row r="2075" spans="1:9">
      <c r="A2075" s="47">
        <v>1534</v>
      </c>
      <c r="B2075" s="48" t="str">
        <f>IFERROR(VLOOKUP(A2075,CLIENTES!A:E,2,0),"CADASTRAR CLIENTE")</f>
        <v>CISCRE IMPORTACAO E DISTRIBUICAO DE PRODUTOS MEDICOS LTDA</v>
      </c>
      <c r="C2075" s="54" t="s">
        <v>3</v>
      </c>
      <c r="D2075" s="54">
        <v>87429</v>
      </c>
      <c r="E2075" s="51">
        <v>1610.44</v>
      </c>
      <c r="F2075" s="48"/>
      <c r="G2075" s="51"/>
      <c r="H2075" s="52"/>
      <c r="I2075" s="53">
        <v>45848</v>
      </c>
    </row>
    <row r="2076" spans="1:9">
      <c r="A2076" s="70">
        <v>500149</v>
      </c>
      <c r="B2076" s="48" t="str">
        <f>IFERROR(VLOOKUP(A2076,CLIENTES!A:E,2,0),"CADASTRAR CLIENTE")</f>
        <v>SAO ROQUE MEDICINA DIAGNOSTICA LTDA</v>
      </c>
      <c r="C2076" s="54" t="s">
        <v>3</v>
      </c>
      <c r="D2076" s="54">
        <v>87630</v>
      </c>
      <c r="E2076" s="51">
        <v>1378.4</v>
      </c>
      <c r="F2076" s="48"/>
      <c r="G2076" s="51"/>
      <c r="H2076" s="52"/>
      <c r="I2076" s="53">
        <v>45848</v>
      </c>
    </row>
    <row r="2077" spans="1:9">
      <c r="A2077" s="47">
        <v>1122</v>
      </c>
      <c r="B2077" s="48" t="str">
        <f>IFERROR(VLOOKUP(A2077,CLIENTES!A:E,2,0),"CADASTRAR CLIENTE")</f>
        <v>FUNDEPAG</v>
      </c>
      <c r="C2077" s="54" t="s">
        <v>3</v>
      </c>
      <c r="D2077" s="54">
        <v>87691</v>
      </c>
      <c r="E2077" s="51">
        <v>3563.8</v>
      </c>
      <c r="F2077" s="48"/>
      <c r="G2077" s="51"/>
      <c r="H2077" s="52"/>
      <c r="I2077" s="53">
        <v>45849</v>
      </c>
    </row>
    <row r="2078" spans="1:9">
      <c r="A2078" s="47">
        <v>906</v>
      </c>
      <c r="B2078" s="48" t="str">
        <f>IFERROR(VLOOKUP(A2078,CLIENTES!A:E,2,0),"CADASTRAR CLIENTE")</f>
        <v>LABORATORIO ANAL. CLIN. DESCALVADO LTDA</v>
      </c>
      <c r="C2078" s="54" t="s">
        <v>3</v>
      </c>
      <c r="D2078" s="54">
        <v>87670</v>
      </c>
      <c r="E2078" s="51">
        <v>615.88</v>
      </c>
      <c r="F2078" s="48"/>
      <c r="G2078" s="51"/>
      <c r="H2078" s="52"/>
      <c r="I2078" s="53">
        <v>45849</v>
      </c>
    </row>
    <row r="2079" spans="1:9">
      <c r="A2079" s="47">
        <v>3492</v>
      </c>
      <c r="B2079" s="48" t="str">
        <f>IFERROR(VLOOKUP(A2079,CLIENTES!A:E,2,0),"CADASTRAR CLIENTE")</f>
        <v>SOCIEDADE EDUCACIONAL UBERABENSE</v>
      </c>
      <c r="C2079" s="54" t="s">
        <v>3</v>
      </c>
      <c r="D2079" s="54">
        <v>87774</v>
      </c>
      <c r="E2079" s="51">
        <v>299.7</v>
      </c>
      <c r="F2079" s="48"/>
      <c r="G2079" s="51"/>
      <c r="H2079" s="52"/>
      <c r="I2079" s="53">
        <v>45853</v>
      </c>
    </row>
    <row r="2080" spans="1:9">
      <c r="A2080" s="47">
        <v>2702</v>
      </c>
      <c r="B2080" s="48" t="str">
        <f>IFERROR(VLOOKUP(A2080,CLIENTES!A:E,2,0),"CADASTRAR CLIENTE")</f>
        <v>SANTA CASA DE MISER. DE TAQUARITUBA</v>
      </c>
      <c r="C2080" s="54" t="s">
        <v>3</v>
      </c>
      <c r="D2080" s="54" t="s">
        <v>644</v>
      </c>
      <c r="E2080" s="51">
        <v>2244.58</v>
      </c>
      <c r="F2080" s="48"/>
      <c r="G2080" s="51"/>
      <c r="H2080" s="52"/>
      <c r="I2080" s="53">
        <v>45853</v>
      </c>
    </row>
    <row r="2081" spans="1:9">
      <c r="A2081" s="47">
        <v>3018</v>
      </c>
      <c r="B2081" s="48" t="str">
        <f>IFERROR(VLOOKUP(A2081,CLIENTES!A:E,2,0),"CADASTRAR CLIENTE")</f>
        <v>NP- LABORATORIO DE ANALISES CLINICAS LTDA</v>
      </c>
      <c r="C2081" s="54" t="s">
        <v>2</v>
      </c>
      <c r="D2081" s="54">
        <v>101244</v>
      </c>
      <c r="E2081" s="51">
        <v>189.95</v>
      </c>
      <c r="F2081" s="48"/>
      <c r="G2081" s="51"/>
      <c r="H2081" s="52"/>
      <c r="I2081" s="53">
        <v>45852</v>
      </c>
    </row>
    <row r="2082" spans="1:9">
      <c r="A2082" s="47">
        <v>1971</v>
      </c>
      <c r="B2082" s="48" t="str">
        <f>IFERROR(VLOOKUP(A2082,CLIENTES!A:E,2,0),"CADASTRAR CLIENTE")</f>
        <v>LABORATORIO POPULAR LAB 7 LTDA</v>
      </c>
      <c r="C2082" s="54" t="s">
        <v>3</v>
      </c>
      <c r="D2082" s="54" t="s">
        <v>645</v>
      </c>
      <c r="E2082" s="51">
        <v>230.14</v>
      </c>
      <c r="F2082" s="48"/>
      <c r="G2082" s="51"/>
      <c r="H2082" s="52"/>
      <c r="I2082" s="53">
        <v>45852</v>
      </c>
    </row>
    <row r="2083" spans="1:9">
      <c r="A2083" s="47">
        <v>50861</v>
      </c>
      <c r="B2083" s="48" t="str">
        <f>IFERROR(VLOOKUP(A2083,CLIENTES!A:E,2,0),"CADASTRAR CLIENTE")</f>
        <v>JAQUELINE MARTINS RUIZ LAB DE ANALISES CLINICAS</v>
      </c>
      <c r="C2083" s="54" t="s">
        <v>3</v>
      </c>
      <c r="D2083" s="54">
        <v>87721</v>
      </c>
      <c r="E2083" s="51">
        <v>1282.3</v>
      </c>
      <c r="F2083" s="48"/>
      <c r="G2083" s="51"/>
      <c r="H2083" s="52"/>
      <c r="I2083" s="53">
        <v>45852</v>
      </c>
    </row>
    <row r="2084" spans="1:9">
      <c r="A2084" s="47">
        <v>1493</v>
      </c>
      <c r="B2084" s="48" t="str">
        <f>IFERROR(VLOOKUP(A2084,CLIENTES!A:E,2,0),"CADASTRAR CLIENTE")</f>
        <v>CEDIMA  CENTRO DE DIAG MONTE AZUL ANAL CLIN E CIT</v>
      </c>
      <c r="C2084" s="54" t="s">
        <v>328</v>
      </c>
      <c r="D2084" s="54">
        <v>87726</v>
      </c>
      <c r="E2084" s="51">
        <v>1856.92</v>
      </c>
      <c r="F2084" s="48"/>
      <c r="G2084" s="51"/>
      <c r="H2084" s="52"/>
      <c r="I2084" s="53">
        <v>45852</v>
      </c>
    </row>
    <row r="2085" spans="1:9">
      <c r="A2085" s="47">
        <v>834</v>
      </c>
      <c r="B2085" s="48" t="str">
        <f>IFERROR(VLOOKUP(A2085,CLIENTES!A:E,2,0),"CADASTRAR CLIENTE")</f>
        <v>CADASTRAR CLIENTE</v>
      </c>
      <c r="C2085" s="54" t="s">
        <v>3</v>
      </c>
      <c r="D2085" s="54">
        <v>87732</v>
      </c>
      <c r="E2085" s="51">
        <v>2076.86</v>
      </c>
      <c r="F2085" s="48"/>
      <c r="G2085" s="51"/>
      <c r="H2085" s="52"/>
      <c r="I2085" s="53">
        <v>45852</v>
      </c>
    </row>
    <row r="2086" spans="1:9">
      <c r="A2086" s="47">
        <v>432</v>
      </c>
      <c r="B2086" s="48" t="str">
        <f>IFERROR(VLOOKUP(A2086,CLIENTES!A:E,2,0),"CADASTRAR CLIENTE")</f>
        <v>LABORATORIO PASTEUR HEMATOLOGIA E MICROBIOLOGIA S/S LTDA</v>
      </c>
      <c r="C2086" s="54" t="s">
        <v>3</v>
      </c>
      <c r="D2086" s="54" t="s">
        <v>646</v>
      </c>
      <c r="E2086" s="51">
        <v>3814.57</v>
      </c>
      <c r="F2086" s="48"/>
      <c r="G2086" s="51"/>
      <c r="H2086" s="52"/>
      <c r="I2086" s="53">
        <v>45852</v>
      </c>
    </row>
    <row r="2087" spans="1:9">
      <c r="A2087" s="47">
        <v>1927</v>
      </c>
      <c r="B2087" s="48" t="str">
        <f>IFERROR(VLOOKUP(A2087,CLIENTES!A:E,2,0),"CADASTRAR CLIENTE")</f>
        <v>CADASTRAR CLIENTE</v>
      </c>
      <c r="C2087" s="54" t="s">
        <v>3</v>
      </c>
      <c r="D2087" s="54">
        <v>87743</v>
      </c>
      <c r="E2087" s="51">
        <v>2128.4</v>
      </c>
      <c r="F2087" s="48"/>
      <c r="G2087" s="51"/>
      <c r="H2087" s="52"/>
      <c r="I2087" s="53">
        <v>45852</v>
      </c>
    </row>
    <row r="2088" spans="1:9">
      <c r="A2088" s="47">
        <v>500243</v>
      </c>
      <c r="B2088" s="48" t="str">
        <f>IFERROR(VLOOKUP(A2088,CLIENTES!A:E,2,0),"CADASTRAR CLIENTE")</f>
        <v>UNIMED DE IBITINGA COOPERATIVA DE TRABALHO MEDICO</v>
      </c>
      <c r="C2088" s="54" t="s">
        <v>3</v>
      </c>
      <c r="D2088" s="54">
        <v>87759</v>
      </c>
      <c r="E2088" s="51">
        <v>1211.21</v>
      </c>
      <c r="F2088" s="48"/>
      <c r="G2088" s="51"/>
      <c r="H2088" s="52"/>
      <c r="I2088" s="53">
        <v>45852</v>
      </c>
    </row>
    <row r="2089" spans="1:9">
      <c r="A2089" s="47">
        <v>475</v>
      </c>
      <c r="B2089" s="48" t="str">
        <f>IFERROR(VLOOKUP(A2089,CLIENTES!A:E,2,0),"CADASTRAR CLIENTE")</f>
        <v>LABORATORIO DE ANALISES CLINICAS SRC LTDA</v>
      </c>
      <c r="C2089" s="54" t="s">
        <v>3</v>
      </c>
      <c r="D2089" s="54" t="s">
        <v>647</v>
      </c>
      <c r="E2089" s="51">
        <v>958.92</v>
      </c>
      <c r="F2089" s="48"/>
      <c r="G2089" s="51"/>
      <c r="H2089" s="52"/>
      <c r="I2089" s="53">
        <v>45852</v>
      </c>
    </row>
    <row r="2090" spans="1:9">
      <c r="A2090" s="47">
        <v>572</v>
      </c>
      <c r="B2090" s="48" t="str">
        <f>IFERROR(VLOOKUP(A2090,CLIENTES!A:E,2,0),"CADASTRAR CLIENTE")</f>
        <v>LABORATORIO MULTIANALISES LTDA-ME</v>
      </c>
      <c r="C2090" s="54" t="s">
        <v>3</v>
      </c>
      <c r="D2090" s="54">
        <v>87760</v>
      </c>
      <c r="E2090" s="51">
        <v>723.78</v>
      </c>
      <c r="F2090" s="48"/>
      <c r="G2090" s="51"/>
      <c r="H2090" s="52"/>
      <c r="I2090" s="53">
        <v>45853</v>
      </c>
    </row>
    <row r="2091" spans="1:9">
      <c r="A2091" s="47">
        <v>463</v>
      </c>
      <c r="B2091" s="48" t="str">
        <f>IFERROR(VLOOKUP(A2091,CLIENTES!A:E,2,0),"CADASTRAR CLIENTE")</f>
        <v>MASUDA &amp; MASUDA LABORATORIO CLINICO LTDA</v>
      </c>
      <c r="C2091" s="54" t="s">
        <v>3</v>
      </c>
      <c r="D2091" s="54" t="s">
        <v>648</v>
      </c>
      <c r="E2091" s="51">
        <v>2387.15</v>
      </c>
      <c r="F2091" s="48"/>
      <c r="G2091" s="51"/>
      <c r="H2091" s="52"/>
      <c r="I2091" s="53">
        <v>45853</v>
      </c>
    </row>
    <row r="2092" spans="1:9">
      <c r="A2092" s="47">
        <v>1164</v>
      </c>
      <c r="B2092" s="48" t="str">
        <f>IFERROR(VLOOKUP(A2092,CLIENTES!A:E,2,0),"CADASTRAR CLIENTE")</f>
        <v>LAB. ANAL. CLIN. SAO LOURENCO S/C LTDA</v>
      </c>
      <c r="C2092" s="54" t="s">
        <v>3</v>
      </c>
      <c r="D2092" s="54" t="s">
        <v>649</v>
      </c>
      <c r="E2092" s="51">
        <v>720.1</v>
      </c>
      <c r="F2092" s="48"/>
      <c r="G2092" s="51"/>
      <c r="H2092" s="52"/>
      <c r="I2092" s="53">
        <v>45853</v>
      </c>
    </row>
    <row r="2093" spans="1:9">
      <c r="A2093" s="47">
        <v>772</v>
      </c>
      <c r="B2093" s="48" t="str">
        <f>IFERROR(VLOOKUP(A2093,CLIENTES!A:E,2,0),"CADASTRAR CLIENTE")</f>
        <v>MEGARON LABORATORIO ANAL.CLIN.SC LTDA.</v>
      </c>
      <c r="C2093" s="54" t="s">
        <v>3</v>
      </c>
      <c r="D2093" s="54" t="s">
        <v>650</v>
      </c>
      <c r="E2093" s="51">
        <v>910.01</v>
      </c>
      <c r="F2093" s="48"/>
      <c r="G2093" s="51"/>
      <c r="H2093" s="52"/>
      <c r="I2093" s="53">
        <v>45853</v>
      </c>
    </row>
    <row r="2094" spans="1:9">
      <c r="A2094" s="47">
        <v>3077</v>
      </c>
      <c r="B2094" s="48" t="str">
        <f>IFERROR(VLOOKUP(A2094,CLIENTES!A:E,2,0),"CADASTRAR CLIENTE")</f>
        <v>CBI ANALISES CLINICAS S/S LTDA</v>
      </c>
      <c r="C2094" s="54" t="s">
        <v>3</v>
      </c>
      <c r="D2094" s="54" t="s">
        <v>651</v>
      </c>
      <c r="E2094" s="51">
        <v>1285.04</v>
      </c>
      <c r="F2094" s="48"/>
      <c r="G2094" s="51"/>
      <c r="H2094" s="52"/>
      <c r="I2094" s="53">
        <v>45853</v>
      </c>
    </row>
    <row r="2095" spans="1:9">
      <c r="A2095" s="47">
        <v>2022</v>
      </c>
      <c r="B2095" s="48" t="str">
        <f>IFERROR(VLOOKUP(A2095,CLIENTES!A:E,2,0),"CADASTRAR CLIENTE")</f>
        <v>LAB. MEDICO DR. MARICONDI S/C LTDA.</v>
      </c>
      <c r="C2095" s="54" t="s">
        <v>3</v>
      </c>
      <c r="D2095" s="54">
        <v>87804</v>
      </c>
      <c r="E2095" s="51">
        <v>468</v>
      </c>
      <c r="F2095" s="48"/>
      <c r="G2095" s="51"/>
      <c r="H2095" s="52"/>
      <c r="I2095" s="53">
        <v>45853</v>
      </c>
    </row>
    <row r="2096" spans="1:9">
      <c r="A2096" s="47">
        <v>3019</v>
      </c>
      <c r="B2096" s="48" t="str">
        <f>IFERROR(VLOOKUP(A2096,CLIENTES!A:E,2,0),"CADASTRAR CLIENTE")</f>
        <v>SOCIEDADE EDUCACIONAL UBERABENSE</v>
      </c>
      <c r="C2096" s="54" t="s">
        <v>3</v>
      </c>
      <c r="D2096" s="54">
        <v>87807</v>
      </c>
      <c r="E2096" s="51">
        <v>854.5</v>
      </c>
      <c r="F2096" s="48"/>
      <c r="G2096" s="51"/>
      <c r="H2096" s="52"/>
      <c r="I2096" s="53">
        <v>45853</v>
      </c>
    </row>
    <row r="2097" spans="1:9">
      <c r="A2097" s="47">
        <v>2596</v>
      </c>
      <c r="B2097" s="48" t="str">
        <f>IFERROR(VLOOKUP(A2097,CLIENTES!A:E,2,0),"CADASTRAR CLIENTE")</f>
        <v>CADASTRAR CLIENTE</v>
      </c>
      <c r="C2097" s="54" t="s">
        <v>3</v>
      </c>
      <c r="D2097" s="54">
        <v>87816</v>
      </c>
      <c r="E2097" s="51">
        <v>375.05</v>
      </c>
      <c r="F2097" s="48"/>
      <c r="G2097" s="51"/>
      <c r="H2097" s="52"/>
      <c r="I2097" s="53">
        <v>45854</v>
      </c>
    </row>
    <row r="2098" spans="1:9">
      <c r="A2098" s="47">
        <v>1989</v>
      </c>
      <c r="B2098" s="48" t="str">
        <f>IFERROR(VLOOKUP(A2098,CLIENTES!A:E,2,0),"CADASTRAR CLIENTE")</f>
        <v>SAO FRANCISCO ANAL. CLIN.</v>
      </c>
      <c r="C2098" s="54" t="s">
        <v>3</v>
      </c>
      <c r="D2098" s="54">
        <v>87168</v>
      </c>
      <c r="E2098" s="51">
        <v>735.73</v>
      </c>
      <c r="F2098" s="48"/>
      <c r="G2098" s="51"/>
      <c r="H2098" s="52"/>
      <c r="I2098" s="53">
        <v>45854</v>
      </c>
    </row>
    <row r="2099" spans="1:9">
      <c r="A2099" s="47">
        <v>690</v>
      </c>
      <c r="B2099" s="48" t="str">
        <f>IFERROR(VLOOKUP(A2099,CLIENTES!A:E,2,0),"CADASTRAR CLIENTE")</f>
        <v>SAO ROQUE MEDICINA DIAGNOSTICA LTDA EPP</v>
      </c>
      <c r="C2099" s="54" t="s">
        <v>3</v>
      </c>
      <c r="D2099" s="54" t="s">
        <v>652</v>
      </c>
      <c r="E2099" s="51">
        <v>653.5</v>
      </c>
      <c r="F2099" s="48"/>
      <c r="G2099" s="51"/>
      <c r="H2099" s="52"/>
      <c r="I2099" s="53">
        <v>45854</v>
      </c>
    </row>
    <row r="2100" spans="1:9">
      <c r="A2100" s="47">
        <v>50554</v>
      </c>
      <c r="B2100" s="48" t="str">
        <f>IFERROR(VLOOKUP(A2100,CLIENTES!A:E,2,0),"CADASTRAR CLIENTE")</f>
        <v>SAO ROQUE MEDICINA DIAGNOSTICA</v>
      </c>
      <c r="C2100" s="54" t="s">
        <v>3</v>
      </c>
      <c r="D2100" s="54">
        <v>87797</v>
      </c>
      <c r="E2100" s="51">
        <v>170</v>
      </c>
      <c r="F2100" s="48"/>
      <c r="G2100" s="51"/>
      <c r="H2100" s="52"/>
      <c r="I2100" s="53">
        <v>45854</v>
      </c>
    </row>
    <row r="2101" spans="1:9">
      <c r="A2101" s="47">
        <v>784</v>
      </c>
      <c r="B2101" s="48" t="str">
        <f>IFERROR(VLOOKUP(A2101,CLIENTES!A:E,2,0),"CADASTRAR CLIENTE")</f>
        <v>LAB.ANAL.CLIN. ALBERT SABIN SC LTDA.</v>
      </c>
      <c r="C2101" s="54" t="s">
        <v>3</v>
      </c>
      <c r="D2101" s="54">
        <v>87823</v>
      </c>
      <c r="E2101" s="51">
        <v>1791</v>
      </c>
      <c r="F2101" s="48"/>
      <c r="G2101" s="51"/>
      <c r="H2101" s="52"/>
      <c r="I2101" s="53">
        <v>45854</v>
      </c>
    </row>
    <row r="2102" spans="1:9">
      <c r="A2102" s="47">
        <v>960</v>
      </c>
      <c r="B2102" s="48" t="str">
        <f>IFERROR(VLOOKUP(A2102,CLIENTES!A:E,2,0),"CADASTRAR CLIENTE")</f>
        <v>LUIS VALERIO FILHO-ME</v>
      </c>
      <c r="C2102" s="54" t="s">
        <v>3</v>
      </c>
      <c r="D2102" s="54">
        <v>87826</v>
      </c>
      <c r="E2102" s="51">
        <v>375.15</v>
      </c>
      <c r="F2102" s="48"/>
      <c r="G2102" s="51"/>
      <c r="H2102" s="52"/>
      <c r="I2102" s="53">
        <v>45854</v>
      </c>
    </row>
    <row r="2103" spans="1:9">
      <c r="A2103" s="47">
        <v>832</v>
      </c>
      <c r="B2103" s="48" t="str">
        <f>IFERROR(VLOOKUP(A2103,CLIENTES!A:E,2,0),"CADASTRAR CLIENTE")</f>
        <v>ASSOCIACAO DE ENSINO E CULTURA DE MATO GROSSO</v>
      </c>
      <c r="C2103" s="54" t="s">
        <v>3</v>
      </c>
      <c r="D2103" s="54">
        <v>87827</v>
      </c>
      <c r="E2103" s="51">
        <v>10022.82</v>
      </c>
      <c r="F2103" s="48"/>
      <c r="G2103" s="51"/>
      <c r="H2103" s="52"/>
      <c r="I2103" s="53">
        <v>45854</v>
      </c>
    </row>
    <row r="2104" spans="1:9">
      <c r="A2104" s="47">
        <v>50465</v>
      </c>
      <c r="B2104" s="48" t="str">
        <f>IFERROR(VLOOKUP(A2104,CLIENTES!A:E,2,0),"CADASTRAR CLIENTE")</f>
        <v>LABORATORIO DE ANALISES CLINICAS VIDA BIRIGUI LTDA</v>
      </c>
      <c r="C2104" s="54" t="s">
        <v>3</v>
      </c>
      <c r="D2104" s="54">
        <v>87830</v>
      </c>
      <c r="E2104" s="51">
        <v>856.58</v>
      </c>
      <c r="F2104" s="48"/>
      <c r="G2104" s="51"/>
      <c r="H2104" s="52"/>
      <c r="I2104" s="53">
        <v>45854</v>
      </c>
    </row>
    <row r="2105" spans="1:9">
      <c r="A2105" s="47">
        <v>432</v>
      </c>
      <c r="B2105" s="48" t="str">
        <f>IFERROR(VLOOKUP(A2105,CLIENTES!A:E,2,0),"CADASTRAR CLIENTE")</f>
        <v>LABORATORIO PASTEUR HEMATOLOGIA E MICROBIOLOGIA S/S LTDA</v>
      </c>
      <c r="C2105" s="54" t="s">
        <v>3</v>
      </c>
      <c r="D2105" s="54">
        <v>87842</v>
      </c>
      <c r="E2105" s="51">
        <v>310</v>
      </c>
      <c r="F2105" s="48"/>
      <c r="G2105" s="51"/>
      <c r="H2105" s="52"/>
      <c r="I2105" s="53">
        <v>45854</v>
      </c>
    </row>
    <row r="2106" spans="1:9">
      <c r="A2106" s="47">
        <v>822</v>
      </c>
      <c r="B2106" s="48" t="str">
        <f>IFERROR(VLOOKUP(A2106,CLIENTES!A:E,2,0),"CADASTRAR CLIENTE")</f>
        <v>SAO LUCAS LABORATORIO ANAL. CLIN. S/C LTDA</v>
      </c>
      <c r="C2106" s="54" t="s">
        <v>3</v>
      </c>
      <c r="D2106" s="54" t="s">
        <v>654</v>
      </c>
      <c r="E2106" s="51">
        <v>2422.9</v>
      </c>
      <c r="F2106" s="48"/>
      <c r="G2106" s="51"/>
      <c r="H2106" s="52"/>
      <c r="I2106" s="53">
        <v>45854</v>
      </c>
    </row>
    <row r="2107" spans="1:9">
      <c r="A2107" s="47">
        <v>50576</v>
      </c>
      <c r="B2107" s="48" t="str">
        <f>IFERROR(VLOOKUP(A2107,CLIENTES!A:E,2,0),"CADASTRAR CLIENTE")</f>
        <v>ANDRIAO CANEPPA E SILVA LTDA ME</v>
      </c>
      <c r="C2107" s="54" t="s">
        <v>3</v>
      </c>
      <c r="D2107" s="54">
        <v>87864</v>
      </c>
      <c r="E2107" s="51">
        <v>518.20000000000005</v>
      </c>
      <c r="F2107" s="48"/>
      <c r="G2107" s="51"/>
      <c r="H2107" s="52"/>
      <c r="I2107" s="53">
        <v>45855</v>
      </c>
    </row>
    <row r="2108" spans="1:9">
      <c r="A2108" s="47">
        <v>2415</v>
      </c>
      <c r="B2108" s="48" t="str">
        <f>IFERROR(VLOOKUP(A2108,CLIENTES!A:E,2,0),"CADASTRAR CLIENTE")</f>
        <v>ROSSETTO E BARROS LABORATORIO DE ANALISES CLINICAS LTDA</v>
      </c>
      <c r="C2108" s="54" t="s">
        <v>3</v>
      </c>
      <c r="D2108" s="54">
        <v>87761</v>
      </c>
      <c r="E2108" s="51">
        <v>898.8</v>
      </c>
      <c r="F2108" s="48"/>
      <c r="G2108" s="51"/>
      <c r="H2108" s="52"/>
      <c r="I2108" s="53">
        <v>45855</v>
      </c>
    </row>
    <row r="2109" spans="1:9">
      <c r="A2109" s="47">
        <v>50986</v>
      </c>
      <c r="B2109" s="48" t="str">
        <f>IFERROR(VLOOKUP(A2109,CLIENTES!A:E,2,0),"CADASTRAR CLIENTE")</f>
        <v>CADASTRAR CLIENTE</v>
      </c>
      <c r="C2109" s="54" t="s">
        <v>3</v>
      </c>
      <c r="D2109" s="54">
        <v>87884</v>
      </c>
      <c r="E2109" s="51">
        <v>5000</v>
      </c>
      <c r="F2109" s="48"/>
      <c r="G2109" s="51"/>
      <c r="H2109" s="52"/>
      <c r="I2109" s="53">
        <v>45855</v>
      </c>
    </row>
    <row r="2110" spans="1:9">
      <c r="A2110" s="47">
        <v>412</v>
      </c>
      <c r="B2110" s="48" t="str">
        <f>IFERROR(VLOOKUP(A2110,CLIENTES!A:E,2,0),"CADASTRAR CLIENTE")</f>
        <v>LAB.ANAL.CLIN.SAO MANUEL SC LTDA.</v>
      </c>
      <c r="C2110" s="54" t="s">
        <v>3</v>
      </c>
      <c r="D2110" s="54">
        <v>87881</v>
      </c>
      <c r="E2110" s="51">
        <v>1384.45</v>
      </c>
      <c r="F2110" s="48"/>
      <c r="G2110" s="51"/>
      <c r="H2110" s="52"/>
      <c r="I2110" s="53">
        <v>45856</v>
      </c>
    </row>
    <row r="2111" spans="1:9">
      <c r="A2111" s="47">
        <v>725</v>
      </c>
      <c r="B2111" s="48" t="str">
        <f>IFERROR(VLOOKUP(A2111,CLIENTES!A:E,2,0),"CADASTRAR CLIENTE")</f>
        <v>LAB. ANAL. CLIN. DR. ALUISIO CASELLA</v>
      </c>
      <c r="C2111" s="54" t="s">
        <v>3</v>
      </c>
      <c r="D2111" s="54">
        <v>87867</v>
      </c>
      <c r="E2111" s="51">
        <v>1592.19</v>
      </c>
      <c r="F2111" s="48"/>
      <c r="G2111" s="51"/>
      <c r="H2111" s="52"/>
      <c r="I2111" s="53">
        <v>45856</v>
      </c>
    </row>
    <row r="2112" spans="1:9">
      <c r="A2112" s="47">
        <v>762</v>
      </c>
      <c r="B2112" s="48" t="str">
        <f>IFERROR(VLOOKUP(A2112,CLIENTES!A:E,2,0),"CADASTRAR CLIENTE")</f>
        <v>STA. CASA MISERICORDIA DE ARACATUBA</v>
      </c>
      <c r="C2112" s="54" t="s">
        <v>3</v>
      </c>
      <c r="D2112" s="54">
        <v>88237</v>
      </c>
      <c r="E2112" s="51">
        <v>987.55</v>
      </c>
      <c r="F2112" s="48"/>
      <c r="G2112" s="51"/>
      <c r="H2112" s="52"/>
      <c r="I2112" s="53">
        <v>45856</v>
      </c>
    </row>
    <row r="2113" spans="1:9">
      <c r="A2113" s="47">
        <v>1056</v>
      </c>
      <c r="B2113" s="48" t="str">
        <f>IFERROR(VLOOKUP(A2113,CLIENTES!A:E,2,0),"CADASTRAR CLIENTE")</f>
        <v>CADASTRAR CLIENTE</v>
      </c>
      <c r="C2113" s="54" t="s">
        <v>3</v>
      </c>
      <c r="D2113" s="54">
        <v>87896</v>
      </c>
      <c r="E2113" s="51">
        <v>1518</v>
      </c>
      <c r="F2113" s="48"/>
      <c r="G2113" s="51"/>
      <c r="H2113" s="52"/>
      <c r="I2113" s="53">
        <v>45856</v>
      </c>
    </row>
    <row r="2114" spans="1:9">
      <c r="A2114" s="47">
        <v>2596</v>
      </c>
      <c r="B2114" s="48" t="str">
        <f>IFERROR(VLOOKUP(A2114,CLIENTES!A:E,2,0),"CADASTRAR CLIENTE")</f>
        <v>CADASTRAR CLIENTE</v>
      </c>
      <c r="C2114" s="54" t="s">
        <v>3</v>
      </c>
      <c r="D2114" s="54">
        <v>87895</v>
      </c>
      <c r="E2114" s="51">
        <v>226.7</v>
      </c>
      <c r="F2114" s="48"/>
      <c r="G2114" s="51"/>
      <c r="H2114" s="52"/>
      <c r="I2114" s="53">
        <v>45859</v>
      </c>
    </row>
    <row r="2115" spans="1:9">
      <c r="A2115" s="47">
        <v>1750</v>
      </c>
      <c r="B2115" s="48" t="str">
        <f>IFERROR(VLOOKUP(A2115,CLIENTES!A:E,2,0),"CADASTRAR CLIENTE")</f>
        <v>CADASTRAR CLIENTE</v>
      </c>
      <c r="C2115" s="54" t="s">
        <v>3</v>
      </c>
      <c r="D2115" s="54">
        <v>87928</v>
      </c>
      <c r="E2115" s="51">
        <v>1790.8</v>
      </c>
      <c r="F2115" s="48"/>
      <c r="G2115" s="51"/>
      <c r="H2115" s="52"/>
      <c r="I2115" s="53">
        <v>45859</v>
      </c>
    </row>
    <row r="2116" spans="1:9">
      <c r="A2116" s="47">
        <v>516</v>
      </c>
      <c r="B2116" s="48" t="str">
        <f>IFERROR(VLOOKUP(A2116,CLIENTES!A:E,2,0),"CADASTRAR CLIENTE")</f>
        <v>TECNOLAB PATOLOGIA CLINICA S/C LTDA</v>
      </c>
      <c r="C2116" s="54" t="s">
        <v>3</v>
      </c>
      <c r="D2116" s="54" t="s">
        <v>656</v>
      </c>
      <c r="E2116" s="51">
        <v>10684.4</v>
      </c>
      <c r="F2116" s="48"/>
      <c r="G2116" s="51"/>
      <c r="H2116" s="52"/>
      <c r="I2116" s="53">
        <v>45859</v>
      </c>
    </row>
    <row r="2117" spans="1:9">
      <c r="A2117" s="47">
        <v>480</v>
      </c>
      <c r="B2117" s="48" t="str">
        <f>IFERROR(VLOOKUP(A2117,CLIENTES!A:E,2,0),"CADASTRAR CLIENTE")</f>
        <v>LAB SAO LUCAS</v>
      </c>
      <c r="C2117" s="54" t="s">
        <v>3</v>
      </c>
      <c r="D2117" s="54" t="s">
        <v>657</v>
      </c>
      <c r="E2117" s="51">
        <v>1671.45</v>
      </c>
      <c r="F2117" s="48"/>
      <c r="G2117" s="51"/>
      <c r="H2117" s="52"/>
      <c r="I2117" s="53">
        <v>45859</v>
      </c>
    </row>
    <row r="2118" spans="1:9">
      <c r="A2118" s="47">
        <v>2199</v>
      </c>
      <c r="B2118" s="48" t="str">
        <f>IFERROR(VLOOKUP(A2118,CLIENTES!A:E,2,0),"CADASTRAR CLIENTE")</f>
        <v>SOCIEDADE EDUCACIONAL UBERABENSE</v>
      </c>
      <c r="C2118" s="54" t="s">
        <v>2</v>
      </c>
      <c r="D2118" s="54" t="s">
        <v>658</v>
      </c>
      <c r="E2118" s="51">
        <v>2040.75</v>
      </c>
      <c r="F2118" s="48"/>
      <c r="G2118" s="51"/>
      <c r="H2118" s="52"/>
      <c r="I2118" s="53">
        <v>45859</v>
      </c>
    </row>
    <row r="2119" spans="1:9">
      <c r="A2119" s="47">
        <v>618</v>
      </c>
      <c r="B2119" s="48" t="str">
        <f>IFERROR(VLOOKUP(A2119,CLIENTES!A:E,2,0),"CADASTRAR CLIENTE")</f>
        <v>LAB. ANAL. CLIN. POMPEIA</v>
      </c>
      <c r="C2119" s="54" t="s">
        <v>3</v>
      </c>
      <c r="D2119" s="54">
        <v>87963</v>
      </c>
      <c r="E2119" s="51">
        <v>1044</v>
      </c>
      <c r="F2119" s="48"/>
      <c r="G2119" s="51"/>
      <c r="H2119" s="52"/>
      <c r="I2119" s="53">
        <v>45859</v>
      </c>
    </row>
    <row r="2120" spans="1:9">
      <c r="A2120" s="47">
        <v>311</v>
      </c>
      <c r="B2120" s="48" t="str">
        <f>IFERROR(VLOOKUP(A2120,CLIENTES!A:E,2,0),"CADASTRAR CLIENTE")</f>
        <v>CENTRO DE ANAL.CLIN. UNILAB  SC LTDA.</v>
      </c>
      <c r="C2120" s="54" t="s">
        <v>3</v>
      </c>
      <c r="D2120" s="54">
        <v>87965</v>
      </c>
      <c r="E2120" s="51">
        <v>996</v>
      </c>
      <c r="F2120" s="48"/>
      <c r="G2120" s="51"/>
      <c r="H2120" s="52"/>
      <c r="I2120" s="53">
        <v>45859</v>
      </c>
    </row>
    <row r="2121" spans="1:9">
      <c r="A2121" s="47">
        <v>1813</v>
      </c>
      <c r="B2121" s="48" t="str">
        <f>IFERROR(VLOOKUP(A2121,CLIENTES!A:E,2,0),"CADASTRAR CLIENTE")</f>
        <v>BIOMED LAB.ANAL.CLIN. SC  LTDA</v>
      </c>
      <c r="C2121" s="54" t="s">
        <v>3</v>
      </c>
      <c r="D2121" s="54">
        <v>87950</v>
      </c>
      <c r="E2121" s="51">
        <v>1058.3</v>
      </c>
      <c r="F2121" s="48"/>
      <c r="G2121" s="51"/>
      <c r="H2121" s="52"/>
      <c r="I2121" s="53">
        <v>45860</v>
      </c>
    </row>
    <row r="2122" spans="1:9">
      <c r="A2122" s="47">
        <v>960</v>
      </c>
      <c r="B2122" s="48" t="str">
        <f>IFERROR(VLOOKUP(A2122,CLIENTES!A:E,2,0),"CADASTRAR CLIENTE")</f>
        <v>LUIS VALERIO FILHO-ME</v>
      </c>
      <c r="C2122" s="54" t="s">
        <v>3</v>
      </c>
      <c r="D2122" s="54" t="s">
        <v>659</v>
      </c>
      <c r="E2122" s="51">
        <v>184.48</v>
      </c>
      <c r="F2122" s="48"/>
      <c r="G2122" s="51"/>
      <c r="H2122" s="52"/>
      <c r="I2122" s="53">
        <v>45859</v>
      </c>
    </row>
    <row r="2123" spans="1:9">
      <c r="A2123" s="47">
        <v>761</v>
      </c>
      <c r="B2123" s="48" t="str">
        <f>IFERROR(VLOOKUP(A2123,CLIENTES!A:E,2,0),"CADASTRAR CLIENTE")</f>
        <v>EXAME CENTRO DIAG.M.ARACATUBA SC LTDA.</v>
      </c>
      <c r="C2123" s="54" t="s">
        <v>3</v>
      </c>
      <c r="D2123" s="54" t="s">
        <v>660</v>
      </c>
      <c r="E2123" s="59">
        <v>562.16</v>
      </c>
      <c r="F2123" s="48"/>
      <c r="G2123" s="51"/>
      <c r="H2123" s="52"/>
      <c r="I2123" s="53">
        <v>45860</v>
      </c>
    </row>
    <row r="2124" spans="1:9">
      <c r="A2124" s="47">
        <v>1147</v>
      </c>
      <c r="B2124" s="48" t="str">
        <f>IFERROR(VLOOKUP(A2124,CLIENTES!A:E,2,0),"CADASTRAR CLIENTE")</f>
        <v xml:space="preserve">cliente bia </v>
      </c>
      <c r="C2124" s="54" t="s">
        <v>3</v>
      </c>
      <c r="D2124" s="54" t="s">
        <v>661</v>
      </c>
      <c r="E2124" s="51">
        <v>836.22</v>
      </c>
      <c r="F2124" s="48"/>
      <c r="G2124" s="51"/>
      <c r="H2124" s="52"/>
      <c r="I2124" s="53">
        <v>45860</v>
      </c>
    </row>
    <row r="2125" spans="1:9">
      <c r="A2125" s="47">
        <v>874</v>
      </c>
      <c r="B2125" s="48" t="str">
        <f>IFERROR(VLOOKUP(A2125,CLIENTES!A:E,2,0),"CADASTRAR CLIENTE")</f>
        <v>LAB.ANAL.CLIN ABI JAUDI SC LTDA.</v>
      </c>
      <c r="C2125" s="54" t="s">
        <v>3</v>
      </c>
      <c r="D2125" s="54" t="s">
        <v>662</v>
      </c>
      <c r="E2125" s="51">
        <v>3828.88</v>
      </c>
      <c r="F2125" s="48"/>
      <c r="G2125" s="51"/>
      <c r="H2125" s="52"/>
      <c r="I2125" s="53">
        <v>45860</v>
      </c>
    </row>
    <row r="2126" spans="1:9">
      <c r="A2126" s="47">
        <v>2955</v>
      </c>
      <c r="B2126" s="48" t="str">
        <f>IFERROR(VLOOKUP(A2126,CLIENTES!A:E,2,0),"CADASTRAR CLIENTE")</f>
        <v>ASSOCIACAO SANTA CASA SAUDE DE ARACATUBA</v>
      </c>
      <c r="C2126" s="54" t="s">
        <v>3</v>
      </c>
      <c r="D2126" s="54">
        <v>88005</v>
      </c>
      <c r="E2126" s="51">
        <v>1356.75</v>
      </c>
      <c r="F2126" s="48"/>
      <c r="G2126" s="51"/>
      <c r="H2126" s="52"/>
      <c r="I2126" s="53">
        <v>45860</v>
      </c>
    </row>
    <row r="2127" spans="1:9">
      <c r="A2127" s="47">
        <v>2596</v>
      </c>
      <c r="B2127" s="48" t="str">
        <f>IFERROR(VLOOKUP(A2127,CLIENTES!A:E,2,0),"CADASTRAR CLIENTE")</f>
        <v>CADASTRAR CLIENTE</v>
      </c>
      <c r="C2127" s="54" t="s">
        <v>3</v>
      </c>
      <c r="D2127" s="54">
        <v>88009</v>
      </c>
      <c r="E2127" s="51">
        <v>145.6</v>
      </c>
      <c r="F2127" s="48"/>
      <c r="G2127" s="51"/>
      <c r="H2127" s="52"/>
      <c r="I2127" s="53">
        <v>45860</v>
      </c>
    </row>
    <row r="2128" spans="1:9">
      <c r="A2128" s="47">
        <v>412</v>
      </c>
      <c r="B2128" s="48" t="str">
        <f>IFERROR(VLOOKUP(A2128,CLIENTES!A:E,2,0),"CADASTRAR CLIENTE")</f>
        <v>LAB.ANAL.CLIN.SAO MANUEL SC LTDA.</v>
      </c>
      <c r="C2128" s="54" t="s">
        <v>3</v>
      </c>
      <c r="D2128" s="54">
        <v>88016</v>
      </c>
      <c r="E2128" s="51">
        <v>235.88</v>
      </c>
      <c r="F2128" s="48"/>
      <c r="G2128" s="51"/>
      <c r="H2128" s="52"/>
      <c r="I2128" s="53">
        <v>45860</v>
      </c>
    </row>
    <row r="2129" spans="1:9">
      <c r="A2129" s="47">
        <v>325</v>
      </c>
      <c r="B2129" s="48" t="str">
        <f>IFERROR(VLOOKUP(A2129,CLIENTES!A:E,2,0),"CADASTRAR CLIENTE")</f>
        <v>EXAME-LABORAT. DE ANAL. CLIN. CITODIAGNOSTICO S/S LTDA</v>
      </c>
      <c r="C2129" s="54" t="s">
        <v>3</v>
      </c>
      <c r="D2129" s="54" t="s">
        <v>663</v>
      </c>
      <c r="E2129" s="51">
        <v>1281.3</v>
      </c>
      <c r="F2129" s="48"/>
      <c r="G2129" s="51"/>
      <c r="H2129" s="52"/>
      <c r="I2129" s="53">
        <v>45860</v>
      </c>
    </row>
    <row r="2130" spans="1:9">
      <c r="A2130" s="47">
        <v>1533</v>
      </c>
      <c r="B2130" s="48" t="str">
        <f>IFERROR(VLOOKUP(A2130,CLIENTES!A:E,2,0),"CADASTRAR CLIENTE")</f>
        <v>LABORATORIO BIOANALISE DIAGNOSTICO LTDA</v>
      </c>
      <c r="C2130" s="54" t="s">
        <v>3</v>
      </c>
      <c r="D2130" s="54" t="s">
        <v>664</v>
      </c>
      <c r="E2130" s="51">
        <v>283.14999999999998</v>
      </c>
      <c r="F2130" s="48"/>
      <c r="G2130" s="51"/>
      <c r="H2130" s="52"/>
      <c r="I2130" s="53">
        <v>45861</v>
      </c>
    </row>
    <row r="2131" spans="1:9">
      <c r="A2131" s="47">
        <v>822</v>
      </c>
      <c r="B2131" s="48" t="str">
        <f>IFERROR(VLOOKUP(A2131,CLIENTES!A:E,2,0),"CADASTRAR CLIENTE")</f>
        <v>SAO LUCAS LABORATORIO ANAL. CLIN. S/C LTDA</v>
      </c>
      <c r="C2131" s="54" t="s">
        <v>3</v>
      </c>
      <c r="D2131" s="54">
        <v>88037</v>
      </c>
      <c r="E2131" s="51">
        <v>257.38</v>
      </c>
      <c r="F2131" s="48"/>
      <c r="G2131" s="51"/>
      <c r="H2131" s="52"/>
      <c r="I2131" s="53">
        <v>45861</v>
      </c>
    </row>
    <row r="2132" spans="1:9">
      <c r="A2132" s="47">
        <v>1026</v>
      </c>
      <c r="B2132" s="48" t="str">
        <f>IFERROR(VLOOKUP(A2132,CLIENTES!A:E,2,0),"CADASTRAR CLIENTE")</f>
        <v>LABSC SERVICOS LABORATORIAIS LTDA</v>
      </c>
      <c r="C2132" s="54" t="s">
        <v>3</v>
      </c>
      <c r="D2132" s="54">
        <v>88039</v>
      </c>
      <c r="E2132" s="51">
        <v>2707.07</v>
      </c>
      <c r="F2132" s="48"/>
      <c r="G2132" s="51"/>
      <c r="H2132" s="52"/>
      <c r="I2132" s="53">
        <v>45861</v>
      </c>
    </row>
    <row r="2133" spans="1:9">
      <c r="A2133" s="18">
        <v>1927</v>
      </c>
      <c r="B2133" s="19" t="str">
        <f>IFERROR(VLOOKUP(A2133,CLIENTES!A:E,2,0),"CADASTRAR CLIENTE")</f>
        <v>CADASTRAR CLIENTE</v>
      </c>
      <c r="C2133" s="60" t="s">
        <v>3</v>
      </c>
      <c r="D2133" s="60">
        <v>88040</v>
      </c>
      <c r="E2133" s="21">
        <v>138.5</v>
      </c>
      <c r="F2133" s="19"/>
      <c r="G2133" s="21"/>
      <c r="H2133" s="22"/>
      <c r="I2133" s="20">
        <v>45861</v>
      </c>
    </row>
    <row r="2134" spans="1:9">
      <c r="A2134" s="47">
        <v>463</v>
      </c>
      <c r="B2134" s="48" t="str">
        <f>IFERROR(VLOOKUP(A2134,CLIENTES!A:E,2,0),"CADASTRAR CLIENTE")</f>
        <v>MASUDA &amp; MASUDA LABORATORIO CLINICO LTDA</v>
      </c>
      <c r="C2134" s="54" t="s">
        <v>3</v>
      </c>
      <c r="D2134" s="54">
        <v>88047</v>
      </c>
      <c r="E2134" s="51">
        <v>627.48</v>
      </c>
      <c r="F2134" s="48"/>
      <c r="G2134" s="51"/>
      <c r="H2134" s="52"/>
      <c r="I2134" s="53">
        <v>45862</v>
      </c>
    </row>
    <row r="2135" spans="1:9">
      <c r="A2135" s="47">
        <v>834</v>
      </c>
      <c r="B2135" s="48" t="str">
        <f>IFERROR(VLOOKUP(A2135,CLIENTES!A:E,2,0),"CADASTRAR CLIENTE")</f>
        <v>CADASTRAR CLIENTE</v>
      </c>
      <c r="C2135" s="54" t="s">
        <v>3</v>
      </c>
      <c r="D2135" s="54" t="s">
        <v>665</v>
      </c>
      <c r="E2135" s="51">
        <v>4102.6899999999996</v>
      </c>
      <c r="F2135" s="48"/>
      <c r="G2135" s="51"/>
      <c r="H2135" s="52"/>
      <c r="I2135" s="53">
        <v>45862</v>
      </c>
    </row>
    <row r="2136" spans="1:9">
      <c r="A2136" s="47">
        <v>2911</v>
      </c>
      <c r="B2136" s="48" t="str">
        <f>IFERROR(VLOOKUP(A2136,CLIENTES!A:E,2,0),"CADASTRAR CLIENTE")</f>
        <v>BIOLIFE-LABORATORIO DE ANALISES CLINICAS LTDA</v>
      </c>
      <c r="C2136" s="54" t="s">
        <v>3</v>
      </c>
      <c r="D2136" s="54" t="s">
        <v>666</v>
      </c>
      <c r="E2136" s="51">
        <v>1457.65</v>
      </c>
      <c r="F2136" s="48"/>
      <c r="G2136" s="51"/>
      <c r="H2136" s="52"/>
      <c r="I2136" s="53">
        <v>45862</v>
      </c>
    </row>
    <row r="2137" spans="1:9">
      <c r="A2137" s="47">
        <v>50558</v>
      </c>
      <c r="B2137" s="48" t="str">
        <f>IFERROR(VLOOKUP(A2137,CLIENTES!A:E,2,0),"CADASTRAR CLIENTE")</f>
        <v>FUNDACAO PAULISTA DE TECNOLOGIA E EDUCACAO</v>
      </c>
      <c r="C2137" s="54" t="s">
        <v>3</v>
      </c>
      <c r="D2137" s="54">
        <v>88084</v>
      </c>
      <c r="E2137" s="51">
        <v>920</v>
      </c>
      <c r="F2137" s="48"/>
      <c r="G2137" s="51"/>
      <c r="H2137" s="52"/>
      <c r="I2137" s="53">
        <v>45862</v>
      </c>
    </row>
    <row r="2138" spans="1:9">
      <c r="A2138" s="47">
        <v>1623</v>
      </c>
      <c r="B2138" s="48" t="str">
        <f>IFERROR(VLOOKUP(A2138,CLIENTES!A:E,2,0),"CADASTRAR CLIENTE")</f>
        <v>LAB.ANAL.CLIN. E REP. BADY BASSIT LTDA</v>
      </c>
      <c r="C2138" s="54" t="s">
        <v>3</v>
      </c>
      <c r="D2138" s="54">
        <v>88123</v>
      </c>
      <c r="E2138" s="51">
        <v>1748.8</v>
      </c>
      <c r="F2138" s="48"/>
      <c r="G2138" s="51"/>
      <c r="H2138" s="52"/>
      <c r="I2138" s="53">
        <v>45863</v>
      </c>
    </row>
    <row r="2139" spans="1:9">
      <c r="A2139" s="47">
        <v>50219</v>
      </c>
      <c r="B2139" s="48" t="str">
        <f>IFERROR(VLOOKUP(A2139,CLIENTES!A:E,2,0),"CADASTRAR CLIENTE")</f>
        <v>UNIPREV LAB DE ANALISES LOCACAO DE BENS E REPAROS LTDA EPP</v>
      </c>
      <c r="C2139" s="54" t="s">
        <v>3</v>
      </c>
      <c r="D2139" s="54">
        <v>88116</v>
      </c>
      <c r="E2139" s="51">
        <v>218</v>
      </c>
      <c r="F2139" s="48"/>
      <c r="G2139" s="51"/>
      <c r="H2139" s="52"/>
      <c r="I2139" s="53">
        <v>45863</v>
      </c>
    </row>
    <row r="2140" spans="1:9">
      <c r="A2140" s="47">
        <v>1788</v>
      </c>
      <c r="B2140" s="48" t="str">
        <f>IFERROR(VLOOKUP(A2140,CLIENTES!A:E,2,0),"CADASTRAR CLIENTE")</f>
        <v>ZANATA &amp; REIS LABORCLINICA LTDA</v>
      </c>
      <c r="C2140" s="54" t="s">
        <v>3</v>
      </c>
      <c r="D2140" s="54">
        <v>88126</v>
      </c>
      <c r="E2140" s="51">
        <v>1199.3</v>
      </c>
      <c r="F2140" s="48"/>
      <c r="G2140" s="51"/>
      <c r="H2140" s="52"/>
      <c r="I2140" s="53">
        <v>45863</v>
      </c>
    </row>
    <row r="2141" spans="1:9">
      <c r="A2141" s="47">
        <v>1842</v>
      </c>
      <c r="B2141" s="48" t="str">
        <f>IFERROR(VLOOKUP(A2141,CLIENTES!A:E,2,0),"CADASTRAR CLIENTE")</f>
        <v>LABORATORIO UNILABVET EIRELI</v>
      </c>
      <c r="C2141" s="54" t="s">
        <v>3</v>
      </c>
      <c r="D2141" s="54">
        <v>88136</v>
      </c>
      <c r="E2141" s="51">
        <v>414</v>
      </c>
      <c r="F2141" s="48"/>
      <c r="G2141" s="51"/>
      <c r="H2141" s="52"/>
      <c r="I2141" s="53">
        <v>45863</v>
      </c>
    </row>
    <row r="2142" spans="1:9">
      <c r="A2142" s="47">
        <v>434</v>
      </c>
      <c r="B2142" s="48" t="str">
        <f>IFERROR(VLOOKUP(A2142,CLIENTES!A:E,2,0),"CADASTRAR CLIENTE")</f>
        <v>BIOLABOR LAB. ANAL. CLIN. SC LTDA.</v>
      </c>
      <c r="C2142" s="54" t="s">
        <v>3</v>
      </c>
      <c r="D2142" s="54">
        <v>88140</v>
      </c>
      <c r="E2142" s="51">
        <v>1526.89</v>
      </c>
      <c r="F2142" s="48"/>
      <c r="G2142" s="51"/>
      <c r="H2142" s="52"/>
      <c r="I2142" s="53">
        <v>45863</v>
      </c>
    </row>
    <row r="2143" spans="1:9">
      <c r="A2143" s="47">
        <v>1240</v>
      </c>
      <c r="B2143" s="48" t="str">
        <f>IFERROR(VLOOKUP(A2143,CLIENTES!A:E,2,0),"CADASTRAR CLIENTE")</f>
        <v>MONICA VIEIRA DE CAMPOS REBELO-ME</v>
      </c>
      <c r="C2143" s="54" t="s">
        <v>3</v>
      </c>
      <c r="D2143" s="54">
        <v>88135</v>
      </c>
      <c r="E2143" s="51">
        <v>2450.21</v>
      </c>
      <c r="F2143" s="48"/>
      <c r="G2143" s="51"/>
      <c r="H2143" s="52"/>
      <c r="I2143" s="53">
        <v>45863</v>
      </c>
    </row>
    <row r="2144" spans="1:9">
      <c r="A2144" s="47">
        <v>1090</v>
      </c>
      <c r="B2144" s="48" t="str">
        <f>IFERROR(VLOOKUP(A2144,CLIENTES!A:E,2,0),"CADASTRAR CLIENTE")</f>
        <v>CADASTRAR CLIENTE</v>
      </c>
      <c r="C2144" s="54" t="s">
        <v>3</v>
      </c>
      <c r="D2144" s="54">
        <v>88150</v>
      </c>
      <c r="E2144" s="51">
        <v>557.79999999999995</v>
      </c>
      <c r="F2144" s="48"/>
      <c r="G2144" s="51"/>
      <c r="H2144" s="52"/>
      <c r="I2144" s="53">
        <v>45866</v>
      </c>
    </row>
    <row r="2145" spans="1:9">
      <c r="A2145" s="62">
        <v>500243</v>
      </c>
      <c r="B2145" s="48" t="str">
        <f>IFERROR(VLOOKUP(A2145,CLIENTES!A:E,2,0),"CADASTRAR CLIENTE")</f>
        <v>UNIMED DE IBITINGA COOPERATIVA DE TRABALHO MEDICO</v>
      </c>
      <c r="C2145" s="54" t="s">
        <v>3</v>
      </c>
      <c r="D2145" s="54">
        <v>87993</v>
      </c>
      <c r="E2145" s="51">
        <v>1029.04</v>
      </c>
      <c r="F2145" s="48"/>
      <c r="G2145" s="51"/>
      <c r="H2145" s="52"/>
      <c r="I2145" s="53">
        <v>45866</v>
      </c>
    </row>
    <row r="2146" spans="1:9">
      <c r="A2146" s="47">
        <v>823</v>
      </c>
      <c r="B2146" s="48" t="str">
        <f>IFERROR(VLOOKUP(A2146,CLIENTES!A:E,2,0),"CADASTRAR CLIENTE")</f>
        <v>SANCHES x SANCHES S/C LTDA</v>
      </c>
      <c r="C2146" s="54" t="s">
        <v>2</v>
      </c>
      <c r="D2146" s="54">
        <v>87934</v>
      </c>
      <c r="E2146" s="51">
        <v>2279.4499999999998</v>
      </c>
      <c r="F2146" s="48"/>
      <c r="G2146" s="51"/>
      <c r="H2146" s="52"/>
      <c r="I2146" s="53">
        <v>45866</v>
      </c>
    </row>
    <row r="2147" spans="1:9">
      <c r="A2147" s="47">
        <v>1502</v>
      </c>
      <c r="B2147" s="48" t="str">
        <f>IFERROR(VLOOKUP(A2147,CLIENTES!A:E,2,0),"CADASTRAR CLIENTE")</f>
        <v>ASSOC.CASA DE SAUDE BEN. DE INDIAPORA</v>
      </c>
      <c r="C2147" s="54" t="s">
        <v>3</v>
      </c>
      <c r="D2147" s="54">
        <v>88157</v>
      </c>
      <c r="E2147" s="51">
        <v>3457.88</v>
      </c>
      <c r="F2147" s="48"/>
      <c r="G2147" s="51"/>
      <c r="H2147" s="52"/>
      <c r="I2147" s="53">
        <v>45866</v>
      </c>
    </row>
    <row r="2148" spans="1:9">
      <c r="A2148" s="47">
        <v>1854</v>
      </c>
      <c r="B2148" s="48" t="str">
        <f>IFERROR(VLOOKUP(A2148,CLIENTES!A:E,2,0),"CADASTRAR CLIENTE")</f>
        <v>CADASTRAR CLIENTE</v>
      </c>
      <c r="C2148" s="54" t="s">
        <v>3</v>
      </c>
      <c r="D2148" s="54">
        <v>88159</v>
      </c>
      <c r="E2148" s="51">
        <v>417.71</v>
      </c>
      <c r="F2148" s="48"/>
      <c r="G2148" s="51"/>
      <c r="H2148" s="52"/>
      <c r="I2148" s="53">
        <v>45866</v>
      </c>
    </row>
    <row r="2149" spans="1:9">
      <c r="A2149" s="47">
        <v>2980</v>
      </c>
      <c r="B2149" s="48" t="str">
        <f>IFERROR(VLOOKUP(A2149,CLIENTES!A:E,2,0),"CADASTRAR CLIENTE")</f>
        <v>ALMEIDA &amp; FLAITT LABORATORIOS DE ANALISES CLINICAS LTDA</v>
      </c>
      <c r="C2149" s="54" t="s">
        <v>2</v>
      </c>
      <c r="D2149" s="54" t="s">
        <v>667</v>
      </c>
      <c r="E2149" s="51">
        <v>757.31</v>
      </c>
      <c r="F2149" s="48"/>
      <c r="G2149" s="51"/>
      <c r="H2149" s="52"/>
      <c r="I2149" s="53">
        <v>45866</v>
      </c>
    </row>
    <row r="2150" spans="1:9">
      <c r="A2150" s="47">
        <v>980</v>
      </c>
      <c r="B2150" s="48" t="str">
        <f>IFERROR(VLOOKUP(A2150,CLIENTES!A:E,2,0),"CADASTRAR CLIENTE")</f>
        <v>LAB. GUARARAPES  ANAL. CLIN. SC LTDA</v>
      </c>
      <c r="C2150" s="54" t="s">
        <v>3</v>
      </c>
      <c r="D2150" s="54">
        <v>87612</v>
      </c>
      <c r="E2150" s="51">
        <v>939.2</v>
      </c>
      <c r="F2150" s="48"/>
      <c r="G2150" s="51"/>
      <c r="H2150" s="52"/>
      <c r="I2150" s="53">
        <v>45866</v>
      </c>
    </row>
    <row r="2151" spans="1:9">
      <c r="A2151" s="47">
        <v>50554</v>
      </c>
      <c r="B2151" s="48" t="str">
        <f>IFERROR(VLOOKUP(A2151,CLIENTES!A:E,2,0),"CADASTRAR CLIENTE")</f>
        <v>SAO ROQUE MEDICINA DIAGNOSTICA</v>
      </c>
      <c r="C2151" s="54" t="s">
        <v>3</v>
      </c>
      <c r="D2151" s="54" t="s">
        <v>668</v>
      </c>
      <c r="E2151" s="51">
        <v>845</v>
      </c>
      <c r="F2151" s="48"/>
      <c r="G2151" s="51"/>
      <c r="H2151" s="52"/>
      <c r="I2151" s="53">
        <v>45867</v>
      </c>
    </row>
    <row r="2152" spans="1:9">
      <c r="A2152" s="47">
        <v>1147</v>
      </c>
      <c r="B2152" s="48" t="str">
        <f>IFERROR(VLOOKUP(A2152,CLIENTES!A:E,2,0),"CADASTRAR CLIENTE")</f>
        <v xml:space="preserve">cliente bia </v>
      </c>
      <c r="C2152" s="54" t="s">
        <v>3</v>
      </c>
      <c r="D2152" s="54">
        <v>88205</v>
      </c>
      <c r="E2152" s="51">
        <v>568.6</v>
      </c>
      <c r="F2152" s="48"/>
      <c r="G2152" s="51"/>
      <c r="H2152" s="52"/>
      <c r="I2152" s="53">
        <v>45867</v>
      </c>
    </row>
    <row r="2153" spans="1:9">
      <c r="A2153" s="47">
        <v>475</v>
      </c>
      <c r="B2153" s="48" t="str">
        <f>IFERROR(VLOOKUP(A2153,CLIENTES!A:E,2,0),"CADASTRAR CLIENTE")</f>
        <v>LABORATORIO DE ANALISES CLINICAS SRC LTDA</v>
      </c>
      <c r="C2153" s="54" t="s">
        <v>3</v>
      </c>
      <c r="D2153" s="54" t="s">
        <v>669</v>
      </c>
      <c r="E2153" s="51">
        <v>11863.36</v>
      </c>
      <c r="F2153" s="48"/>
      <c r="G2153" s="51"/>
      <c r="H2153" s="52"/>
      <c r="I2153" s="53">
        <v>45867</v>
      </c>
    </row>
    <row r="2154" spans="1:9">
      <c r="A2154" s="47">
        <v>1164</v>
      </c>
      <c r="B2154" s="48" t="str">
        <f>IFERROR(VLOOKUP(A2154,CLIENTES!A:E,2,0),"CADASTRAR CLIENTE")</f>
        <v>LAB. ANAL. CLIN. SAO LOURENCO S/C LTDA</v>
      </c>
      <c r="C2154" s="54" t="s">
        <v>3</v>
      </c>
      <c r="D2154" s="54" t="s">
        <v>670</v>
      </c>
      <c r="E2154" s="51">
        <v>321.77999999999997</v>
      </c>
      <c r="F2154" s="48"/>
      <c r="G2154" s="51"/>
      <c r="H2154" s="52"/>
      <c r="I2154" s="53">
        <v>45867</v>
      </c>
    </row>
    <row r="2155" spans="1:9">
      <c r="A2155" s="47">
        <v>311</v>
      </c>
      <c r="B2155" s="48" t="str">
        <f>IFERROR(VLOOKUP(A2155,CLIENTES!A:E,2,0),"CADASTRAR CLIENTE")</f>
        <v>CENTRO DE ANAL.CLIN. UNILAB  SC LTDA.</v>
      </c>
      <c r="C2155" s="54" t="s">
        <v>3</v>
      </c>
      <c r="D2155" s="54" t="s">
        <v>671</v>
      </c>
      <c r="E2155" s="51">
        <v>2324.0100000000002</v>
      </c>
      <c r="F2155" s="48"/>
      <c r="G2155" s="51"/>
      <c r="H2155" s="52"/>
      <c r="I2155" s="53">
        <v>45867</v>
      </c>
    </row>
    <row r="2156" spans="1:9">
      <c r="A2156" s="47">
        <v>834</v>
      </c>
      <c r="B2156" s="48" t="str">
        <f>IFERROR(VLOOKUP(A2156,CLIENTES!A:E,2,0),"CADASTRAR CLIENTE")</f>
        <v>CADASTRAR CLIENTE</v>
      </c>
      <c r="C2156" s="54" t="s">
        <v>3</v>
      </c>
      <c r="D2156" s="54">
        <v>88219</v>
      </c>
      <c r="E2156" s="51">
        <v>98</v>
      </c>
      <c r="F2156" s="48"/>
      <c r="G2156" s="51"/>
      <c r="H2156" s="52"/>
      <c r="I2156" s="53">
        <v>45867</v>
      </c>
    </row>
    <row r="2157" spans="1:9">
      <c r="A2157" s="47">
        <v>1493</v>
      </c>
      <c r="B2157" s="48" t="str">
        <f>IFERROR(VLOOKUP(A2157,CLIENTES!A:E,2,0),"CADASTRAR CLIENTE")</f>
        <v>CEDIMA  CENTRO DE DIAG MONTE AZUL ANAL CLIN E CIT</v>
      </c>
      <c r="C2157" s="54" t="s">
        <v>3</v>
      </c>
      <c r="D2157" s="54">
        <v>88226</v>
      </c>
      <c r="E2157" s="51">
        <v>1833.18</v>
      </c>
      <c r="F2157" s="48"/>
      <c r="G2157" s="51"/>
      <c r="H2157" s="52"/>
      <c r="I2157" s="53">
        <v>45867</v>
      </c>
    </row>
    <row r="2158" spans="1:9">
      <c r="A2158" s="47">
        <v>761</v>
      </c>
      <c r="B2158" s="48" t="str">
        <f>IFERROR(VLOOKUP(A2158,CLIENTES!A:E,2,0),"CADASTRAR CLIENTE")</f>
        <v>EXAME CENTRO DIAG.M.ARACATUBA SC LTDA.</v>
      </c>
      <c r="C2158" s="54" t="s">
        <v>3</v>
      </c>
      <c r="D2158" s="54">
        <v>88210</v>
      </c>
      <c r="E2158" s="51">
        <v>1578</v>
      </c>
      <c r="F2158" s="48"/>
      <c r="G2158" s="51"/>
      <c r="H2158" s="52"/>
      <c r="I2158" s="53">
        <v>45867</v>
      </c>
    </row>
    <row r="2159" spans="1:9">
      <c r="A2159" s="47">
        <v>50185</v>
      </c>
      <c r="B2159" s="48" t="str">
        <f>IFERROR(VLOOKUP(A2159,CLIENTES!A:E,2,0),"CADASTRAR CLIENTE")</f>
        <v>ANIMALAB SS LTDA</v>
      </c>
      <c r="C2159" s="54" t="s">
        <v>3</v>
      </c>
      <c r="D2159" s="54">
        <v>88233</v>
      </c>
      <c r="E2159" s="51">
        <v>255.8</v>
      </c>
      <c r="F2159" s="48"/>
      <c r="G2159" s="51"/>
      <c r="H2159" s="52"/>
      <c r="I2159" s="53">
        <v>45867</v>
      </c>
    </row>
    <row r="2160" spans="1:9">
      <c r="A2160" s="47">
        <v>50291</v>
      </c>
      <c r="B2160" s="48" t="str">
        <f>IFERROR(VLOOKUP(A2160,CLIENTES!A:E,2,0),"CADASTRAR CLIENTE")</f>
        <v>CADASTRAR CLIENTE</v>
      </c>
      <c r="C2160" s="54" t="s">
        <v>3</v>
      </c>
      <c r="D2160" s="54">
        <v>88246</v>
      </c>
      <c r="E2160" s="51">
        <v>471.61</v>
      </c>
      <c r="F2160" s="48"/>
      <c r="G2160" s="51"/>
      <c r="H2160" s="52"/>
      <c r="I2160" s="53">
        <v>45867</v>
      </c>
    </row>
    <row r="2161" spans="1:9">
      <c r="A2161" s="47">
        <v>1652</v>
      </c>
      <c r="B2161" s="48" t="str">
        <f>IFERROR(VLOOKUP(A2161,CLIENTES!A:E,2,0),"CADASTRAR CLIENTE")</f>
        <v>LAB. SANTA CLARA ANAL.CLIN.</v>
      </c>
      <c r="C2161" s="54" t="s">
        <v>3</v>
      </c>
      <c r="D2161" s="54" t="s">
        <v>672</v>
      </c>
      <c r="E2161" s="51">
        <v>1322.95</v>
      </c>
      <c r="F2161" s="48"/>
      <c r="G2161" s="51"/>
      <c r="H2161" s="52"/>
      <c r="I2161" s="53">
        <v>45868</v>
      </c>
    </row>
    <row r="2162" spans="1:9">
      <c r="A2162" s="47">
        <v>2022</v>
      </c>
      <c r="B2162" s="48" t="str">
        <f>IFERROR(VLOOKUP(A2162,CLIENTES!A:E,2,0),"CADASTRAR CLIENTE")</f>
        <v>LAB. MEDICO DR. MARICONDI S/C LTDA.</v>
      </c>
      <c r="C2162" s="54" t="s">
        <v>3</v>
      </c>
      <c r="D2162" s="54">
        <v>88117</v>
      </c>
      <c r="E2162" s="51">
        <v>1373.52</v>
      </c>
      <c r="F2162" s="48"/>
      <c r="G2162" s="51"/>
      <c r="H2162" s="52"/>
      <c r="I2162" s="53">
        <v>45869</v>
      </c>
    </row>
    <row r="2163" spans="1:9">
      <c r="A2163" s="47">
        <v>618</v>
      </c>
      <c r="B2163" s="48" t="str">
        <f>IFERROR(VLOOKUP(A2163,CLIENTES!A:E,2,0),"CADASTRAR CLIENTE")</f>
        <v>LAB. ANAL. CLIN. POMPEIA</v>
      </c>
      <c r="C2163" s="54" t="s">
        <v>3</v>
      </c>
      <c r="D2163" s="54">
        <v>88292</v>
      </c>
      <c r="E2163" s="51">
        <v>4015.6</v>
      </c>
      <c r="F2163" s="48"/>
      <c r="G2163" s="51"/>
      <c r="H2163" s="52"/>
      <c r="I2163" s="53">
        <v>45869</v>
      </c>
    </row>
    <row r="2164" spans="1:9">
      <c r="A2164" s="47">
        <v>2199</v>
      </c>
      <c r="B2164" s="48" t="str">
        <f>IFERROR(VLOOKUP(A2164,CLIENTES!A:E,2,0),"CADASTRAR CLIENTE")</f>
        <v>SOCIEDADE EDUCACIONAL UBERABENSE</v>
      </c>
      <c r="C2164" s="54" t="s">
        <v>3</v>
      </c>
      <c r="D2164" s="54" t="s">
        <v>673</v>
      </c>
      <c r="E2164" s="51">
        <v>657.8</v>
      </c>
      <c r="F2164" s="48"/>
      <c r="G2164" s="51"/>
      <c r="H2164" s="52"/>
      <c r="I2164" s="53">
        <v>45869</v>
      </c>
    </row>
    <row r="2165" spans="1:9">
      <c r="A2165" s="47">
        <v>50418</v>
      </c>
      <c r="B2165" s="48" t="str">
        <f>IFERROR(VLOOKUP(A2165,CLIENTES!A:E,2,0),"CADASTRAR CLIENTE")</f>
        <v>LABORATORIO SAO LUCAS DE BROTAS SS LTDA</v>
      </c>
      <c r="C2165" s="54" t="s">
        <v>3</v>
      </c>
      <c r="D2165" s="54">
        <v>88305</v>
      </c>
      <c r="E2165" s="51">
        <v>3294.1</v>
      </c>
      <c r="F2165" s="48"/>
      <c r="G2165" s="51"/>
      <c r="H2165" s="52"/>
      <c r="I2165" s="53">
        <v>45869</v>
      </c>
    </row>
    <row r="2166" spans="1:9">
      <c r="A2166" s="47">
        <v>3017</v>
      </c>
      <c r="B2166" s="48" t="str">
        <f>IFERROR(VLOOKUP(A2166,CLIENTES!A:E,2,0),"CADASTRAR CLIENTE")</f>
        <v>IMUNOLAB LABORATORIO DE ANALISES CLINICAS LTDA ME</v>
      </c>
      <c r="C2166" s="54" t="s">
        <v>3</v>
      </c>
      <c r="D2166" s="54">
        <v>88311</v>
      </c>
      <c r="E2166" s="51">
        <v>1811.63</v>
      </c>
      <c r="F2166" s="48"/>
      <c r="G2166" s="51"/>
      <c r="H2166" s="52"/>
      <c r="I2166" s="53">
        <v>45869</v>
      </c>
    </row>
    <row r="2167" spans="1:9">
      <c r="A2167" s="47">
        <v>687</v>
      </c>
      <c r="B2167" s="48" t="str">
        <f>IFERROR(VLOOKUP(A2167,CLIENTES!A:E,2,0),"CADASTRAR CLIENTE")</f>
        <v>LAB ANAL CLIN VENDRAMINI S/S LTDA</v>
      </c>
      <c r="C2167" s="54" t="s">
        <v>3</v>
      </c>
      <c r="D2167" s="54">
        <v>88293</v>
      </c>
      <c r="E2167" s="51">
        <v>730</v>
      </c>
      <c r="F2167" s="48"/>
      <c r="G2167" s="51"/>
      <c r="H2167" s="52"/>
      <c r="I2167" s="53">
        <v>45869</v>
      </c>
    </row>
    <row r="2168" spans="1:9">
      <c r="A2168" s="47">
        <v>2702</v>
      </c>
      <c r="B2168" s="48" t="str">
        <f>IFERROR(VLOOKUP(A2168,CLIENTES!A:E,2,0),"CADASTRAR CLIENTE")</f>
        <v>SANTA CASA DE MISER. DE TAQUARITUBA</v>
      </c>
      <c r="C2168" s="54" t="s">
        <v>3</v>
      </c>
      <c r="D2168" s="54">
        <v>88315</v>
      </c>
      <c r="E2168" s="51">
        <v>1036</v>
      </c>
      <c r="F2168" s="48"/>
      <c r="G2168" s="51"/>
      <c r="H2168" s="52"/>
      <c r="I2168" s="53">
        <v>45869</v>
      </c>
    </row>
    <row r="2169" spans="1:9">
      <c r="A2169" s="47">
        <v>1493</v>
      </c>
      <c r="B2169" s="48" t="str">
        <f>IFERROR(VLOOKUP(A2169,CLIENTES!A:E,2,0),"CADASTRAR CLIENTE")</f>
        <v>CEDIMA  CENTRO DE DIAG MONTE AZUL ANAL CLIN E CIT</v>
      </c>
      <c r="C2169" s="54" t="s">
        <v>3</v>
      </c>
      <c r="D2169" s="54">
        <v>88329</v>
      </c>
      <c r="E2169" s="51"/>
      <c r="F2169" s="48"/>
      <c r="G2169" s="51">
        <v>7200</v>
      </c>
      <c r="H2169" s="52"/>
      <c r="I2169" s="53">
        <v>45870</v>
      </c>
    </row>
    <row r="2170" spans="1:9">
      <c r="A2170" s="47">
        <v>500005</v>
      </c>
      <c r="B2170" s="48" t="str">
        <f>IFERROR(VLOOKUP(A2170,CLIENTES!A:E,2,0),"CADASTRAR CLIENTE")</f>
        <v>ASSOCIACAO EDUCACIONAL DE ENSINO SUPERIOR</v>
      </c>
      <c r="C2170" s="54" t="s">
        <v>3</v>
      </c>
      <c r="D2170" s="54">
        <v>87916</v>
      </c>
      <c r="E2170" s="51"/>
      <c r="F2170" s="48"/>
      <c r="G2170" s="51">
        <v>9747.81</v>
      </c>
      <c r="H2170" s="52"/>
      <c r="I2170" s="53">
        <v>45870</v>
      </c>
    </row>
    <row r="2171" spans="1:9">
      <c r="A2171" s="47">
        <v>834</v>
      </c>
      <c r="B2171" s="48" t="str">
        <f>IFERROR(VLOOKUP(A2171,CLIENTES!A:E,2,0),"CADASTRAR CLIENTE")</f>
        <v>CADASTRAR CLIENTE</v>
      </c>
      <c r="C2171" s="54" t="s">
        <v>3</v>
      </c>
      <c r="D2171" s="54">
        <v>88250</v>
      </c>
      <c r="E2171" s="51">
        <v>170</v>
      </c>
      <c r="F2171" s="48"/>
      <c r="G2171" s="51"/>
      <c r="H2171" s="52"/>
      <c r="I2171" s="53">
        <v>45870</v>
      </c>
    </row>
    <row r="2172" spans="1:9">
      <c r="A2172" s="47">
        <v>474</v>
      </c>
      <c r="B2172" s="48" t="str">
        <f>IFERROR(VLOOKUP(A2172,CLIENTES!A:E,2,0),"CADASTRAR CLIENTE")</f>
        <v>LABORATI LAB. ANAL. CLIN. TIETE S/C LTDA.</v>
      </c>
      <c r="C2172" s="54" t="s">
        <v>2</v>
      </c>
      <c r="D2172" s="54" t="s">
        <v>674</v>
      </c>
      <c r="E2172" s="51">
        <v>1368.84</v>
      </c>
      <c r="F2172" s="48"/>
      <c r="G2172" s="51"/>
      <c r="H2172" s="52"/>
      <c r="I2172" s="53">
        <v>45870</v>
      </c>
    </row>
    <row r="2173" spans="1:9">
      <c r="A2173" s="47">
        <v>832</v>
      </c>
      <c r="B2173" s="48" t="str">
        <f>IFERROR(VLOOKUP(A2173,CLIENTES!A:E,2,0),"CADASTRAR CLIENTE")</f>
        <v>ASSOCIACAO DE ENSINO E CULTURA DE MATO GROSSO</v>
      </c>
      <c r="C2173" s="54" t="s">
        <v>3</v>
      </c>
      <c r="D2173" s="54">
        <v>87827</v>
      </c>
      <c r="E2173" s="51">
        <v>2526</v>
      </c>
      <c r="F2173" s="48"/>
      <c r="G2173" s="51"/>
      <c r="H2173" s="52"/>
      <c r="I2173" s="53">
        <v>45870</v>
      </c>
    </row>
    <row r="2174" spans="1:9">
      <c r="A2174" s="47">
        <v>412</v>
      </c>
      <c r="B2174" s="48" t="str">
        <f>IFERROR(VLOOKUP(A2174,CLIENTES!A:E,2,0),"CADASTRAR CLIENTE")</f>
        <v>LAB.ANAL.CLIN.SAO MANUEL SC LTDA.</v>
      </c>
      <c r="C2174" s="54" t="s">
        <v>3</v>
      </c>
      <c r="D2174" s="54" t="s">
        <v>675</v>
      </c>
      <c r="E2174" s="51">
        <v>470</v>
      </c>
      <c r="F2174" s="48"/>
      <c r="G2174" s="51"/>
      <c r="H2174" s="52"/>
      <c r="I2174" s="53">
        <v>45870</v>
      </c>
    </row>
    <row r="2175" spans="1:9">
      <c r="A2175" s="47">
        <v>2163</v>
      </c>
      <c r="B2175" s="48" t="str">
        <f>IFERROR(VLOOKUP(A2175,CLIENTES!A:E,2,0),"CADASTRAR CLIENTE")</f>
        <v>BIO-LAB SAO JUDAS TADEU S/C LTDA - ME</v>
      </c>
      <c r="C2175" s="54" t="s">
        <v>328</v>
      </c>
      <c r="D2175" s="54">
        <v>88230</v>
      </c>
      <c r="E2175" s="51">
        <v>2215</v>
      </c>
      <c r="F2175" s="48"/>
      <c r="G2175" s="51"/>
      <c r="H2175" s="52"/>
      <c r="I2175" s="53">
        <v>45870</v>
      </c>
    </row>
    <row r="2176" spans="1:9">
      <c r="A2176" s="47">
        <v>746</v>
      </c>
      <c r="B2176" s="48" t="str">
        <f>IFERROR(VLOOKUP(A2176,CLIENTES!A:E,2,0),"CADASTRAR CLIENTE")</f>
        <v>LAB.ANAL.CLIN.BIOCLIN SC LTDA.</v>
      </c>
      <c r="C2176" s="54" t="s">
        <v>328</v>
      </c>
      <c r="D2176" s="54" t="s">
        <v>676</v>
      </c>
      <c r="E2176" s="51">
        <v>5283.94</v>
      </c>
      <c r="F2176" s="48"/>
      <c r="G2176" s="51"/>
      <c r="H2176" s="52"/>
      <c r="I2176" s="53">
        <v>45870</v>
      </c>
    </row>
    <row r="2177" spans="1:9">
      <c r="A2177" s="47">
        <v>704</v>
      </c>
      <c r="B2177" s="48" t="str">
        <f>IFERROR(VLOOKUP(A2177,CLIENTES!A:E,2,0),"CADASTRAR CLIENTE")</f>
        <v>LAB. ONUMA E BASILIO S/C LTDA</v>
      </c>
      <c r="C2177" s="54" t="s">
        <v>328</v>
      </c>
      <c r="D2177" s="54" t="s">
        <v>677</v>
      </c>
      <c r="E2177" s="51">
        <v>1218.31</v>
      </c>
      <c r="F2177" s="48"/>
      <c r="G2177" s="51"/>
      <c r="H2177" s="52"/>
      <c r="I2177" s="53">
        <v>45873</v>
      </c>
    </row>
    <row r="2178" spans="1:9">
      <c r="A2178" s="47">
        <v>3153</v>
      </c>
      <c r="B2178" s="48" t="str">
        <f>IFERROR(VLOOKUP(A2178,CLIENTES!A:E,2,0),"CADASTRAR CLIENTE")</f>
        <v>UNIMED DE TUPA COOPERATIVA DE TRABALHO MEDICO</v>
      </c>
      <c r="C2178" s="54" t="s">
        <v>3</v>
      </c>
      <c r="D2178" s="54">
        <v>88402</v>
      </c>
      <c r="E2178" s="51">
        <v>1318.3</v>
      </c>
      <c r="F2178" s="48"/>
      <c r="G2178" s="51"/>
      <c r="H2178" s="52"/>
      <c r="I2178" s="53">
        <v>45873</v>
      </c>
    </row>
    <row r="2179" spans="1:9">
      <c r="A2179" s="47">
        <v>50576</v>
      </c>
      <c r="B2179" s="48" t="str">
        <f>IFERROR(VLOOKUP(A2179,CLIENTES!A:E,2,0),"CADASTRAR CLIENTE")</f>
        <v>ANDRIAO CANEPPA E SILVA LTDA ME</v>
      </c>
      <c r="C2179" s="54" t="s">
        <v>3</v>
      </c>
      <c r="D2179" s="54" t="s">
        <v>678</v>
      </c>
      <c r="E2179" s="51">
        <v>777.95</v>
      </c>
      <c r="F2179" s="48"/>
      <c r="G2179" s="51"/>
      <c r="H2179" s="52"/>
      <c r="I2179" s="53">
        <v>45873</v>
      </c>
    </row>
    <row r="2180" spans="1:9">
      <c r="A2180" s="47">
        <v>784</v>
      </c>
      <c r="B2180" s="48" t="str">
        <f>IFERROR(VLOOKUP(A2180,CLIENTES!A:E,2,0),"CADASTRAR CLIENTE")</f>
        <v>LAB.ANAL.CLIN. ALBERT SABIN SC LTDA.</v>
      </c>
      <c r="C2180" s="54" t="s">
        <v>3</v>
      </c>
      <c r="D2180" s="54">
        <v>88493</v>
      </c>
      <c r="E2180" s="51">
        <v>3894</v>
      </c>
      <c r="F2180" s="48"/>
      <c r="G2180" s="51"/>
      <c r="H2180" s="52"/>
      <c r="I2180" s="53">
        <v>45875</v>
      </c>
    </row>
    <row r="2181" spans="1:9">
      <c r="A2181" s="47">
        <v>311</v>
      </c>
      <c r="B2181" s="48" t="str">
        <f>IFERROR(VLOOKUP(A2181,CLIENTES!A:E,2,0),"CADASTRAR CLIENTE")</f>
        <v>CENTRO DE ANAL.CLIN. UNILAB  SC LTDA.</v>
      </c>
      <c r="C2181" s="54" t="s">
        <v>3</v>
      </c>
      <c r="D2181" s="54">
        <v>88489</v>
      </c>
      <c r="E2181" s="51">
        <v>1288.8499999999999</v>
      </c>
      <c r="F2181" s="48"/>
      <c r="G2181" s="51"/>
      <c r="H2181" s="52"/>
      <c r="I2181" s="53">
        <v>45875</v>
      </c>
    </row>
    <row r="2182" spans="1:9">
      <c r="A2182" s="47">
        <v>52</v>
      </c>
      <c r="B2182" s="48" t="str">
        <f>IFERROR(VLOOKUP(A2182,CLIENTES!A:E,2,0),"CADASTRAR CLIENTE")</f>
        <v>HEMOVA HEMOTERAPIA VETERINARIA AVANÇADA E DIAGNOSTICOS</v>
      </c>
      <c r="C2182" s="54" t="s">
        <v>2</v>
      </c>
      <c r="D2182" s="54">
        <v>88287</v>
      </c>
      <c r="E2182" s="7">
        <v>928.85</v>
      </c>
      <c r="F2182" s="48"/>
      <c r="G2182" s="51"/>
      <c r="H2182" s="52"/>
      <c r="I2182" s="53">
        <v>45875</v>
      </c>
    </row>
    <row r="2183" spans="1:9">
      <c r="A2183" s="47">
        <v>50554</v>
      </c>
      <c r="B2183" s="48" t="str">
        <f>IFERROR(VLOOKUP(A2183,CLIENTES!A:E,2,0),"CADASTRAR CLIENTE")</f>
        <v>SAO ROQUE MEDICINA DIAGNOSTICA</v>
      </c>
      <c r="C2183" s="54" t="s">
        <v>3</v>
      </c>
      <c r="D2183" s="54" t="s">
        <v>679</v>
      </c>
      <c r="E2183" s="51">
        <v>5369.19</v>
      </c>
      <c r="F2183" s="48"/>
      <c r="G2183" s="51"/>
      <c r="H2183" s="52"/>
      <c r="I2183" s="53">
        <v>45875</v>
      </c>
    </row>
    <row r="2184" spans="1:9">
      <c r="A2184" s="47">
        <v>1164</v>
      </c>
      <c r="B2184" s="48" t="str">
        <f>IFERROR(VLOOKUP(A2184,CLIENTES!A:E,2,0),"CADASTRAR CLIENTE")</f>
        <v>LAB. ANAL. CLIN. SAO LOURENCO S/C LTDA</v>
      </c>
      <c r="C2184" s="54" t="s">
        <v>3</v>
      </c>
      <c r="D2184" s="54" t="s">
        <v>680</v>
      </c>
      <c r="E2184" s="51">
        <v>869.61</v>
      </c>
      <c r="F2184" s="48"/>
      <c r="G2184" s="51"/>
      <c r="H2184" s="52"/>
      <c r="I2184" s="53">
        <v>45875</v>
      </c>
    </row>
    <row r="2185" spans="1:9">
      <c r="A2185" s="47">
        <v>762</v>
      </c>
      <c r="B2185" s="48" t="str">
        <f>IFERROR(VLOOKUP(A2185,CLIENTES!A:E,2,0),"CADASTRAR CLIENTE")</f>
        <v>STA. CASA MISERICORDIA DE ARACATUBA</v>
      </c>
      <c r="C2185" s="54" t="s">
        <v>2</v>
      </c>
      <c r="D2185" s="54">
        <v>88504</v>
      </c>
      <c r="E2185" s="51">
        <v>1477.15</v>
      </c>
      <c r="F2185" s="48"/>
      <c r="G2185" s="51"/>
      <c r="H2185" s="52"/>
      <c r="I2185" s="53">
        <v>45875</v>
      </c>
    </row>
    <row r="2186" spans="1:9">
      <c r="A2186" s="47">
        <v>905</v>
      </c>
      <c r="B2186" s="48" t="str">
        <f>IFERROR(VLOOKUP(A2186,CLIENTES!A:E,2,0),"CADASTRAR CLIENTE")</f>
        <v>LAB AN CLIN DR NESTOR FERRAREZZI FILHO  SC LTDA</v>
      </c>
      <c r="C2186" s="54" t="s">
        <v>2</v>
      </c>
      <c r="D2186" s="54" t="s">
        <v>681</v>
      </c>
      <c r="E2186" s="51">
        <v>827.09</v>
      </c>
      <c r="F2186" s="48"/>
      <c r="G2186" s="51"/>
      <c r="H2186" s="52"/>
      <c r="I2186" s="53">
        <v>45874</v>
      </c>
    </row>
    <row r="2187" spans="1:9">
      <c r="A2187" s="47">
        <v>3153</v>
      </c>
      <c r="B2187" s="48" t="str">
        <f>IFERROR(VLOOKUP(A2187,CLIENTES!A:E,2,0),"CADASTRAR CLIENTE")</f>
        <v>UNIMED DE TUPA COOPERATIVA DE TRABALHO MEDICO</v>
      </c>
      <c r="C2187" s="54" t="s">
        <v>3</v>
      </c>
      <c r="D2187" s="54">
        <v>88402</v>
      </c>
      <c r="E2187" s="51">
        <v>1204.9000000000001</v>
      </c>
      <c r="F2187" s="48"/>
      <c r="G2187" s="51"/>
      <c r="H2187" s="52"/>
      <c r="I2187" s="53">
        <v>45874</v>
      </c>
    </row>
    <row r="2188" spans="1:9">
      <c r="A2188" s="62">
        <v>500243</v>
      </c>
      <c r="B2188" s="48" t="str">
        <f>IFERROR(VLOOKUP(A2188,CLIENTES!A:E,2,0),"CADASTRAR CLIENTE")</f>
        <v>UNIMED DE IBITINGA COOPERATIVA DE TRABALHO MEDICO</v>
      </c>
      <c r="C2188" s="54" t="s">
        <v>3</v>
      </c>
      <c r="D2188" s="54">
        <v>101473</v>
      </c>
      <c r="E2188" s="51">
        <v>229.2</v>
      </c>
      <c r="F2188" s="48"/>
      <c r="G2188" s="51"/>
      <c r="H2188" s="52"/>
      <c r="I2188" s="53">
        <v>45874</v>
      </c>
    </row>
    <row r="2189" spans="1:9">
      <c r="A2189" s="47">
        <v>784</v>
      </c>
      <c r="B2189" s="48" t="str">
        <f>IFERROR(VLOOKUP(A2189,CLIENTES!A:E,2,0),"CADASTRAR CLIENTE")</f>
        <v>LAB.ANAL.CLIN. ALBERT SABIN SC LTDA.</v>
      </c>
      <c r="C2189" s="54" t="s">
        <v>3</v>
      </c>
      <c r="D2189" s="54">
        <v>88440</v>
      </c>
      <c r="E2189" s="51">
        <v>2853.56</v>
      </c>
      <c r="F2189" s="48"/>
      <c r="G2189" s="51"/>
      <c r="H2189" s="52"/>
      <c r="I2189" s="53">
        <v>45874</v>
      </c>
    </row>
    <row r="2190" spans="1:9">
      <c r="A2190" s="47">
        <v>906</v>
      </c>
      <c r="B2190" s="48" t="str">
        <f>IFERROR(VLOOKUP(A2190,CLIENTES!A:E,2,0),"CADASTRAR CLIENTE")</f>
        <v>LABORATORIO ANAL. CLIN. DESCALVADO LTDA</v>
      </c>
      <c r="C2190" s="54" t="s">
        <v>3</v>
      </c>
      <c r="D2190" s="54" t="s">
        <v>682</v>
      </c>
      <c r="E2190" s="51">
        <v>1886.26</v>
      </c>
      <c r="F2190" s="48"/>
      <c r="G2190" s="51"/>
      <c r="H2190" s="52"/>
      <c r="I2190" s="53">
        <v>45874</v>
      </c>
    </row>
    <row r="2191" spans="1:9">
      <c r="A2191" s="47">
        <v>2415</v>
      </c>
      <c r="B2191" s="48" t="str">
        <f>IFERROR(VLOOKUP(A2191,CLIENTES!A:E,2,0),"CADASTRAR CLIENTE")</f>
        <v>ROSSETTO E BARROS LABORATORIO DE ANALISES CLINICAS LTDA</v>
      </c>
      <c r="C2191" s="54" t="s">
        <v>3</v>
      </c>
      <c r="D2191" s="54">
        <v>101458</v>
      </c>
      <c r="E2191" s="51">
        <v>622</v>
      </c>
      <c r="F2191" s="48"/>
      <c r="G2191" s="51"/>
      <c r="H2191" s="52"/>
      <c r="I2191" s="53">
        <v>45874</v>
      </c>
    </row>
    <row r="2192" spans="1:9">
      <c r="A2192" s="47">
        <v>618</v>
      </c>
      <c r="B2192" s="48" t="str">
        <f>IFERROR(VLOOKUP(A2192,CLIENTES!A:E,2,0),"CADASTRAR CLIENTE")</f>
        <v>LAB. ANAL. CLIN. POMPEIA</v>
      </c>
      <c r="C2192" s="54" t="s">
        <v>3</v>
      </c>
      <c r="D2192" s="54" t="s">
        <v>683</v>
      </c>
      <c r="E2192" s="51">
        <v>1902.05</v>
      </c>
      <c r="F2192" s="48"/>
      <c r="G2192" s="51"/>
      <c r="H2192" s="52"/>
      <c r="I2192" s="53">
        <v>45874</v>
      </c>
    </row>
    <row r="2193" spans="1:9">
      <c r="A2193" s="47">
        <v>2199</v>
      </c>
      <c r="B2193" s="48" t="str">
        <f>IFERROR(VLOOKUP(A2193,CLIENTES!A:E,2,0),"CADASTRAR CLIENTE")</f>
        <v>SOCIEDADE EDUCACIONAL UBERABENSE</v>
      </c>
      <c r="C2193" s="54" t="s">
        <v>3</v>
      </c>
      <c r="D2193" s="54">
        <v>101356</v>
      </c>
      <c r="E2193" s="51">
        <v>207.9</v>
      </c>
      <c r="F2193" s="48"/>
      <c r="G2193" s="51"/>
      <c r="H2193" s="52"/>
      <c r="I2193" s="53">
        <v>45875</v>
      </c>
    </row>
    <row r="2194" spans="1:9">
      <c r="A2194" s="47">
        <v>1026</v>
      </c>
      <c r="B2194" s="48" t="str">
        <f>IFERROR(VLOOKUP(A2194,CLIENTES!A:E,2,0),"CADASTRAR CLIENTE")</f>
        <v>LABSC SERVICOS LABORATORIAIS LTDA</v>
      </c>
      <c r="C2194" s="54" t="s">
        <v>3</v>
      </c>
      <c r="D2194" s="54">
        <v>88526</v>
      </c>
      <c r="E2194" s="51">
        <v>2389</v>
      </c>
      <c r="F2194" s="48"/>
      <c r="G2194" s="51"/>
      <c r="H2194" s="52"/>
      <c r="I2194" s="53">
        <v>45875</v>
      </c>
    </row>
    <row r="2195" spans="1:9">
      <c r="A2195" s="47">
        <v>475</v>
      </c>
      <c r="B2195" s="48" t="str">
        <f>IFERROR(VLOOKUP(A2195,CLIENTES!A:E,2,0),"CADASTRAR CLIENTE")</f>
        <v>LABORATORIO DE ANALISES CLINICAS SRC LTDA</v>
      </c>
      <c r="C2195" s="54" t="s">
        <v>3</v>
      </c>
      <c r="D2195" s="54" t="s">
        <v>684</v>
      </c>
      <c r="E2195" s="51">
        <v>505.8</v>
      </c>
      <c r="F2195" s="48"/>
      <c r="G2195" s="51"/>
      <c r="H2195" s="52"/>
      <c r="I2195" s="53">
        <v>45876</v>
      </c>
    </row>
    <row r="2196" spans="1:9">
      <c r="A2196" s="47">
        <v>9063</v>
      </c>
      <c r="B2196" s="48" t="str">
        <f>IFERROR(VLOOKUP(A2196,CLIENTES!A:E,2,0),"CADASTRAR CLIENTE")</f>
        <v>LABORATORIO SAMIA LTDA</v>
      </c>
      <c r="C2196" s="54" t="s">
        <v>3</v>
      </c>
      <c r="D2196" s="54">
        <v>88530</v>
      </c>
      <c r="E2196" s="51">
        <v>404.4</v>
      </c>
      <c r="F2196" s="48"/>
      <c r="G2196" s="51"/>
      <c r="H2196" s="52"/>
      <c r="I2196" s="53">
        <v>45876</v>
      </c>
    </row>
    <row r="2197" spans="1:9">
      <c r="A2197" s="47">
        <v>575</v>
      </c>
      <c r="B2197" s="48" t="str">
        <f>IFERROR(VLOOKUP(A2197,CLIENTES!A:E,2,0),"CADASTRAR CLIENTE")</f>
        <v>DR MUNHOZ HOSPITAL VETERINARIO E PET SHOP</v>
      </c>
      <c r="C2197" s="54" t="s">
        <v>3</v>
      </c>
      <c r="D2197" s="54">
        <v>88544</v>
      </c>
      <c r="E2197" s="51">
        <v>714.94</v>
      </c>
      <c r="F2197" s="48"/>
      <c r="G2197" s="51"/>
      <c r="H2197" s="52"/>
      <c r="I2197" s="53">
        <v>45876</v>
      </c>
    </row>
    <row r="2198" spans="1:9">
      <c r="A2198" s="47">
        <v>2702</v>
      </c>
      <c r="B2198" s="48" t="str">
        <f>IFERROR(VLOOKUP(A2198,CLIENTES!A:E,2,0),"CADASTRAR CLIENTE")</f>
        <v>SANTA CASA DE MISER. DE TAQUARITUBA</v>
      </c>
      <c r="C2198" s="54" t="s">
        <v>3</v>
      </c>
      <c r="D2198" s="54" t="s">
        <v>685</v>
      </c>
      <c r="E2198" s="51">
        <v>472</v>
      </c>
      <c r="F2198" s="48"/>
      <c r="G2198" s="51"/>
      <c r="H2198" s="52"/>
      <c r="I2198" s="53">
        <v>45876</v>
      </c>
    </row>
    <row r="2199" spans="1:9">
      <c r="A2199" s="47">
        <v>761</v>
      </c>
      <c r="B2199" s="48" t="str">
        <f>IFERROR(VLOOKUP(A2199,CLIENTES!A:E,2,0),"CADASTRAR CLIENTE")</f>
        <v>EXAME CENTRO DIAG.M.ARACATUBA SC LTDA.</v>
      </c>
      <c r="C2199" s="54" t="s">
        <v>3</v>
      </c>
      <c r="D2199" s="54" t="s">
        <v>686</v>
      </c>
      <c r="E2199" s="51">
        <v>487.74</v>
      </c>
      <c r="F2199" s="48"/>
      <c r="G2199" s="51"/>
      <c r="H2199" s="52"/>
      <c r="I2199" s="53">
        <v>45876</v>
      </c>
    </row>
    <row r="2200" spans="1:9">
      <c r="A2200" s="47">
        <v>1206</v>
      </c>
      <c r="B2200" s="48" t="str">
        <f>IFERROR(VLOOKUP(A2200,CLIENTES!A:E,2,0),"CADASTRAR CLIENTE")</f>
        <v>LABORATORIO RIO NEGRO CENTER DE MARILIA  LTDA</v>
      </c>
      <c r="C2200" s="54" t="s">
        <v>328</v>
      </c>
      <c r="D2200" s="54">
        <v>88587</v>
      </c>
      <c r="E2200" s="51">
        <v>1425.94</v>
      </c>
      <c r="F2200" s="48"/>
      <c r="G2200" s="51"/>
      <c r="H2200" s="52"/>
      <c r="I2200" s="53">
        <v>45876</v>
      </c>
    </row>
    <row r="2201" spans="1:9">
      <c r="A2201" s="47">
        <v>724</v>
      </c>
      <c r="B2201" s="48" t="str">
        <f>IFERROR(VLOOKUP(A2201,CLIENTES!A:E,2,0),"CADASTRAR CLIENTE")</f>
        <v>LAB. ANAL. CLIN. DRA SILVIA M.MANZATO LARANJO SC LTDA.</v>
      </c>
      <c r="C2201" s="54" t="s">
        <v>3</v>
      </c>
      <c r="D2201" s="54" t="s">
        <v>687</v>
      </c>
      <c r="E2201" s="51">
        <v>596.27</v>
      </c>
      <c r="F2201" s="48"/>
      <c r="G2201" s="51"/>
      <c r="H2201" s="52"/>
      <c r="I2201" s="53">
        <v>45876</v>
      </c>
    </row>
    <row r="2202" spans="1:9">
      <c r="A2202" s="47">
        <v>690</v>
      </c>
      <c r="B2202" s="48" t="str">
        <f>IFERROR(VLOOKUP(A2202,CLIENTES!A:E,2,0),"CADASTRAR CLIENTE")</f>
        <v>SAO ROQUE MEDICINA DIAGNOSTICA LTDA EPP</v>
      </c>
      <c r="C2202" s="54" t="s">
        <v>3</v>
      </c>
      <c r="D2202" s="54" t="s">
        <v>688</v>
      </c>
      <c r="E2202" s="51">
        <v>2529.44</v>
      </c>
      <c r="F2202" s="48"/>
      <c r="G2202" s="51"/>
      <c r="H2202" s="52"/>
      <c r="I2202" s="53">
        <v>45877</v>
      </c>
    </row>
    <row r="2203" spans="1:9">
      <c r="A2203" s="47">
        <v>1122</v>
      </c>
      <c r="B2203" s="48" t="str">
        <f>IFERROR(VLOOKUP(A2203,CLIENTES!A:E,2,0),"CADASTRAR CLIENTE")</f>
        <v>FUNDEPAG</v>
      </c>
      <c r="C2203" s="54" t="s">
        <v>2</v>
      </c>
      <c r="D2203" s="54">
        <v>88484</v>
      </c>
      <c r="E2203" s="51">
        <v>2547.9</v>
      </c>
      <c r="F2203" s="48"/>
      <c r="G2203" s="51"/>
      <c r="H2203" s="52"/>
      <c r="I2203" s="53">
        <v>45877</v>
      </c>
    </row>
    <row r="2204" spans="1:9">
      <c r="A2204" s="47">
        <v>3475</v>
      </c>
      <c r="B2204" s="48" t="str">
        <f>IFERROR(VLOOKUP(A2204,CLIENTES!A:E,2,0),"CADASTRAR CLIENTE")</f>
        <v>LQF LABORATORIO QUIMICO FARMACEUTICO RIO PRETO EIRELI - ME</v>
      </c>
      <c r="C2204" s="54" t="s">
        <v>3</v>
      </c>
      <c r="D2204" s="54">
        <v>88360</v>
      </c>
      <c r="E2204" s="51">
        <v>544.79999999999995</v>
      </c>
      <c r="F2204" s="48"/>
      <c r="G2204" s="51"/>
      <c r="H2204" s="52"/>
      <c r="I2204" s="53">
        <v>45877</v>
      </c>
    </row>
    <row r="2205" spans="1:9">
      <c r="A2205" s="47">
        <v>572</v>
      </c>
      <c r="B2205" s="48" t="str">
        <f>IFERROR(VLOOKUP(A2205,CLIENTES!A:E,2,0),"CADASTRAR CLIENTE")</f>
        <v>LABORATORIO MULTIANALISES LTDA-ME</v>
      </c>
      <c r="C2205" s="54" t="s">
        <v>3</v>
      </c>
      <c r="D2205" s="54">
        <v>88570</v>
      </c>
      <c r="E2205" s="51">
        <v>220.25</v>
      </c>
      <c r="F2205" s="48"/>
      <c r="G2205" s="51"/>
      <c r="H2205" s="52"/>
      <c r="I2205" s="53">
        <v>45877</v>
      </c>
    </row>
    <row r="2206" spans="1:9">
      <c r="A2206" s="47">
        <v>3194</v>
      </c>
      <c r="B2206" s="48" t="str">
        <f>IFERROR(VLOOKUP(A2206,CLIENTES!A:E,2,0),"CADASTRAR CLIENTE")</f>
        <v>CENTRO DE DIAGNOSTICOS CONTROLE LTDA</v>
      </c>
      <c r="C2206" s="54" t="s">
        <v>3</v>
      </c>
      <c r="D2206" s="54">
        <v>88624</v>
      </c>
      <c r="E2206" s="51">
        <v>882</v>
      </c>
      <c r="F2206" s="48"/>
      <c r="G2206" s="51"/>
      <c r="H2206" s="52"/>
      <c r="I2206" s="53">
        <v>45880</v>
      </c>
    </row>
    <row r="2207" spans="1:9">
      <c r="A2207" s="47">
        <v>906</v>
      </c>
      <c r="B2207" s="48" t="str">
        <f>IFERROR(VLOOKUP(A2207,CLIENTES!A:E,2,0),"CADASTRAR CLIENTE")</f>
        <v>LABORATORIO ANAL. CLIN. DESCALVADO LTDA</v>
      </c>
      <c r="C2207" s="54" t="s">
        <v>3</v>
      </c>
      <c r="D2207" s="54">
        <v>88446</v>
      </c>
      <c r="E2207" s="51">
        <v>45</v>
      </c>
      <c r="F2207" s="48"/>
      <c r="G2207" s="51"/>
      <c r="H2207" s="52"/>
      <c r="I2207" s="53">
        <v>45880</v>
      </c>
    </row>
    <row r="2208" spans="1:9">
      <c r="A2208" s="47">
        <v>197</v>
      </c>
      <c r="B2208" s="48" t="str">
        <f>IFERROR(VLOOKUP(A2208,CLIENTES!A:E,2,0),"CADASTRAR CLIENTE")</f>
        <v>LAB.ANAL.CLIN.DE ITAPETININGA</v>
      </c>
      <c r="C2208" s="54" t="s">
        <v>3</v>
      </c>
      <c r="D2208" s="54">
        <v>88299</v>
      </c>
      <c r="E2208" s="51">
        <v>1780</v>
      </c>
      <c r="F2208" s="48"/>
      <c r="G2208" s="51"/>
      <c r="H2208" s="52"/>
      <c r="I2208" s="53">
        <v>45880</v>
      </c>
    </row>
    <row r="2209" spans="1:9">
      <c r="A2209" s="47">
        <v>1026</v>
      </c>
      <c r="B2209" s="48" t="str">
        <f>IFERROR(VLOOKUP(A2209,CLIENTES!A:E,2,0),"CADASTRAR CLIENTE")</f>
        <v>LABSC SERVICOS LABORATORIAIS LTDA</v>
      </c>
      <c r="C2209" s="54" t="s">
        <v>3</v>
      </c>
      <c r="D2209" s="54">
        <v>88636</v>
      </c>
      <c r="E2209" s="51">
        <v>3010.68</v>
      </c>
      <c r="F2209" s="48"/>
      <c r="G2209" s="51"/>
      <c r="H2209" s="52"/>
      <c r="I2209" s="53">
        <v>45880</v>
      </c>
    </row>
    <row r="2210" spans="1:9">
      <c r="A2210" s="47">
        <v>746</v>
      </c>
      <c r="B2210" s="48" t="str">
        <f>IFERROR(VLOOKUP(A2210,CLIENTES!A:E,2,0),"CADASTRAR CLIENTE")</f>
        <v>LAB.ANAL.CLIN.BIOCLIN SC LTDA.</v>
      </c>
      <c r="C2210" s="54" t="s">
        <v>3</v>
      </c>
      <c r="D2210" s="54">
        <v>88649</v>
      </c>
      <c r="E2210" s="51">
        <v>164.5</v>
      </c>
      <c r="F2210" s="48"/>
      <c r="G2210" s="51"/>
      <c r="H2210" s="52"/>
      <c r="I2210" s="53">
        <v>45880</v>
      </c>
    </row>
    <row r="2211" spans="1:9">
      <c r="A2211" s="47">
        <v>1813</v>
      </c>
      <c r="B2211" s="48" t="str">
        <f>IFERROR(VLOOKUP(A2211,CLIENTES!A:E,2,0),"CADASTRAR CLIENTE")</f>
        <v>BIOMED LAB.ANAL.CLIN. SC  LTDA</v>
      </c>
      <c r="C2211" s="54" t="s">
        <v>3</v>
      </c>
      <c r="D2211" s="54">
        <v>88621</v>
      </c>
      <c r="E2211" s="51">
        <v>1165.8499999999999</v>
      </c>
      <c r="F2211" s="48"/>
      <c r="G2211" s="51"/>
      <c r="H2211" s="52"/>
      <c r="I2211" s="53">
        <v>45880</v>
      </c>
    </row>
    <row r="2212" spans="1:9">
      <c r="A2212" s="47">
        <v>1616</v>
      </c>
      <c r="B2212" s="48" t="str">
        <f>IFERROR(VLOOKUP(A2212,CLIENTES!A:E,2,0),"CADASTRAR CLIENTE")</f>
        <v>NOVO HORIZONTE LAB.ANAL.CLIN.S/C LTDA.</v>
      </c>
      <c r="C2212" s="54" t="s">
        <v>3</v>
      </c>
      <c r="D2212" s="54">
        <v>88642</v>
      </c>
      <c r="E2212" s="51">
        <v>778.65</v>
      </c>
      <c r="F2212" s="48"/>
      <c r="G2212" s="51"/>
      <c r="H2212" s="52"/>
      <c r="I2212" s="53">
        <v>45880</v>
      </c>
    </row>
    <row r="2213" spans="1:9">
      <c r="A2213" s="47">
        <v>50219</v>
      </c>
      <c r="B2213" s="48" t="str">
        <f>IFERROR(VLOOKUP(A2213,CLIENTES!A:E,2,0),"CADASTRAR CLIENTE")</f>
        <v>UNIPREV LAB DE ANALISES LOCACAO DE BENS E REPAROS LTDA EPP</v>
      </c>
      <c r="C2213" s="54" t="s">
        <v>3</v>
      </c>
      <c r="D2213" s="54" t="s">
        <v>689</v>
      </c>
      <c r="E2213" s="51">
        <v>989.47</v>
      </c>
      <c r="F2213" s="48"/>
      <c r="G2213" s="51"/>
      <c r="H2213" s="52"/>
      <c r="I2213" s="53">
        <v>45881</v>
      </c>
    </row>
    <row r="2214" spans="1:9">
      <c r="A2214" s="47">
        <v>50554</v>
      </c>
      <c r="B2214" s="48" t="str">
        <f>IFERROR(VLOOKUP(A2214,CLIENTES!A:E,2,0),"CADASTRAR CLIENTE")</f>
        <v>SAO ROQUE MEDICINA DIAGNOSTICA</v>
      </c>
      <c r="C2214" s="54" t="s">
        <v>3</v>
      </c>
      <c r="D2214" s="54">
        <v>88192</v>
      </c>
      <c r="E2214" s="51">
        <v>189</v>
      </c>
      <c r="F2214" s="48"/>
      <c r="G2214" s="51"/>
      <c r="H2214" s="52"/>
      <c r="I2214" s="53">
        <v>45881</v>
      </c>
    </row>
    <row r="2215" spans="1:9">
      <c r="A2215" s="47">
        <v>1989</v>
      </c>
      <c r="B2215" s="48" t="str">
        <f>IFERROR(VLOOKUP(A2215,CLIENTES!A:E,2,0),"CADASTRAR CLIENTE")</f>
        <v>SAO FRANCISCO ANAL. CLIN.</v>
      </c>
      <c r="C2215" s="54" t="s">
        <v>3</v>
      </c>
      <c r="D2215" s="54" t="s">
        <v>690</v>
      </c>
      <c r="E2215" s="51">
        <v>965.2</v>
      </c>
      <c r="F2215" s="48"/>
      <c r="G2215" s="51"/>
      <c r="H2215" s="52"/>
      <c r="I2215" s="53">
        <v>45881</v>
      </c>
    </row>
    <row r="2216" spans="1:9">
      <c r="A2216" s="47">
        <v>761</v>
      </c>
      <c r="B2216" s="48" t="str">
        <f>IFERROR(VLOOKUP(A2216,CLIENTES!A:E,2,0),"CADASTRAR CLIENTE")</f>
        <v>EXAME CENTRO DIAG.M.ARACATUBA SC LTDA.</v>
      </c>
      <c r="C2216" s="54" t="s">
        <v>3</v>
      </c>
      <c r="D2216" s="54">
        <v>88693</v>
      </c>
      <c r="E2216" s="51">
        <v>1769.75</v>
      </c>
      <c r="F2216" s="48"/>
      <c r="G2216" s="51"/>
      <c r="H2216" s="52"/>
      <c r="I2216" s="53">
        <v>45881</v>
      </c>
    </row>
    <row r="2217" spans="1:9">
      <c r="A2217" s="47">
        <v>500005</v>
      </c>
      <c r="B2217" s="48" t="str">
        <f>IFERROR(VLOOKUP(A2217,CLIENTES!A:E,2,0),"CADASTRAR CLIENTE")</f>
        <v>ASSOCIACAO EDUCACIONAL DE ENSINO SUPERIOR</v>
      </c>
      <c r="C2217" s="54" t="s">
        <v>3</v>
      </c>
      <c r="D2217" s="54">
        <v>88699</v>
      </c>
      <c r="E2217" s="51"/>
      <c r="F2217" s="48"/>
      <c r="G2217" s="51">
        <v>6100</v>
      </c>
      <c r="H2217" s="52"/>
      <c r="I2217" s="53">
        <v>45882</v>
      </c>
    </row>
    <row r="2218" spans="1:9">
      <c r="A2218" s="47">
        <v>412</v>
      </c>
      <c r="B2218" s="48" t="str">
        <f>IFERROR(VLOOKUP(A2218,CLIENTES!A:E,2,0),"CADASTRAR CLIENTE")</f>
        <v>LAB.ANAL.CLIN.SAO MANUEL SC LTDA.</v>
      </c>
      <c r="C2218" s="54" t="s">
        <v>3</v>
      </c>
      <c r="D2218" s="54">
        <v>88721</v>
      </c>
      <c r="E2218" s="51">
        <v>72.5</v>
      </c>
      <c r="F2218" s="48"/>
      <c r="G2218" s="51"/>
      <c r="H2218" s="52"/>
      <c r="I2218" s="53">
        <v>45882</v>
      </c>
    </row>
    <row r="2219" spans="1:9">
      <c r="A2219" s="47">
        <v>1652</v>
      </c>
      <c r="B2219" s="48" t="str">
        <f>IFERROR(VLOOKUP(A2219,CLIENTES!A:E,2,0),"CADASTRAR CLIENTE")</f>
        <v>LAB. SANTA CLARA ANAL.CLIN.</v>
      </c>
      <c r="C2219" s="54" t="s">
        <v>3</v>
      </c>
      <c r="D2219" s="54" t="s">
        <v>691</v>
      </c>
      <c r="E2219" s="51">
        <v>360.48</v>
      </c>
      <c r="F2219" s="48"/>
      <c r="G2219" s="51"/>
      <c r="H2219" s="52"/>
      <c r="I2219" s="53">
        <v>45882</v>
      </c>
    </row>
    <row r="2220" spans="1:9">
      <c r="A2220" s="47">
        <v>762</v>
      </c>
      <c r="B2220" s="48" t="str">
        <f>IFERROR(VLOOKUP(A2220,CLIENTES!A:E,2,0),"CADASTRAR CLIENTE")</f>
        <v>STA. CASA MISERICORDIA DE ARACATUBA</v>
      </c>
      <c r="C2220" s="54" t="s">
        <v>3</v>
      </c>
      <c r="D2220" s="54">
        <v>88667</v>
      </c>
      <c r="E2220" s="51">
        <v>5256.1</v>
      </c>
      <c r="F2220" s="48"/>
      <c r="G2220" s="51"/>
      <c r="H2220" s="52"/>
      <c r="I2220" s="53">
        <v>45882</v>
      </c>
    </row>
    <row r="2221" spans="1:9">
      <c r="A2221" s="47">
        <v>960</v>
      </c>
      <c r="B2221" s="48" t="str">
        <f>IFERROR(VLOOKUP(A2221,CLIENTES!A:E,2,0),"CADASTRAR CLIENTE")</f>
        <v>LUIS VALERIO FILHO-ME</v>
      </c>
      <c r="C2221" s="54" t="s">
        <v>3</v>
      </c>
      <c r="D2221" s="54" t="s">
        <v>692</v>
      </c>
      <c r="E2221" s="51">
        <v>882.02</v>
      </c>
      <c r="F2221" s="48"/>
      <c r="G2221" s="51"/>
      <c r="H2221" s="52"/>
      <c r="I2221" s="53">
        <v>45882</v>
      </c>
    </row>
    <row r="2222" spans="1:9">
      <c r="A2222" s="47">
        <v>500149</v>
      </c>
      <c r="B2222" s="48" t="str">
        <f>IFERROR(VLOOKUP(A2222,CLIENTES!A:E,2,0),"CADASTRAR CLIENTE")</f>
        <v>SAO ROQUE MEDICINA DIAGNOSTICA LTDA</v>
      </c>
      <c r="C2222" s="54" t="s">
        <v>3</v>
      </c>
      <c r="D2222" s="54" t="s">
        <v>693</v>
      </c>
      <c r="E2222" s="51">
        <v>1044.4000000000001</v>
      </c>
      <c r="F2222" s="48"/>
      <c r="G2222" s="51"/>
      <c r="H2222" s="52"/>
      <c r="I2222" s="53">
        <v>45883</v>
      </c>
    </row>
    <row r="2223" spans="1:9">
      <c r="A2223" s="47">
        <v>834</v>
      </c>
      <c r="B2223" s="48" t="str">
        <f>IFERROR(VLOOKUP(A2223,CLIENTES!A:E,2,0),"CADASTRAR CLIENTE")</f>
        <v>CADASTRAR CLIENTE</v>
      </c>
      <c r="C2223" s="54" t="s">
        <v>3</v>
      </c>
      <c r="D2223" s="54">
        <v>88077</v>
      </c>
      <c r="E2223" s="51">
        <v>600.03</v>
      </c>
      <c r="F2223" s="48"/>
      <c r="G2223" s="51"/>
      <c r="H2223" s="52"/>
      <c r="I2223" s="53">
        <v>45883</v>
      </c>
    </row>
    <row r="2224" spans="1:9">
      <c r="A2224" s="47">
        <v>708</v>
      </c>
      <c r="B2224" s="48" t="str">
        <f>IFERROR(VLOOKUP(A2224,CLIENTES!A:E,2,0),"CADASTRAR CLIENTE")</f>
        <v>IMEDI INST.MEDICO DE PAT.E DIAGNOSTICO SC LTDA.</v>
      </c>
      <c r="C2224" s="54" t="s">
        <v>3</v>
      </c>
      <c r="D2224" s="54">
        <v>88800</v>
      </c>
      <c r="E2224" s="51">
        <v>2030</v>
      </c>
      <c r="F2224" s="48"/>
      <c r="G2224" s="51"/>
      <c r="H2224" s="52"/>
      <c r="I2224" s="53">
        <v>45884</v>
      </c>
    </row>
    <row r="2225" spans="1:9">
      <c r="A2225" s="47">
        <v>50558</v>
      </c>
      <c r="B2225" s="48" t="str">
        <f>IFERROR(VLOOKUP(A2225,CLIENTES!A:E,2,0),"CADASTRAR CLIENTE")</f>
        <v>FUNDACAO PAULISTA DE TECNOLOGIA E EDUCACAO</v>
      </c>
      <c r="C2225" s="54" t="s">
        <v>3</v>
      </c>
      <c r="D2225" s="54">
        <v>88084</v>
      </c>
      <c r="E2225" s="51">
        <v>702.9</v>
      </c>
      <c r="F2225" s="48"/>
      <c r="G2225" s="51"/>
      <c r="H2225" s="52"/>
      <c r="I2225" s="53">
        <v>45887</v>
      </c>
    </row>
    <row r="2226" spans="1:9">
      <c r="A2226" s="47">
        <v>1164</v>
      </c>
      <c r="B2226" s="48" t="str">
        <f>IFERROR(VLOOKUP(A2226,CLIENTES!A:E,2,0),"CADASTRAR CLIENTE")</f>
        <v>LAB. ANAL. CLIN. SAO LOURENCO S/C LTDA</v>
      </c>
      <c r="C2226" s="54" t="s">
        <v>3</v>
      </c>
      <c r="D2226" s="54">
        <v>88825</v>
      </c>
      <c r="E2226" s="51">
        <v>2127.65</v>
      </c>
      <c r="F2226" s="48"/>
      <c r="G2226" s="51"/>
      <c r="H2226" s="52"/>
      <c r="I2226" s="53">
        <v>45887</v>
      </c>
    </row>
    <row r="2227" spans="1:9">
      <c r="A2227" s="47">
        <v>50219</v>
      </c>
      <c r="B2227" s="48" t="str">
        <f>IFERROR(VLOOKUP(A2227,CLIENTES!A:E,2,0),"CADASTRAR CLIENTE")</f>
        <v>UNIPREV LAB DE ANALISES LOCACAO DE BENS E REPAROS LTDA EPP</v>
      </c>
      <c r="C2227" s="54" t="s">
        <v>3</v>
      </c>
      <c r="D2227" s="54" t="s">
        <v>694</v>
      </c>
      <c r="E2227" s="51">
        <v>551.04999999999995</v>
      </c>
      <c r="F2227" s="48"/>
      <c r="G2227" s="51"/>
      <c r="H2227" s="52"/>
      <c r="I2227" s="53">
        <v>45887</v>
      </c>
    </row>
    <row r="2228" spans="1:9">
      <c r="A2228" s="47">
        <v>50576</v>
      </c>
      <c r="B2228" s="48" t="str">
        <f>IFERROR(VLOOKUP(A2228,CLIENTES!A:E,2,0),"CADASTRAR CLIENTE")</f>
        <v>ANDRIAO CANEPPA E SILVA LTDA ME</v>
      </c>
      <c r="C2228" s="54" t="s">
        <v>3</v>
      </c>
      <c r="D2228" s="54">
        <v>88840</v>
      </c>
      <c r="E2228" s="51">
        <v>1026.3</v>
      </c>
      <c r="F2228" s="48"/>
      <c r="G2228" s="51"/>
      <c r="H2228" s="52"/>
      <c r="I2228" s="53">
        <v>45887</v>
      </c>
    </row>
    <row r="2229" spans="1:9">
      <c r="A2229" s="47">
        <v>50558</v>
      </c>
      <c r="B2229" s="48" t="str">
        <f>IFERROR(VLOOKUP(A2229,CLIENTES!A:E,2,0),"CADASTRAR CLIENTE")</f>
        <v>FUNDACAO PAULISTA DE TECNOLOGIA E EDUCACAO</v>
      </c>
      <c r="C2229" s="54" t="s">
        <v>3</v>
      </c>
      <c r="D2229" s="54">
        <v>88822</v>
      </c>
      <c r="E2229" s="51">
        <v>2300</v>
      </c>
      <c r="F2229" s="48"/>
      <c r="G2229" s="51"/>
      <c r="H2229" s="52"/>
      <c r="I2229" s="53">
        <v>45894</v>
      </c>
    </row>
    <row r="2230" spans="1:9">
      <c r="A2230" s="47">
        <v>311</v>
      </c>
      <c r="B2230" s="48" t="str">
        <f>IFERROR(VLOOKUP(A2230,CLIENTES!A:E,2,0),"CADASTRAR CLIENTE")</f>
        <v>CENTRO DE ANAL.CLIN. UNILAB  SC LTDA.</v>
      </c>
      <c r="C2230" s="54" t="s">
        <v>3</v>
      </c>
      <c r="D2230" s="54">
        <v>88851</v>
      </c>
      <c r="E2230" s="51">
        <v>1487.62</v>
      </c>
      <c r="F2230" s="48"/>
      <c r="G2230" s="51"/>
      <c r="H2230" s="52"/>
      <c r="I2230" s="53">
        <v>45887</v>
      </c>
    </row>
    <row r="2231" spans="1:9">
      <c r="A2231" s="47">
        <v>311</v>
      </c>
      <c r="B2231" s="48" t="str">
        <f>IFERROR(VLOOKUP(A2231,CLIENTES!A:E,2,0),"CADASTRAR CLIENTE")</f>
        <v>CENTRO DE ANAL.CLIN. UNILAB  SC LTDA.</v>
      </c>
      <c r="C2231" s="54" t="s">
        <v>3</v>
      </c>
      <c r="D2231" s="54">
        <v>88203</v>
      </c>
      <c r="E2231" s="51">
        <v>175</v>
      </c>
      <c r="F2231" s="48"/>
      <c r="G2231" s="51"/>
      <c r="H2231" s="52"/>
      <c r="I2231" s="53">
        <v>45887</v>
      </c>
    </row>
    <row r="2232" spans="1:9">
      <c r="A2232" s="47">
        <v>761</v>
      </c>
      <c r="B2232" s="48" t="str">
        <f>IFERROR(VLOOKUP(A2232,CLIENTES!A:E,2,0),"CADASTRAR CLIENTE")</f>
        <v>EXAME CENTRO DIAG.M.ARACATUBA SC LTDA.</v>
      </c>
      <c r="C2232" s="54" t="s">
        <v>3</v>
      </c>
      <c r="D2232" s="54" t="s">
        <v>695</v>
      </c>
      <c r="E2232" s="51">
        <v>781.54</v>
      </c>
      <c r="F2232" s="48"/>
      <c r="G2232" s="51"/>
      <c r="H2232" s="52"/>
      <c r="I2232" s="53">
        <v>45887</v>
      </c>
    </row>
    <row r="2233" spans="1:9">
      <c r="A2233" s="47">
        <v>1026</v>
      </c>
      <c r="B2233" s="48" t="str">
        <f>IFERROR(VLOOKUP(A2233,CLIENTES!A:E,2,0),"CADASTRAR CLIENTE")</f>
        <v>LABSC SERVICOS LABORATORIAIS LTDA</v>
      </c>
      <c r="C2233" s="54" t="s">
        <v>3</v>
      </c>
      <c r="D2233" s="54">
        <v>88861</v>
      </c>
      <c r="E2233" s="51">
        <v>170</v>
      </c>
      <c r="F2233" s="48"/>
      <c r="G2233" s="51"/>
      <c r="H2233" s="52"/>
      <c r="I2233" s="53">
        <v>45887</v>
      </c>
    </row>
    <row r="2234" spans="1:9">
      <c r="A2234" s="47">
        <v>705</v>
      </c>
      <c r="B2234" s="48" t="str">
        <f>IFERROR(VLOOKUP(A2234,CLIENTES!A:E,2,0),"CADASTRAR CLIENTE")</f>
        <v>JOAO JOSE SCHIAVUZZO ME</v>
      </c>
      <c r="C2234" s="54" t="s">
        <v>3</v>
      </c>
      <c r="D2234" s="54">
        <v>101564</v>
      </c>
      <c r="E2234" s="51">
        <v>1161.0999999999999</v>
      </c>
      <c r="F2234" s="48"/>
      <c r="G2234" s="51"/>
      <c r="H2234" s="52"/>
      <c r="I2234" s="53">
        <v>45888</v>
      </c>
    </row>
    <row r="2235" spans="1:9">
      <c r="A2235" s="47">
        <v>823</v>
      </c>
      <c r="B2235" s="48" t="str">
        <f>IFERROR(VLOOKUP(A2235,CLIENTES!A:E,2,0),"CADASTRAR CLIENTE")</f>
        <v>SANCHES x SANCHES S/C LTDA</v>
      </c>
      <c r="C2235" s="54" t="s">
        <v>3</v>
      </c>
      <c r="D2235" s="54" t="s">
        <v>696</v>
      </c>
      <c r="E2235" s="51">
        <v>3126.65</v>
      </c>
      <c r="F2235" s="48"/>
      <c r="G2235" s="51"/>
      <c r="H2235" s="52"/>
      <c r="I2235" s="53">
        <v>45888</v>
      </c>
    </row>
    <row r="2236" spans="1:9">
      <c r="A2236" s="47">
        <v>50465</v>
      </c>
      <c r="B2236" s="48" t="str">
        <f>IFERROR(VLOOKUP(A2236,CLIENTES!A:E,2,0),"CADASTRAR CLIENTE")</f>
        <v>LABORATORIO DE ANALISES CLINICAS VIDA BIRIGUI LTDA</v>
      </c>
      <c r="C2236" s="54" t="s">
        <v>3</v>
      </c>
      <c r="D2236" s="54">
        <v>88895</v>
      </c>
      <c r="E2236" s="51">
        <v>476</v>
      </c>
      <c r="F2236" s="48"/>
      <c r="G2236" s="51"/>
      <c r="H2236" s="52"/>
      <c r="I2236" s="53">
        <v>45888</v>
      </c>
    </row>
    <row r="2237" spans="1:9">
      <c r="A2237" s="47">
        <v>705</v>
      </c>
      <c r="B2237" s="48" t="str">
        <f>IFERROR(VLOOKUP(A2237,CLIENTES!A:E,2,0),"CADASTRAR CLIENTE")</f>
        <v>JOAO JOSE SCHIAVUZZO ME</v>
      </c>
      <c r="C2237" s="54" t="s">
        <v>3</v>
      </c>
      <c r="D2237" s="54" t="s">
        <v>697</v>
      </c>
      <c r="E2237" s="51">
        <v>2369.25</v>
      </c>
      <c r="F2237" s="48"/>
      <c r="G2237" s="51"/>
      <c r="H2237" s="52"/>
      <c r="I2237" s="53">
        <v>45888</v>
      </c>
    </row>
    <row r="2238" spans="1:9">
      <c r="A2238" s="47">
        <v>516</v>
      </c>
      <c r="B2238" s="48" t="str">
        <f>IFERROR(VLOOKUP(A2238,CLIENTES!A:E,2,0),"CADASTRAR CLIENTE")</f>
        <v>TECNOLAB PATOLOGIA CLINICA S/C LTDA</v>
      </c>
      <c r="C2238" s="54" t="s">
        <v>2</v>
      </c>
      <c r="D2238" s="54">
        <v>88103</v>
      </c>
      <c r="E2238" s="51">
        <v>13031.94</v>
      </c>
      <c r="F2238" s="48"/>
      <c r="G2238" s="51"/>
      <c r="H2238" s="52"/>
      <c r="I2238" s="53">
        <v>45888</v>
      </c>
    </row>
    <row r="2239" spans="1:9">
      <c r="A2239" s="47">
        <v>475</v>
      </c>
      <c r="B2239" s="48" t="str">
        <f>IFERROR(VLOOKUP(A2239,CLIENTES!A:E,2,0),"CADASTRAR CLIENTE")</f>
        <v>LABORATORIO DE ANALISES CLINICAS SRC LTDA</v>
      </c>
      <c r="C2239" s="54" t="s">
        <v>2</v>
      </c>
      <c r="D2239" s="54" t="s">
        <v>698</v>
      </c>
      <c r="E2239" s="51">
        <v>9374.08</v>
      </c>
      <c r="F2239" s="48"/>
      <c r="G2239" s="51"/>
      <c r="H2239" s="52"/>
      <c r="I2239" s="53">
        <v>45888</v>
      </c>
    </row>
    <row r="2240" spans="1:9">
      <c r="A2240" s="47">
        <v>784</v>
      </c>
      <c r="B2240" s="48" t="str">
        <f>IFERROR(VLOOKUP(A2240,CLIENTES!A:E,2,0),"CADASTRAR CLIENTE")</f>
        <v>LAB.ANAL.CLIN. ALBERT SABIN SC LTDA.</v>
      </c>
      <c r="C2240" s="54" t="s">
        <v>3</v>
      </c>
      <c r="D2240" s="54">
        <v>88674</v>
      </c>
      <c r="E2240" s="51">
        <v>98.7</v>
      </c>
      <c r="F2240" s="48"/>
      <c r="G2240" s="51"/>
      <c r="H2240" s="52"/>
      <c r="I2240" s="53">
        <v>45888</v>
      </c>
    </row>
    <row r="2241" spans="1:9">
      <c r="A2241" s="47">
        <v>50418</v>
      </c>
      <c r="B2241" s="48" t="str">
        <f>IFERROR(VLOOKUP(A2241,CLIENTES!A:E,2,0),"CADASTRAR CLIENTE")</f>
        <v>LABORATORIO SAO LUCAS DE BROTAS SS LTDA</v>
      </c>
      <c r="C2241" s="54" t="s">
        <v>3</v>
      </c>
      <c r="D2241" s="54">
        <v>88915</v>
      </c>
      <c r="E2241" s="51">
        <v>115.6</v>
      </c>
      <c r="F2241" s="48"/>
      <c r="G2241" s="51"/>
      <c r="H2241" s="52"/>
      <c r="I2241" s="53">
        <v>45888</v>
      </c>
    </row>
    <row r="2242" spans="1:9">
      <c r="A2242" s="47">
        <v>325</v>
      </c>
      <c r="B2242" s="48" t="str">
        <f>IFERROR(VLOOKUP(A2242,CLIENTES!A:E,2,0),"CADASTRAR CLIENTE")</f>
        <v>EXAME-LABORAT. DE ANAL. CLIN. CITODIAGNOSTICO S/S LTDA</v>
      </c>
      <c r="C2242" s="54" t="s">
        <v>3</v>
      </c>
      <c r="D2242" s="54" t="s">
        <v>699</v>
      </c>
      <c r="E2242" s="51">
        <v>736.3</v>
      </c>
      <c r="F2242" s="48"/>
      <c r="G2242" s="51"/>
      <c r="H2242" s="52"/>
      <c r="I2242" s="53">
        <v>45888</v>
      </c>
    </row>
    <row r="2243" spans="1:9">
      <c r="A2243" s="47">
        <v>50418</v>
      </c>
      <c r="B2243" s="48" t="str">
        <f>IFERROR(VLOOKUP(A2243,CLIENTES!A:E,2,0),"CADASTRAR CLIENTE")</f>
        <v>LABORATORIO SAO LUCAS DE BROTAS SS LTDA</v>
      </c>
      <c r="C2243" s="54" t="s">
        <v>3</v>
      </c>
      <c r="D2243" s="54" t="s">
        <v>700</v>
      </c>
      <c r="E2243" s="51">
        <v>966</v>
      </c>
      <c r="F2243" s="48"/>
      <c r="G2243" s="51"/>
      <c r="H2243" s="52"/>
      <c r="I2243" s="53">
        <v>45888</v>
      </c>
    </row>
    <row r="2244" spans="1:9">
      <c r="A2244" s="47">
        <v>690</v>
      </c>
      <c r="B2244" s="48" t="str">
        <f>IFERROR(VLOOKUP(A2244,CLIENTES!A:E,2,0),"CADASTRAR CLIENTE")</f>
        <v>SAO ROQUE MEDICINA DIAGNOSTICA LTDA EPP</v>
      </c>
      <c r="C2244" s="54" t="s">
        <v>3</v>
      </c>
      <c r="D2244" s="54">
        <v>101580</v>
      </c>
      <c r="E2244" s="51"/>
      <c r="F2244" s="48"/>
      <c r="G2244" s="51">
        <v>4100</v>
      </c>
      <c r="H2244" s="52"/>
      <c r="I2244" s="53">
        <v>45888</v>
      </c>
    </row>
    <row r="2245" spans="1:9">
      <c r="A2245" s="47">
        <v>2022</v>
      </c>
      <c r="B2245" s="48" t="str">
        <f>IFERROR(VLOOKUP(A2245,CLIENTES!A:E,2,0),"CADASTRAR CLIENTE")</f>
        <v>LAB. MEDICO DR. MARICONDI S/C LTDA.</v>
      </c>
      <c r="C2245" s="54" t="s">
        <v>3</v>
      </c>
      <c r="D2245" s="54">
        <v>88920</v>
      </c>
      <c r="E2245" s="51">
        <v>573</v>
      </c>
      <c r="F2245" s="48"/>
      <c r="G2245" s="51"/>
      <c r="H2245" s="52"/>
      <c r="I2245" s="53">
        <v>45889</v>
      </c>
    </row>
    <row r="2246" spans="1:9">
      <c r="A2246" s="47">
        <v>50185</v>
      </c>
      <c r="B2246" s="48" t="str">
        <f>IFERROR(VLOOKUP(A2246,CLIENTES!A:E,2,0),"CADASTRAR CLIENTE")</f>
        <v>ANIMALAB SS LTDA</v>
      </c>
      <c r="C2246" s="54" t="s">
        <v>3</v>
      </c>
      <c r="D2246" s="54">
        <v>88942</v>
      </c>
      <c r="E2246" s="51">
        <v>399</v>
      </c>
      <c r="F2246" s="48"/>
      <c r="G2246" s="51"/>
      <c r="H2246" s="52"/>
      <c r="I2246" s="53">
        <v>45889</v>
      </c>
    </row>
    <row r="2247" spans="1:9">
      <c r="A2247" s="47">
        <v>620</v>
      </c>
      <c r="B2247" s="48" t="str">
        <f>IFERROR(VLOOKUP(A2247,CLIENTES!A:E,2,0),"CADASTRAR CLIENTE")</f>
        <v>LAB.SAO PAULO DE ANAL.CLIN.SC LTDA.</v>
      </c>
      <c r="C2247" s="54" t="s">
        <v>3</v>
      </c>
      <c r="D2247" s="54">
        <v>88923</v>
      </c>
      <c r="E2247" s="51">
        <v>1624.84</v>
      </c>
      <c r="F2247" s="48"/>
      <c r="G2247" s="51"/>
      <c r="H2247" s="52"/>
      <c r="I2247" s="53">
        <v>45889</v>
      </c>
    </row>
    <row r="2248" spans="1:9">
      <c r="A2248" s="47">
        <v>432</v>
      </c>
      <c r="B2248" s="48" t="str">
        <f>IFERROR(VLOOKUP(A2248,CLIENTES!A:E,2,0),"CADASTRAR CLIENTE")</f>
        <v>LABORATORIO PASTEUR HEMATOLOGIA E MICROBIOLOGIA S/S LTDA</v>
      </c>
      <c r="C2248" s="54" t="s">
        <v>3</v>
      </c>
      <c r="D2248" s="54" t="s">
        <v>701</v>
      </c>
      <c r="E2248" s="51">
        <v>1693.96</v>
      </c>
      <c r="F2248" s="48"/>
      <c r="G2248" s="51"/>
      <c r="H2248" s="52"/>
      <c r="I2248" s="53">
        <v>45891</v>
      </c>
    </row>
    <row r="2249" spans="1:9">
      <c r="A2249" s="47">
        <v>2911</v>
      </c>
      <c r="B2249" s="48" t="str">
        <f>IFERROR(VLOOKUP(A2249,CLIENTES!A:E,2,0),"CADASTRAR CLIENTE")</f>
        <v>BIOLIFE-LABORATORIO DE ANALISES CLINICAS LTDA</v>
      </c>
      <c r="C2249" s="54" t="s">
        <v>3</v>
      </c>
      <c r="D2249" s="54" t="s">
        <v>702</v>
      </c>
      <c r="E2249" s="51">
        <v>3084.95</v>
      </c>
      <c r="F2249" s="48"/>
      <c r="G2249" s="51"/>
      <c r="H2249" s="52"/>
      <c r="I2249" s="53">
        <v>45894</v>
      </c>
    </row>
    <row r="2250" spans="1:9">
      <c r="A2250" s="47">
        <v>746</v>
      </c>
      <c r="B2250" s="48" t="str">
        <f>IFERROR(VLOOKUP(A2250,CLIENTES!A:E,2,0),"CADASTRAR CLIENTE")</f>
        <v>LAB.ANAL.CLIN.BIOCLIN SC LTDA.</v>
      </c>
      <c r="C2250" s="54" t="s">
        <v>3</v>
      </c>
      <c r="D2250" s="54">
        <v>88984</v>
      </c>
      <c r="E2250" s="51">
        <v>106.09</v>
      </c>
      <c r="F2250" s="48"/>
      <c r="G2250" s="51"/>
      <c r="H2250" s="52"/>
      <c r="I2250" s="53">
        <v>45890</v>
      </c>
    </row>
    <row r="2251" spans="1:9">
      <c r="A2251" s="47">
        <v>620</v>
      </c>
      <c r="B2251" s="48" t="str">
        <f>IFERROR(VLOOKUP(A2251,CLIENTES!A:E,2,0),"CADASTRAR CLIENTE")</f>
        <v>LAB.SAO PAULO DE ANAL.CLIN.SC LTDA.</v>
      </c>
      <c r="C2251" s="54" t="s">
        <v>3</v>
      </c>
      <c r="D2251" s="54" t="s">
        <v>703</v>
      </c>
      <c r="E2251" s="51">
        <v>327.8</v>
      </c>
      <c r="F2251" s="48"/>
      <c r="G2251" s="51"/>
      <c r="H2251" s="52"/>
      <c r="I2251" s="53">
        <v>45891</v>
      </c>
    </row>
    <row r="2252" spans="1:9">
      <c r="A2252" s="47">
        <v>2572</v>
      </c>
      <c r="B2252" s="48" t="str">
        <f>IFERROR(VLOOKUP(A2252,CLIENTES!A:E,2,0),"CADASTRAR CLIENTE")</f>
        <v>LAB. ANAL. CLIN. COFFERS S/C LTDA</v>
      </c>
      <c r="C2252" s="54" t="s">
        <v>3</v>
      </c>
      <c r="D2252" s="54">
        <v>89046</v>
      </c>
      <c r="E2252" s="51">
        <v>549.79999999999995</v>
      </c>
      <c r="F2252" s="48"/>
      <c r="G2252" s="51"/>
      <c r="H2252" s="52"/>
      <c r="I2252" s="53">
        <v>45891</v>
      </c>
    </row>
    <row r="2253" spans="1:9">
      <c r="A2253" s="47">
        <v>475</v>
      </c>
      <c r="B2253" s="48" t="str">
        <f>IFERROR(VLOOKUP(A2253,CLIENTES!A:E,2,0),"CADASTRAR CLIENTE")</f>
        <v>LABORATORIO DE ANALISES CLINICAS SRC LTDA</v>
      </c>
      <c r="C2253" s="54" t="s">
        <v>3</v>
      </c>
      <c r="D2253" s="54" t="s">
        <v>704</v>
      </c>
      <c r="E2253" s="51">
        <v>6233.06</v>
      </c>
      <c r="F2253" s="48"/>
      <c r="G2253" s="51"/>
      <c r="H2253" s="52"/>
      <c r="I2253" s="53">
        <v>45894</v>
      </c>
    </row>
    <row r="2254" spans="1:9">
      <c r="A2254" s="47">
        <v>432</v>
      </c>
      <c r="B2254" s="48" t="str">
        <f>IFERROR(VLOOKUP(A2254,CLIENTES!A:E,2,0),"CADASTRAR CLIENTE")</f>
        <v>LABORATORIO PASTEUR HEMATOLOGIA E MICROBIOLOGIA S/S LTDA</v>
      </c>
      <c r="C2254" s="54" t="s">
        <v>3</v>
      </c>
      <c r="D2254" s="54">
        <v>89069</v>
      </c>
      <c r="E2254" s="59">
        <v>157.5</v>
      </c>
      <c r="F2254" s="48"/>
      <c r="G2254" s="51"/>
      <c r="H2254" s="52"/>
      <c r="I2254" s="53">
        <v>45894</v>
      </c>
    </row>
    <row r="2255" spans="1:9">
      <c r="A2255" s="47">
        <v>761</v>
      </c>
      <c r="B2255" s="48" t="str">
        <f>IFERROR(VLOOKUP(A2255,CLIENTES!A:E,2,0),"CADASTRAR CLIENTE")</f>
        <v>EXAME CENTRO DIAG.M.ARACATUBA SC LTDA.</v>
      </c>
      <c r="C2255" s="54" t="s">
        <v>3</v>
      </c>
      <c r="D2255" s="54" t="s">
        <v>705</v>
      </c>
      <c r="E2255" s="51">
        <v>934</v>
      </c>
      <c r="F2255" s="48"/>
      <c r="G2255" s="51"/>
      <c r="H2255" s="52"/>
      <c r="I2255" s="53">
        <v>45894</v>
      </c>
    </row>
    <row r="2256" spans="1:9">
      <c r="A2256" s="47">
        <v>311</v>
      </c>
      <c r="B2256" s="48" t="str">
        <f>IFERROR(VLOOKUP(A2256,CLIENTES!A:E,2,0),"CADASTRAR CLIENTE")</f>
        <v>CENTRO DE ANAL.CLIN. UNILAB  SC LTDA.</v>
      </c>
      <c r="C2256" s="54" t="s">
        <v>3</v>
      </c>
      <c r="D2256" s="54" t="s">
        <v>706</v>
      </c>
      <c r="E2256" s="51">
        <v>675.5</v>
      </c>
      <c r="F2256" s="48"/>
      <c r="G2256" s="51"/>
      <c r="H2256" s="52"/>
      <c r="I2256" s="53">
        <v>45894</v>
      </c>
    </row>
    <row r="2257" spans="1:9">
      <c r="A2257" s="47">
        <v>500243</v>
      </c>
      <c r="B2257" s="48" t="str">
        <f>IFERROR(VLOOKUP(A2257,CLIENTES!A:E,2,0),"CADASTRAR CLIENTE")</f>
        <v>UNIMED DE IBITINGA COOPERATIVA DE TRABALHO MEDICO</v>
      </c>
      <c r="C2257" s="54" t="s">
        <v>3</v>
      </c>
      <c r="D2257" s="54">
        <v>89158</v>
      </c>
      <c r="E2257" s="51">
        <v>621.52</v>
      </c>
      <c r="F2257" s="48"/>
      <c r="G2257" s="51"/>
      <c r="H2257" s="52"/>
      <c r="I2257" s="53">
        <v>45895</v>
      </c>
    </row>
    <row r="2258" spans="1:9">
      <c r="A2258" s="47">
        <v>905</v>
      </c>
      <c r="B2258" s="48" t="str">
        <f>IFERROR(VLOOKUP(A2258,CLIENTES!A:E,2,0),"CADASTRAR CLIENTE")</f>
        <v>LAB AN CLIN DR NESTOR FERRAREZZI FILHO  SC LTDA</v>
      </c>
      <c r="C2258" s="54" t="s">
        <v>3</v>
      </c>
      <c r="D2258" s="54">
        <v>82790</v>
      </c>
      <c r="E2258" s="51">
        <v>3307.2</v>
      </c>
      <c r="F2258" s="48"/>
      <c r="G2258" s="51"/>
      <c r="H2258" s="52"/>
      <c r="I2258" s="53">
        <v>45896</v>
      </c>
    </row>
    <row r="2259" spans="1:9">
      <c r="A2259" s="47">
        <v>822</v>
      </c>
      <c r="B2259" s="48" t="str">
        <f>IFERROR(VLOOKUP(A2259,CLIENTES!A:E,2,0),"CADASTRAR CLIENTE")</f>
        <v>SAO LUCAS LABORATORIO ANAL. CLIN. S/C LTDA</v>
      </c>
      <c r="C2259" s="54" t="s">
        <v>2</v>
      </c>
      <c r="D2259" s="54" t="s">
        <v>707</v>
      </c>
      <c r="E2259" s="51">
        <v>1327.4</v>
      </c>
      <c r="F2259" s="48"/>
      <c r="G2259" s="51"/>
      <c r="H2259" s="52"/>
      <c r="I2259" s="53">
        <v>45896</v>
      </c>
    </row>
    <row r="2260" spans="1:9">
      <c r="A2260" s="47">
        <v>50554</v>
      </c>
      <c r="B2260" s="48" t="str">
        <f>IFERROR(VLOOKUP(A2260,CLIENTES!A:E,2,0),"CADASTRAR CLIENTE")</f>
        <v>SAO ROQUE MEDICINA DIAGNOSTICA</v>
      </c>
      <c r="C2260" s="54" t="s">
        <v>3</v>
      </c>
      <c r="D2260" s="54" t="s">
        <v>708</v>
      </c>
      <c r="E2260" s="51">
        <v>1073</v>
      </c>
      <c r="F2260" s="48"/>
      <c r="G2260" s="51"/>
      <c r="H2260" s="52"/>
      <c r="I2260" s="53">
        <v>45897</v>
      </c>
    </row>
    <row r="2261" spans="1:9">
      <c r="A2261" s="47">
        <v>663</v>
      </c>
      <c r="B2261" s="48" t="str">
        <f>IFERROR(VLOOKUP(A2261,CLIENTES!A:E,2,0),"CADASTRAR CLIENTE")</f>
        <v>LAB. MEDICO GUIMARAES</v>
      </c>
      <c r="C2261" s="54" t="s">
        <v>3</v>
      </c>
      <c r="D2261" s="54" t="s">
        <v>710</v>
      </c>
      <c r="E2261" s="51">
        <v>3398.9</v>
      </c>
      <c r="F2261" s="48"/>
      <c r="G2261" s="51"/>
      <c r="H2261" s="52"/>
      <c r="I2261" s="53">
        <v>45897</v>
      </c>
    </row>
    <row r="2262" spans="1:9">
      <c r="A2262" s="47">
        <v>463</v>
      </c>
      <c r="B2262" s="48" t="str">
        <f>IFERROR(VLOOKUP(A2262,CLIENTES!A:E,2,0),"CADASTRAR CLIENTE")</f>
        <v>MASUDA &amp; MASUDA LABORATORIO CLINICO LTDA</v>
      </c>
      <c r="C2262" s="54" t="s">
        <v>3</v>
      </c>
      <c r="D2262" s="54">
        <v>89246</v>
      </c>
      <c r="E2262" s="51">
        <v>1375</v>
      </c>
      <c r="F2262" s="48"/>
      <c r="G2262" s="51"/>
      <c r="H2262" s="52"/>
      <c r="I2262" s="53">
        <v>45897</v>
      </c>
    </row>
    <row r="2263" spans="1:9">
      <c r="A2263" s="47">
        <v>2980</v>
      </c>
      <c r="B2263" s="48" t="str">
        <f>IFERROR(VLOOKUP(A2263,CLIENTES!A:E,2,0),"CADASTRAR CLIENTE")</f>
        <v>ALMEIDA &amp; FLAITT LABORATORIOS DE ANALISES CLINICAS LTDA</v>
      </c>
      <c r="C2263" s="54" t="s">
        <v>3</v>
      </c>
      <c r="D2263" s="54" t="s">
        <v>709</v>
      </c>
      <c r="E2263" s="51">
        <v>1183.67</v>
      </c>
      <c r="F2263" s="48"/>
      <c r="G2263" s="51"/>
      <c r="H2263" s="52"/>
      <c r="I2263" s="53">
        <v>45897</v>
      </c>
    </row>
    <row r="2264" spans="1:9">
      <c r="A2264" s="47">
        <v>3017</v>
      </c>
      <c r="B2264" s="48" t="str">
        <f>IFERROR(VLOOKUP(A2264,CLIENTES!A:E,2,0),"CADASTRAR CLIENTE")</f>
        <v>IMUNOLAB LABORATORIO DE ANALISES CLINICAS LTDA ME</v>
      </c>
      <c r="C2264" s="54" t="s">
        <v>3</v>
      </c>
      <c r="D2264" s="54" t="s">
        <v>711</v>
      </c>
      <c r="E2264" s="51">
        <v>1458.24</v>
      </c>
      <c r="F2264" s="48"/>
      <c r="G2264" s="51"/>
      <c r="H2264" s="52"/>
      <c r="I2264" s="53">
        <v>45897</v>
      </c>
    </row>
    <row r="2265" spans="1:9">
      <c r="A2265" s="47">
        <v>2415</v>
      </c>
      <c r="B2265" s="48" t="str">
        <f>IFERROR(VLOOKUP(A2265,CLIENTES!A:E,2,0),"CADASTRAR CLIENTE")</f>
        <v>ROSSETTO E BARROS LABORATORIO DE ANALISES CLINICAS LTDA</v>
      </c>
      <c r="C2265" s="54" t="s">
        <v>3</v>
      </c>
      <c r="D2265" s="54" t="s">
        <v>712</v>
      </c>
      <c r="E2265" s="51">
        <v>766.86</v>
      </c>
      <c r="F2265" s="48"/>
      <c r="G2265" s="51"/>
      <c r="H2265" s="52"/>
      <c r="I2265" s="53">
        <v>45897</v>
      </c>
    </row>
    <row r="2266" spans="1:9">
      <c r="A2266" s="47">
        <v>325</v>
      </c>
      <c r="B2266" s="48" t="str">
        <f>IFERROR(VLOOKUP(A2266,CLIENTES!A:E,2,0),"CADASTRAR CLIENTE")</f>
        <v>EXAME-LABORAT. DE ANAL. CLIN. CITODIAGNOSTICO S/S LTDA</v>
      </c>
      <c r="C2266" s="54" t="s">
        <v>3</v>
      </c>
      <c r="D2266" s="54">
        <v>89094</v>
      </c>
      <c r="E2266" s="51">
        <v>366.7</v>
      </c>
      <c r="F2266" s="48"/>
      <c r="G2266" s="51"/>
      <c r="H2266" s="52"/>
      <c r="I2266" s="53">
        <v>45898</v>
      </c>
    </row>
    <row r="2267" spans="1:9">
      <c r="A2267" s="47">
        <v>618</v>
      </c>
      <c r="B2267" s="48" t="str">
        <f>IFERROR(VLOOKUP(A2267,CLIENTES!A:E,2,0),"CADASTRAR CLIENTE")</f>
        <v>LAB. ANAL. CLIN. POMPEIA</v>
      </c>
      <c r="C2267" s="54" t="s">
        <v>3</v>
      </c>
      <c r="D2267" s="54" t="s">
        <v>713</v>
      </c>
      <c r="E2267" s="51">
        <v>299.48</v>
      </c>
      <c r="F2267" s="48"/>
      <c r="G2267" s="51"/>
      <c r="H2267" s="52"/>
      <c r="I2267" s="53">
        <v>45898</v>
      </c>
    </row>
    <row r="2268" spans="1:9">
      <c r="A2268" s="47">
        <v>2955</v>
      </c>
      <c r="B2268" s="48" t="str">
        <f>IFERROR(VLOOKUP(A2268,CLIENTES!A:E,2,0),"CADASTRAR CLIENTE")</f>
        <v>ASSOCIACAO SANTA CASA SAUDE DE ARACATUBA</v>
      </c>
      <c r="C2268" s="54" t="s">
        <v>3</v>
      </c>
      <c r="D2268" s="54">
        <v>89292</v>
      </c>
      <c r="E2268" s="51">
        <v>3960.03</v>
      </c>
      <c r="F2268" s="48"/>
      <c r="G2268" s="51"/>
      <c r="H2268" s="52"/>
      <c r="I2268" s="53">
        <v>45898</v>
      </c>
    </row>
    <row r="2269" spans="1:9">
      <c r="A2269" s="47">
        <v>784</v>
      </c>
      <c r="B2269" s="48" t="str">
        <f>IFERROR(VLOOKUP(A2269,CLIENTES!A:E,2,0),"CADASTRAR CLIENTE")</f>
        <v>LAB.ANAL.CLIN. ALBERT SABIN SC LTDA.</v>
      </c>
      <c r="C2269" s="54" t="s">
        <v>3</v>
      </c>
      <c r="D2269" s="54">
        <v>89298</v>
      </c>
      <c r="E2269" s="51">
        <v>10334.25</v>
      </c>
      <c r="F2269" s="48"/>
      <c r="G2269" s="51"/>
      <c r="H2269" s="52"/>
      <c r="I2269" s="53">
        <v>45898</v>
      </c>
    </row>
    <row r="2270" spans="1:9">
      <c r="A2270" s="75">
        <v>874</v>
      </c>
      <c r="B2270" s="76" t="str">
        <f>IFERROR(VLOOKUP(A2270,CLIENTES!A:E,2,0),"CADASTRAR CLIENTE")</f>
        <v>LAB.ANAL.CLIN ABI JAUDI SC LTDA.</v>
      </c>
      <c r="C2270" s="86" t="s">
        <v>3</v>
      </c>
      <c r="D2270" s="86">
        <v>89340</v>
      </c>
      <c r="E2270" s="77">
        <v>459.21</v>
      </c>
      <c r="F2270" s="76"/>
      <c r="G2270" s="77"/>
      <c r="H2270" s="78"/>
      <c r="I2270" s="79">
        <v>45901</v>
      </c>
    </row>
    <row r="2271" spans="1:9">
      <c r="A2271" s="18">
        <v>772</v>
      </c>
      <c r="B2271" s="19" t="str">
        <f>IFERROR(VLOOKUP(A2271,CLIENTES!A:E,2,0),"CADASTRAR CLIENTE")</f>
        <v>MEGARON LABORATORIO ANAL.CLIN.SC LTDA.</v>
      </c>
      <c r="C2271" s="60" t="s">
        <v>3</v>
      </c>
      <c r="D2271" s="60">
        <v>89376</v>
      </c>
      <c r="E2271" s="21">
        <v>1823.14</v>
      </c>
      <c r="F2271" s="19"/>
      <c r="G2271" s="21"/>
      <c r="H2271" s="22"/>
      <c r="I2271" s="20">
        <v>45901</v>
      </c>
    </row>
    <row r="2272" spans="1:9">
      <c r="A2272" s="18">
        <v>480</v>
      </c>
      <c r="B2272" s="19" t="str">
        <f>IFERROR(VLOOKUP(A2272,CLIENTES!A:E,2,0),"CADASTRAR CLIENTE")</f>
        <v>LAB SAO LUCAS</v>
      </c>
      <c r="C2272" s="60" t="s">
        <v>3</v>
      </c>
      <c r="D2272" s="60">
        <v>89372</v>
      </c>
      <c r="E2272" s="21">
        <v>1492.2</v>
      </c>
      <c r="F2272" s="19"/>
      <c r="G2272" s="21"/>
      <c r="H2272" s="22"/>
      <c r="I2272" s="20">
        <v>45901</v>
      </c>
    </row>
    <row r="2273" spans="1:9">
      <c r="A2273" s="47">
        <v>3153</v>
      </c>
      <c r="B2273" s="48" t="str">
        <f>IFERROR(VLOOKUP(A2273,CLIENTES!A:E,2,0),"CADASTRAR CLIENTE")</f>
        <v>UNIMED DE TUPA COOPERATIVA DE TRABALHO MEDICO</v>
      </c>
      <c r="C2273" s="54" t="s">
        <v>3</v>
      </c>
      <c r="D2273" s="54">
        <v>89319</v>
      </c>
      <c r="E2273" s="51">
        <v>3625.08</v>
      </c>
      <c r="F2273" s="48"/>
      <c r="G2273" s="51"/>
      <c r="H2273" s="52"/>
      <c r="I2273" s="53">
        <v>45901</v>
      </c>
    </row>
    <row r="2274" spans="1:9">
      <c r="A2274" s="47">
        <v>2022</v>
      </c>
      <c r="B2274" s="48" t="str">
        <f>IFERROR(VLOOKUP(A2274,CLIENTES!A:E,2,0),"CADASTRAR CLIENTE")</f>
        <v>LAB. MEDICO DR. MARICONDI S/C LTDA.</v>
      </c>
      <c r="C2274" s="54" t="s">
        <v>3</v>
      </c>
      <c r="D2274" s="54">
        <v>89318</v>
      </c>
      <c r="E2274" s="51">
        <v>969.24</v>
      </c>
      <c r="F2274" s="48"/>
      <c r="G2274" s="51"/>
      <c r="H2274" s="52"/>
      <c r="I2274" s="53">
        <v>45901</v>
      </c>
    </row>
    <row r="2275" spans="1:9">
      <c r="A2275" s="47">
        <v>1533</v>
      </c>
      <c r="B2275" s="48" t="str">
        <f>IFERROR(VLOOKUP(A2275,CLIENTES!A:E,2,0),"CADASTRAR CLIENTE")</f>
        <v>LABORATORIO BIOANALISE DIAGNOSTICO LTDA</v>
      </c>
      <c r="C2275" s="54" t="s">
        <v>3</v>
      </c>
      <c r="D2275" s="54" t="s">
        <v>714</v>
      </c>
      <c r="E2275" s="51">
        <v>1176.1099999999999</v>
      </c>
      <c r="F2275" s="48"/>
      <c r="G2275" s="51"/>
      <c r="H2275" s="52"/>
      <c r="I2275" s="53">
        <v>45902</v>
      </c>
    </row>
    <row r="2276" spans="1:9">
      <c r="A2276" s="47">
        <v>784</v>
      </c>
      <c r="B2276" s="48" t="str">
        <f>IFERROR(VLOOKUP(A2276,CLIENTES!A:E,2,0),"CADASTRAR CLIENTE")</f>
        <v>LAB.ANAL.CLIN. ALBERT SABIN SC LTDA.</v>
      </c>
      <c r="C2276" s="54" t="s">
        <v>3</v>
      </c>
      <c r="D2276" s="54">
        <v>89408</v>
      </c>
      <c r="E2276" s="51">
        <v>3760.26</v>
      </c>
      <c r="F2276" s="48"/>
      <c r="G2276" s="51"/>
      <c r="H2276" s="52"/>
      <c r="I2276" s="53">
        <v>45902</v>
      </c>
    </row>
    <row r="2277" spans="1:9">
      <c r="A2277" s="47">
        <v>50219</v>
      </c>
      <c r="B2277" s="48" t="str">
        <f>IFERROR(VLOOKUP(A2277,CLIENTES!A:E,2,0),"CADASTRAR CLIENTE")</f>
        <v>UNIPREV LAB DE ANALISES LOCACAO DE BENS E REPAROS LTDA EPP</v>
      </c>
      <c r="C2277" s="54" t="s">
        <v>3</v>
      </c>
      <c r="D2277" s="54" t="s">
        <v>715</v>
      </c>
      <c r="E2277" s="51">
        <v>1628.45</v>
      </c>
      <c r="F2277" s="48"/>
      <c r="G2277" s="51"/>
      <c r="H2277" s="52"/>
      <c r="I2277" s="53">
        <v>45902</v>
      </c>
    </row>
    <row r="2278" spans="1:9">
      <c r="A2278" s="47">
        <v>572</v>
      </c>
      <c r="B2278" s="48" t="str">
        <f>IFERROR(VLOOKUP(A2278,CLIENTES!A:E,2,0),"CADASTRAR CLIENTE")</f>
        <v>LABORATORIO MULTIANALISES LTDA-ME</v>
      </c>
      <c r="C2278" s="54" t="s">
        <v>3</v>
      </c>
      <c r="D2278" s="54">
        <v>89431</v>
      </c>
      <c r="E2278" s="51">
        <v>511.91</v>
      </c>
      <c r="F2278" s="48"/>
      <c r="G2278" s="51"/>
      <c r="H2278" s="52"/>
      <c r="I2278" s="53">
        <v>45902</v>
      </c>
    </row>
    <row r="2279" spans="1:9">
      <c r="A2279" s="47">
        <v>50418</v>
      </c>
      <c r="B2279" s="48" t="str">
        <f>IFERROR(VLOOKUP(A2279,CLIENTES!A:E,2,0),"CADASTRAR CLIENTE")</f>
        <v>LABORATORIO SAO LUCAS DE BROTAS SS LTDA</v>
      </c>
      <c r="C2279" s="54" t="s">
        <v>3</v>
      </c>
      <c r="D2279" s="54">
        <v>89445</v>
      </c>
      <c r="E2279" s="51">
        <v>2985.8</v>
      </c>
      <c r="F2279" s="48"/>
      <c r="G2279" s="51"/>
      <c r="H2279" s="52"/>
      <c r="I2279" s="53">
        <v>45902</v>
      </c>
    </row>
    <row r="2280" spans="1:9">
      <c r="A2280" s="47">
        <v>1971</v>
      </c>
      <c r="B2280" s="48" t="str">
        <f>IFERROR(VLOOKUP(A2280,CLIENTES!A:E,2,0),"CADASTRAR CLIENTE")</f>
        <v>LABORATORIO POPULAR LAB 7 LTDA</v>
      </c>
      <c r="C2280" s="54" t="s">
        <v>3</v>
      </c>
      <c r="D2280" s="54" t="s">
        <v>716</v>
      </c>
      <c r="E2280" s="51">
        <v>689.95</v>
      </c>
      <c r="F2280" s="48"/>
      <c r="G2280" s="51"/>
      <c r="H2280" s="52"/>
      <c r="I2280" s="53">
        <v>45903</v>
      </c>
    </row>
    <row r="2281" spans="1:9">
      <c r="A2281" s="47">
        <v>500005</v>
      </c>
      <c r="B2281" s="48" t="str">
        <f>IFERROR(VLOOKUP(A2281,CLIENTES!A:E,2,0),"CADASTRAR CLIENTE")</f>
        <v>ASSOCIACAO EDUCACIONAL DE ENSINO SUPERIOR</v>
      </c>
      <c r="C2281" s="54" t="s">
        <v>3</v>
      </c>
      <c r="D2281" s="54" t="s">
        <v>717</v>
      </c>
      <c r="E2281" s="51">
        <v>3620.55</v>
      </c>
      <c r="F2281" s="48"/>
      <c r="G2281" s="51"/>
      <c r="H2281" s="52"/>
      <c r="I2281" s="53">
        <v>45903</v>
      </c>
    </row>
    <row r="2282" spans="1:9">
      <c r="A2282" s="47">
        <v>3077</v>
      </c>
      <c r="B2282" s="48" t="str">
        <f>IFERROR(VLOOKUP(A2282,CLIENTES!A:E,2,0),"CADASTRAR CLIENTE")</f>
        <v>CBI ANALISES CLINICAS S/S LTDA</v>
      </c>
      <c r="C2282" s="54" t="s">
        <v>3</v>
      </c>
      <c r="D2282" s="54">
        <v>89477</v>
      </c>
      <c r="E2282" s="51">
        <v>1352.74</v>
      </c>
      <c r="F2282" s="48"/>
      <c r="G2282" s="51"/>
      <c r="H2282" s="52"/>
      <c r="I2282" s="53">
        <v>45903</v>
      </c>
    </row>
    <row r="2283" spans="1:9">
      <c r="A2283" s="47">
        <v>171</v>
      </c>
      <c r="B2283" s="48" t="str">
        <f>IFERROR(VLOOKUP(A2283,CLIENTES!A:E,2,0),"CADASTRAR CLIENTE")</f>
        <v>HOSPITAL BENEFICENTE SAO JOSE</v>
      </c>
      <c r="C2283" s="54" t="s">
        <v>3</v>
      </c>
      <c r="D2283" s="54">
        <v>89289</v>
      </c>
      <c r="E2283" s="51">
        <v>2469</v>
      </c>
      <c r="F2283" s="48"/>
      <c r="G2283" s="51"/>
      <c r="H2283" s="52"/>
      <c r="I2283" s="53">
        <v>45903</v>
      </c>
    </row>
    <row r="2284" spans="1:9">
      <c r="A2284" s="73" t="s">
        <v>718</v>
      </c>
      <c r="B2284" s="48" t="str">
        <f>IFERROR(VLOOKUP(A2284,CLIENTES!A:E,2,0),"CADASTRAR CLIENTE")</f>
        <v>ADONEX COMÉRCIO DE PRODUTOS PARA LABORATÓRIO LTDA</v>
      </c>
      <c r="C2284" s="54" t="s">
        <v>3</v>
      </c>
      <c r="D2284" s="54">
        <v>89485</v>
      </c>
      <c r="E2284" s="51">
        <v>4650</v>
      </c>
      <c r="F2284" s="48"/>
      <c r="G2284" s="51"/>
      <c r="H2284" s="52"/>
      <c r="I2284" s="53">
        <v>45903</v>
      </c>
    </row>
    <row r="2285" spans="1:9">
      <c r="A2285" s="47">
        <v>1164</v>
      </c>
      <c r="B2285" s="48" t="str">
        <f>IFERROR(VLOOKUP(A2285,CLIENTES!A:E,2,0),"CADASTRAR CLIENTE")</f>
        <v>LAB. ANAL. CLIN. SAO LOURENCO S/C LTDA</v>
      </c>
      <c r="C2285" s="54" t="s">
        <v>3</v>
      </c>
      <c r="D2285" s="54" t="s">
        <v>722</v>
      </c>
      <c r="E2285" s="51">
        <v>841.6</v>
      </c>
      <c r="F2285" s="48"/>
      <c r="G2285" s="51"/>
      <c r="H2285" s="52"/>
      <c r="I2285" s="53">
        <v>45904</v>
      </c>
    </row>
    <row r="2286" spans="1:9">
      <c r="A2286" s="47">
        <v>906</v>
      </c>
      <c r="B2286" s="48" t="str">
        <f>IFERROR(VLOOKUP(A2286,CLIENTES!A:E,2,0),"CADASTRAR CLIENTE")</f>
        <v>LABORATORIO ANAL. CLIN. DESCALVADO LTDA</v>
      </c>
      <c r="C2286" s="54" t="s">
        <v>3</v>
      </c>
      <c r="D2286" s="54" t="s">
        <v>723</v>
      </c>
      <c r="E2286" s="51">
        <v>1616.44</v>
      </c>
      <c r="F2286" s="48"/>
      <c r="G2286" s="51"/>
      <c r="H2286" s="52"/>
      <c r="I2286" s="53">
        <v>45904</v>
      </c>
    </row>
    <row r="2287" spans="1:9">
      <c r="A2287" s="47">
        <v>690</v>
      </c>
      <c r="B2287" s="48" t="str">
        <f>IFERROR(VLOOKUP(A2287,CLIENTES!A:E,2,0),"CADASTRAR CLIENTE")</f>
        <v>SAO ROQUE MEDICINA DIAGNOSTICA LTDA EPP</v>
      </c>
      <c r="C2287" s="54" t="s">
        <v>3</v>
      </c>
      <c r="D2287" s="54" t="s">
        <v>724</v>
      </c>
      <c r="E2287" s="51">
        <v>2029.6</v>
      </c>
      <c r="F2287" s="48"/>
      <c r="G2287" s="51"/>
      <c r="H2287" s="52"/>
      <c r="I2287" s="53">
        <v>45904</v>
      </c>
    </row>
    <row r="2288" spans="1:9">
      <c r="A2288" s="47">
        <v>500726</v>
      </c>
      <c r="B2288" s="48" t="str">
        <f>IFERROR(VLOOKUP(A2288,CLIENTES!A:E,2,0),"CADASTRAR CLIENTE")</f>
        <v>INSTITUTO SOCIAL HOSPITAL ALEMAO OSWALDO CRUZ</v>
      </c>
      <c r="C2288" s="54" t="s">
        <v>3</v>
      </c>
      <c r="D2288" s="54">
        <v>89523</v>
      </c>
      <c r="E2288" s="51">
        <v>630</v>
      </c>
      <c r="F2288" s="48"/>
      <c r="G2288" s="51"/>
      <c r="H2288" s="52"/>
      <c r="I2288" s="53">
        <v>45904</v>
      </c>
    </row>
    <row r="2289" spans="1:9">
      <c r="A2289" s="47">
        <v>50554</v>
      </c>
      <c r="B2289" s="48" t="str">
        <f>IFERROR(VLOOKUP(A2289,CLIENTES!A:E,2,0),"CADASTRAR CLIENTE")</f>
        <v>SAO ROQUE MEDICINA DIAGNOSTICA</v>
      </c>
      <c r="C2289" s="54" t="s">
        <v>3</v>
      </c>
      <c r="D2289" s="54" t="s">
        <v>728</v>
      </c>
      <c r="E2289" s="51">
        <v>8814.5300000000007</v>
      </c>
      <c r="F2289" s="48"/>
      <c r="G2289" s="51"/>
      <c r="H2289" s="52"/>
      <c r="I2289" s="53">
        <v>45905</v>
      </c>
    </row>
    <row r="2290" spans="1:9">
      <c r="A2290" s="47">
        <v>3245</v>
      </c>
      <c r="B2290" s="48" t="str">
        <f>IFERROR(VLOOKUP(A2290,CLIENTES!A:E,2,0),"CADASTRAR CLIENTE")</f>
        <v>LABORATORIO DE ANALISES CLINICAS ROSSETO &amp; BARROS LTDA</v>
      </c>
      <c r="C2290" s="54" t="s">
        <v>3</v>
      </c>
      <c r="D2290" s="54">
        <v>89548</v>
      </c>
      <c r="E2290" s="51">
        <v>4049.85</v>
      </c>
      <c r="F2290" s="48"/>
      <c r="G2290" s="51"/>
      <c r="H2290" s="52"/>
      <c r="I2290" s="53">
        <v>45905</v>
      </c>
    </row>
    <row r="2291" spans="1:9">
      <c r="A2291" s="47">
        <v>761</v>
      </c>
      <c r="B2291" s="48" t="str">
        <f>IFERROR(VLOOKUP(A2291,CLIENTES!A:E,2,0),"CADASTRAR CLIENTE")</f>
        <v>EXAME CENTRO DIAG.M.ARACATUBA SC LTDA.</v>
      </c>
      <c r="C2291" s="54" t="s">
        <v>3</v>
      </c>
      <c r="D2291" s="54">
        <v>89144</v>
      </c>
      <c r="E2291" s="51">
        <v>27663.45</v>
      </c>
      <c r="F2291" s="48"/>
      <c r="G2291" s="51"/>
      <c r="H2291" s="52"/>
      <c r="I2291" s="53">
        <v>45905</v>
      </c>
    </row>
    <row r="2292" spans="1:9">
      <c r="A2292" s="47">
        <v>432</v>
      </c>
      <c r="B2292" s="48" t="str">
        <f>IFERROR(VLOOKUP(A2292,CLIENTES!A:E,2,0),"CADASTRAR CLIENTE")</f>
        <v>LABORATORIO PASTEUR HEMATOLOGIA E MICROBIOLOGIA S/S LTDA</v>
      </c>
      <c r="C2292" s="54" t="s">
        <v>3</v>
      </c>
      <c r="D2292" s="54">
        <v>101693</v>
      </c>
      <c r="E2292" s="51">
        <v>472.08</v>
      </c>
      <c r="F2292" s="48"/>
      <c r="G2292" s="51"/>
      <c r="H2292" s="52"/>
      <c r="I2292" s="53">
        <v>45905</v>
      </c>
    </row>
    <row r="2293" spans="1:9">
      <c r="A2293" s="47">
        <v>3194</v>
      </c>
      <c r="B2293" s="48" t="str">
        <f>IFERROR(VLOOKUP(A2293,CLIENTES!A:E,2,0),"CADASTRAR CLIENTE")</f>
        <v>CENTRO DE DIAGNOSTICOS CONTROLE LTDA</v>
      </c>
      <c r="C2293" s="54" t="s">
        <v>3</v>
      </c>
      <c r="D2293" s="54">
        <v>89559</v>
      </c>
      <c r="E2293" s="51">
        <v>925.4</v>
      </c>
      <c r="F2293" s="48"/>
      <c r="G2293" s="51"/>
      <c r="H2293" s="52"/>
      <c r="I2293" s="53">
        <v>45908</v>
      </c>
    </row>
    <row r="2294" spans="1:9">
      <c r="A2294" s="47">
        <v>1016</v>
      </c>
      <c r="B2294" s="48" t="str">
        <f>IFERROR(VLOOKUP(A2294,CLIENTES!A:E,2,0),"CADASTRAR CLIENTE")</f>
        <v>LAB.ANAL.CLIN. SAO LUCAS SC LTDA.</v>
      </c>
      <c r="C2294" s="54" t="s">
        <v>3</v>
      </c>
      <c r="D2294" s="54">
        <v>1016</v>
      </c>
      <c r="E2294" s="51">
        <v>4960.8</v>
      </c>
      <c r="F2294" s="48"/>
      <c r="G2294" s="51"/>
      <c r="H2294" s="52"/>
      <c r="I2294" s="53">
        <v>45908</v>
      </c>
    </row>
    <row r="2295" spans="1:9">
      <c r="A2295" s="47">
        <v>1206</v>
      </c>
      <c r="B2295" s="48" t="str">
        <f>IFERROR(VLOOKUP(A2295,CLIENTES!A:E,2,0),"CADASTRAR CLIENTE")</f>
        <v>LABORATORIO RIO NEGRO CENTER DE MARILIA  LTDA</v>
      </c>
      <c r="C2295" s="54" t="s">
        <v>3</v>
      </c>
      <c r="D2295" s="54">
        <v>89584</v>
      </c>
      <c r="E2295" s="51">
        <v>693.36</v>
      </c>
      <c r="F2295" s="48"/>
      <c r="G2295" s="51"/>
      <c r="H2295" s="52"/>
      <c r="I2295" s="53">
        <v>45908</v>
      </c>
    </row>
    <row r="2296" spans="1:9">
      <c r="A2296" s="47">
        <v>1493</v>
      </c>
      <c r="B2296" s="48" t="str">
        <f>IFERROR(VLOOKUP(A2296,CLIENTES!A:E,2,0),"CADASTRAR CLIENTE")</f>
        <v>CEDIMA  CENTRO DE DIAG MONTE AZUL ANAL CLIN E CIT</v>
      </c>
      <c r="C2296" s="54" t="s">
        <v>3</v>
      </c>
      <c r="D2296" s="54">
        <v>89591</v>
      </c>
      <c r="E2296" s="51">
        <v>2167.25</v>
      </c>
      <c r="F2296" s="48"/>
      <c r="G2296" s="51"/>
      <c r="H2296" s="52"/>
      <c r="I2296" s="53">
        <v>45908</v>
      </c>
    </row>
    <row r="2297" spans="1:9">
      <c r="A2297" s="47">
        <v>50558</v>
      </c>
      <c r="B2297" s="48" t="str">
        <f>IFERROR(VLOOKUP(A2297,CLIENTES!A:E,2,0),"CADASTRAR CLIENTE")</f>
        <v>FUNDACAO PAULISTA DE TECNOLOGIA E EDUCACAO</v>
      </c>
      <c r="C2297" s="54" t="s">
        <v>3</v>
      </c>
      <c r="D2297" s="54">
        <v>89187</v>
      </c>
      <c r="E2297" s="51">
        <v>1868</v>
      </c>
      <c r="F2297" s="48"/>
      <c r="G2297" s="51"/>
      <c r="H2297" s="52"/>
      <c r="I2297" s="53">
        <v>45908</v>
      </c>
    </row>
    <row r="2298" spans="1:9">
      <c r="A2298" s="47">
        <v>2415</v>
      </c>
      <c r="B2298" s="48" t="str">
        <f>IFERROR(VLOOKUP(A2298,CLIENTES!A:E,2,0),"CADASTRAR CLIENTE")</f>
        <v>ROSSETTO E BARROS LABORATORIO DE ANALISES CLINICAS LTDA</v>
      </c>
      <c r="C2298" s="54" t="s">
        <v>3</v>
      </c>
      <c r="D2298" s="54">
        <v>89248</v>
      </c>
      <c r="E2298" s="51">
        <v>1334.6</v>
      </c>
      <c r="F2298" s="48"/>
      <c r="G2298" s="51"/>
      <c r="H2298" s="52"/>
      <c r="I2298" s="53">
        <v>45908</v>
      </c>
    </row>
    <row r="2299" spans="1:9">
      <c r="A2299" s="47">
        <v>1813</v>
      </c>
      <c r="B2299" s="48" t="str">
        <f>IFERROR(VLOOKUP(A2299,CLIENTES!A:E,2,0),"CADASTRAR CLIENTE")</f>
        <v>BIOMED LAB.ANAL.CLIN. SC  LTDA</v>
      </c>
      <c r="C2299" s="54" t="s">
        <v>3</v>
      </c>
      <c r="D2299" s="54">
        <v>89602</v>
      </c>
      <c r="E2299" s="51">
        <v>1401.4</v>
      </c>
      <c r="F2299" s="48"/>
      <c r="G2299" s="51"/>
      <c r="H2299" s="52"/>
      <c r="I2299" s="53">
        <v>45908</v>
      </c>
    </row>
    <row r="2300" spans="1:9">
      <c r="A2300" s="47">
        <v>746</v>
      </c>
      <c r="B2300" s="48" t="str">
        <f>IFERROR(VLOOKUP(A2300,CLIENTES!A:E,2,0),"CADASTRAR CLIENTE")</f>
        <v>LAB.ANAL.CLIN.BIOCLIN SC LTDA.</v>
      </c>
      <c r="C2300" s="54" t="s">
        <v>3</v>
      </c>
      <c r="D2300" s="54" t="s">
        <v>729</v>
      </c>
      <c r="E2300" s="51">
        <v>4635.58</v>
      </c>
      <c r="F2300" s="48"/>
      <c r="G2300" s="51"/>
      <c r="H2300" s="52"/>
      <c r="I2300" s="53">
        <v>45908</v>
      </c>
    </row>
    <row r="2301" spans="1:9">
      <c r="A2301" s="47">
        <v>2022</v>
      </c>
      <c r="B2301" s="48" t="str">
        <f>IFERROR(VLOOKUP(A2301,CLIENTES!A:E,2,0),"CADASTRAR CLIENTE")</f>
        <v>LAB. MEDICO DR. MARICONDI S/C LTDA.</v>
      </c>
      <c r="C2301" s="54" t="s">
        <v>3</v>
      </c>
      <c r="D2301" s="54">
        <v>89430</v>
      </c>
      <c r="E2301" s="59">
        <v>879.2</v>
      </c>
      <c r="F2301" s="48"/>
      <c r="G2301" s="51"/>
      <c r="H2301" s="52"/>
      <c r="I2301" s="53">
        <v>45908</v>
      </c>
    </row>
    <row r="2302" spans="1:9">
      <c r="A2302" s="47">
        <v>725</v>
      </c>
      <c r="B2302" s="48" t="str">
        <f>IFERROR(VLOOKUP(A2302,CLIENTES!A:E,2,0),"CADASTRAR CLIENTE")</f>
        <v>LAB. ANAL. CLIN. DR. ALUISIO CASELLA</v>
      </c>
      <c r="C2302" s="54" t="s">
        <v>3</v>
      </c>
      <c r="D2302" s="54">
        <v>89629</v>
      </c>
      <c r="E2302" s="59">
        <v>1081.78</v>
      </c>
      <c r="F2302" s="48"/>
      <c r="G2302" s="51"/>
      <c r="H2302" s="52"/>
      <c r="I2302" s="53">
        <v>45909</v>
      </c>
    </row>
    <row r="2303" spans="1:9">
      <c r="A2303" s="47">
        <v>50576</v>
      </c>
      <c r="B2303" s="48" t="str">
        <f>IFERROR(VLOOKUP(A2303,CLIENTES!A:E,2,0),"CADASTRAR CLIENTE")</f>
        <v>ANDRIAO CANEPPA E SILVA LTDA ME</v>
      </c>
      <c r="C2303" s="54" t="s">
        <v>3</v>
      </c>
      <c r="D2303" s="54" t="s">
        <v>730</v>
      </c>
      <c r="E2303" s="59">
        <v>2571.3000000000002</v>
      </c>
      <c r="F2303" s="48"/>
      <c r="G2303" s="51"/>
      <c r="H2303" s="52"/>
      <c r="I2303" s="53">
        <v>45910</v>
      </c>
    </row>
    <row r="2304" spans="1:9">
      <c r="A2304" s="47">
        <v>2415</v>
      </c>
      <c r="B2304" s="48" t="str">
        <f>IFERROR(VLOOKUP(A2304,CLIENTES!A:E,2,0),"CADASTRAR CLIENTE")</f>
        <v>ROSSETTO E BARROS LABORATORIO DE ANALISES CLINICAS LTDA</v>
      </c>
      <c r="C2304" s="54" t="s">
        <v>3</v>
      </c>
      <c r="D2304" s="54">
        <v>89682</v>
      </c>
      <c r="E2304" s="59">
        <v>1089</v>
      </c>
      <c r="F2304" s="48"/>
      <c r="G2304" s="51"/>
      <c r="H2304" s="52"/>
      <c r="I2304" s="74">
        <v>45910</v>
      </c>
    </row>
    <row r="2305" spans="1:9">
      <c r="A2305" s="47">
        <v>50554</v>
      </c>
      <c r="B2305" s="48" t="str">
        <f>IFERROR(VLOOKUP(A2305,CLIENTES!A:E,2,0),"CADASTRAR CLIENTE")</f>
        <v>SAO ROQUE MEDICINA DIAGNOSTICA</v>
      </c>
      <c r="C2305" s="54" t="s">
        <v>3</v>
      </c>
      <c r="D2305" s="54">
        <v>88974</v>
      </c>
      <c r="E2305" s="51">
        <v>189</v>
      </c>
      <c r="F2305" s="48"/>
      <c r="G2305" s="51"/>
      <c r="H2305" s="52"/>
      <c r="I2305" s="53">
        <v>45910</v>
      </c>
    </row>
    <row r="2306" spans="1:9">
      <c r="A2306" s="47">
        <v>1989</v>
      </c>
      <c r="B2306" s="48" t="str">
        <f>IFERROR(VLOOKUP(A2306,CLIENTES!A:E,2,0),"CADASTRAR CLIENTE")</f>
        <v>SAO FRANCISCO ANAL. CLIN.</v>
      </c>
      <c r="C2306" s="54" t="s">
        <v>3</v>
      </c>
      <c r="D2306" s="54">
        <v>88857</v>
      </c>
      <c r="E2306" s="51">
        <v>616.03</v>
      </c>
      <c r="F2306" s="48"/>
      <c r="G2306" s="51"/>
      <c r="H2306" s="52"/>
      <c r="I2306" s="53">
        <v>45910</v>
      </c>
    </row>
    <row r="2307" spans="1:9">
      <c r="A2307" s="47">
        <v>784</v>
      </c>
      <c r="B2307" s="48" t="str">
        <f>IFERROR(VLOOKUP(A2307,CLIENTES!A:E,2,0),"CADASTRAR CLIENTE")</f>
        <v>LAB.ANAL.CLIN. ALBERT SABIN SC LTDA.</v>
      </c>
      <c r="C2307" s="54" t="s">
        <v>3</v>
      </c>
      <c r="D2307" s="54">
        <v>89690</v>
      </c>
      <c r="E2307" s="51">
        <v>89.25</v>
      </c>
      <c r="F2307" s="48"/>
      <c r="G2307" s="51"/>
      <c r="H2307" s="52"/>
      <c r="I2307" s="53">
        <v>45910</v>
      </c>
    </row>
    <row r="2308" spans="1:9">
      <c r="A2308" s="47">
        <v>3017</v>
      </c>
      <c r="B2308" s="48" t="str">
        <f>IFERROR(VLOOKUP(A2308,CLIENTES!A:E,2,0),"CADASTRAR CLIENTE")</f>
        <v>IMUNOLAB LABORATORIO DE ANALISES CLINICAS LTDA ME</v>
      </c>
      <c r="C2308" s="54" t="s">
        <v>3</v>
      </c>
      <c r="D2308" s="54">
        <v>89694</v>
      </c>
      <c r="E2308" s="51">
        <v>2134.7199999999998</v>
      </c>
      <c r="F2308" s="48"/>
      <c r="G2308" s="51"/>
      <c r="H2308" s="52"/>
      <c r="I2308" s="53">
        <v>45910</v>
      </c>
    </row>
    <row r="2309" spans="1:9">
      <c r="A2309" s="47">
        <v>1240</v>
      </c>
      <c r="B2309" s="48" t="str">
        <f>IFERROR(VLOOKUP(A2309,CLIENTES!A:E,2,0),"CADASTRAR CLIENTE")</f>
        <v>MONICA VIEIRA DE CAMPOS REBELO-ME</v>
      </c>
      <c r="C2309" s="54" t="s">
        <v>3</v>
      </c>
      <c r="D2309" s="54">
        <v>89601</v>
      </c>
      <c r="E2309" s="51">
        <v>2622.12</v>
      </c>
      <c r="F2309" s="48"/>
      <c r="G2309" s="51"/>
      <c r="H2309" s="52"/>
      <c r="I2309" s="53">
        <v>45910</v>
      </c>
    </row>
    <row r="2310" spans="1:9">
      <c r="A2310" s="47">
        <v>1058</v>
      </c>
      <c r="B2310" s="48" t="str">
        <f>IFERROR(VLOOKUP(A2310,CLIENTES!A:E,2,0),"CADASTRAR CLIENTE")</f>
        <v>LAB. ANAL. CLIN. DR ARNALDO BUAINAIN SS LTDA</v>
      </c>
      <c r="C2310" s="54" t="s">
        <v>3</v>
      </c>
      <c r="D2310" s="54">
        <v>89688</v>
      </c>
      <c r="E2310" s="51">
        <v>1890</v>
      </c>
      <c r="F2310" s="48"/>
      <c r="G2310" s="51"/>
      <c r="H2310" s="52"/>
      <c r="I2310" s="53">
        <v>45910</v>
      </c>
    </row>
    <row r="2311" spans="1:9">
      <c r="A2311" s="47">
        <v>1533</v>
      </c>
      <c r="B2311" s="48" t="str">
        <f>IFERROR(VLOOKUP(A2311,CLIENTES!A:E,2,0),"CADASTRAR CLIENTE")</f>
        <v>LABORATORIO BIOANALISE DIAGNOSTICO LTDA</v>
      </c>
      <c r="C2311" s="54" t="s">
        <v>3</v>
      </c>
      <c r="D2311" s="54">
        <v>89628</v>
      </c>
      <c r="E2311" s="51">
        <v>1033</v>
      </c>
      <c r="F2311" s="48"/>
      <c r="G2311" s="51"/>
      <c r="H2311" s="52"/>
      <c r="I2311" s="53">
        <v>45910</v>
      </c>
    </row>
    <row r="2312" spans="1:9">
      <c r="A2312" s="47">
        <v>3405</v>
      </c>
      <c r="B2312" s="48" t="str">
        <f>IFERROR(VLOOKUP(A2312,CLIENTES!A:E,2,0),"CADASTRAR CLIENTE")</f>
        <v>CONSORCIO INTERMUNICIPAL DE SAUDE</v>
      </c>
      <c r="C2312" s="54" t="s">
        <v>3</v>
      </c>
      <c r="D2312" s="54">
        <v>88992</v>
      </c>
      <c r="E2312" s="51">
        <v>429.3</v>
      </c>
      <c r="F2312" s="48"/>
      <c r="G2312" s="51"/>
      <c r="H2312" s="52"/>
      <c r="I2312" s="53">
        <v>45910</v>
      </c>
    </row>
    <row r="2313" spans="1:9">
      <c r="A2313" s="47">
        <v>50465</v>
      </c>
      <c r="B2313" s="48" t="str">
        <f>IFERROR(VLOOKUP(A2313,CLIENTES!A:E,2,0),"CADASTRAR CLIENTE")</f>
        <v>LABORATORIO DE ANALISES CLINICAS VIDA BIRIGUI LTDA</v>
      </c>
      <c r="C2313" s="54" t="s">
        <v>3</v>
      </c>
      <c r="D2313" s="54">
        <v>89710</v>
      </c>
      <c r="E2313" s="51">
        <v>1199</v>
      </c>
      <c r="F2313" s="48"/>
      <c r="G2313" s="51"/>
      <c r="H2313" s="52"/>
      <c r="I2313" s="53">
        <v>45910</v>
      </c>
    </row>
    <row r="2314" spans="1:9">
      <c r="A2314" s="47">
        <v>171</v>
      </c>
      <c r="B2314" s="48" t="str">
        <f>IFERROR(VLOOKUP(A2314,CLIENTES!A:E,2,0),"CADASTRAR CLIENTE")</f>
        <v>HOSPITAL BENEFICENTE SAO JOSE</v>
      </c>
      <c r="C2314" s="54" t="s">
        <v>3</v>
      </c>
      <c r="D2314" s="54">
        <v>89727</v>
      </c>
      <c r="E2314" s="51">
        <v>1609.4</v>
      </c>
      <c r="F2314" s="48"/>
      <c r="G2314" s="51"/>
      <c r="H2314" s="52"/>
      <c r="I2314" s="53">
        <v>45911</v>
      </c>
    </row>
    <row r="2315" spans="1:9">
      <c r="A2315" s="47">
        <v>311</v>
      </c>
      <c r="B2315" s="48" t="str">
        <f>IFERROR(VLOOKUP(A2315,CLIENTES!A:E,2,0),"CADASTRAR CLIENTE")</f>
        <v>CENTRO DE ANAL.CLIN. UNILAB  SC LTDA.</v>
      </c>
      <c r="C2315" s="54" t="s">
        <v>3</v>
      </c>
      <c r="D2315" s="54">
        <v>101732</v>
      </c>
      <c r="E2315" s="51">
        <v>238.96</v>
      </c>
      <c r="F2315" s="48"/>
      <c r="G2315" s="51"/>
      <c r="H2315" s="52"/>
      <c r="I2315" s="53">
        <v>45912</v>
      </c>
    </row>
    <row r="2316" spans="1:9">
      <c r="A2316" s="47">
        <v>1623</v>
      </c>
      <c r="B2316" s="48" t="str">
        <f>IFERROR(VLOOKUP(A2316,CLIENTES!A:E,2,0),"CADASTRAR CLIENTE")</f>
        <v>LAB.ANAL.CLIN. E REP. BADY BASSIT LTDA</v>
      </c>
      <c r="C2316" s="54" t="s">
        <v>3</v>
      </c>
      <c r="D2316" s="54">
        <v>89759</v>
      </c>
      <c r="E2316" s="51">
        <v>1012.52</v>
      </c>
      <c r="F2316" s="48"/>
      <c r="G2316" s="51"/>
      <c r="H2316" s="52"/>
      <c r="I2316" s="53">
        <v>45912</v>
      </c>
    </row>
    <row r="2317" spans="1:9">
      <c r="A2317" s="47">
        <v>690</v>
      </c>
      <c r="B2317" s="48" t="str">
        <f>IFERROR(VLOOKUP(A2317,CLIENTES!A:E,2,0),"CADASTRAR CLIENTE")</f>
        <v>SAO ROQUE MEDICINA DIAGNOSTICA LTDA EPP</v>
      </c>
      <c r="C2317" s="54" t="s">
        <v>3</v>
      </c>
      <c r="D2317" s="54">
        <v>89616</v>
      </c>
      <c r="E2317" s="51">
        <v>630.4</v>
      </c>
      <c r="F2317" s="48"/>
      <c r="G2317" s="51"/>
      <c r="H2317" s="52"/>
      <c r="I2317" s="53">
        <v>45915</v>
      </c>
    </row>
    <row r="2318" spans="1:9">
      <c r="A2318" s="47">
        <v>1533</v>
      </c>
      <c r="B2318" s="48" t="str">
        <f>IFERROR(VLOOKUP(A2318,CLIENTES!A:E,2,0),"CADASTRAR CLIENTE")</f>
        <v>LABORATORIO BIOANALISE DIAGNOSTICO LTDA</v>
      </c>
      <c r="C2318" s="54" t="s">
        <v>3</v>
      </c>
      <c r="D2318" s="54">
        <v>89789</v>
      </c>
      <c r="E2318" s="51">
        <v>1024.5999999999999</v>
      </c>
      <c r="F2318" s="48"/>
      <c r="G2318" s="51"/>
      <c r="H2318" s="52"/>
      <c r="I2318" s="53">
        <v>45915</v>
      </c>
    </row>
    <row r="2319" spans="1:9">
      <c r="A2319" s="47">
        <v>50185</v>
      </c>
      <c r="B2319" s="48" t="str">
        <f>IFERROR(VLOOKUP(A2319,CLIENTES!A:E,2,0),"CADASTRAR CLIENTE")</f>
        <v>ANIMALAB SS LTDA</v>
      </c>
      <c r="C2319" s="54" t="s">
        <v>3</v>
      </c>
      <c r="D2319" s="54">
        <v>89800</v>
      </c>
      <c r="E2319" s="51">
        <v>719.75</v>
      </c>
      <c r="F2319" s="48"/>
      <c r="G2319" s="51"/>
      <c r="H2319" s="52"/>
      <c r="I2319" s="53">
        <v>45915</v>
      </c>
    </row>
    <row r="2320" spans="1:9">
      <c r="A2320" s="47">
        <v>500752</v>
      </c>
      <c r="B2320" s="48" t="str">
        <f>IFERROR(VLOOKUP(A2320,CLIENTES!A:E,2,0),"CADASTRAR CLIENTE")</f>
        <v>LABORATORIO SAO LUCAS DE BROTAS SS LTDA</v>
      </c>
      <c r="C2320" s="54" t="s">
        <v>3</v>
      </c>
      <c r="D2320" s="54">
        <v>89785</v>
      </c>
      <c r="E2320" s="51">
        <v>455.08</v>
      </c>
      <c r="F2320" s="48"/>
      <c r="G2320" s="51"/>
      <c r="H2320" s="52"/>
      <c r="I2320" s="53">
        <v>45915</v>
      </c>
    </row>
    <row r="2321" spans="1:9">
      <c r="A2321" s="47">
        <v>575</v>
      </c>
      <c r="B2321" s="48" t="str">
        <f>IFERROR(VLOOKUP(A2321,CLIENTES!A:E,2,0),"CADASTRAR CLIENTE")</f>
        <v>DR MUNHOZ HOSPITAL VETERINARIO E PET SHOP</v>
      </c>
      <c r="C2321" s="54" t="s">
        <v>3</v>
      </c>
      <c r="D2321" s="54" t="s">
        <v>732</v>
      </c>
      <c r="E2321" s="51">
        <v>241.62</v>
      </c>
      <c r="F2321" s="48"/>
      <c r="G2321" s="51"/>
      <c r="H2321" s="52"/>
      <c r="I2321" s="53">
        <v>45915</v>
      </c>
    </row>
    <row r="2322" spans="1:9">
      <c r="A2322" s="47">
        <v>784</v>
      </c>
      <c r="B2322" s="48" t="str">
        <f>IFERROR(VLOOKUP(A2322,CLIENTES!A:E,2,0),"CADASTRAR CLIENTE")</f>
        <v>LAB.ANAL.CLIN. ALBERT SABIN SC LTDA.</v>
      </c>
      <c r="C2322" s="54" t="s">
        <v>3</v>
      </c>
      <c r="D2322" s="54">
        <v>89844</v>
      </c>
      <c r="E2322" s="51">
        <v>58.13</v>
      </c>
      <c r="F2322" s="48"/>
      <c r="G2322" s="51"/>
      <c r="H2322" s="52"/>
      <c r="I2322" s="53">
        <v>45916</v>
      </c>
    </row>
    <row r="2323" spans="1:9">
      <c r="A2323" s="47">
        <v>762</v>
      </c>
      <c r="B2323" s="48" t="str">
        <f>IFERROR(VLOOKUP(A2323,CLIENTES!A:E,2,0),"CADASTRAR CLIENTE")</f>
        <v>STA. CASA MISERICORDIA DE ARACATUBA</v>
      </c>
      <c r="C2323" s="54" t="s">
        <v>3</v>
      </c>
      <c r="D2323" s="54">
        <v>89820</v>
      </c>
      <c r="E2323" s="51">
        <v>4244.05</v>
      </c>
      <c r="F2323" s="48"/>
      <c r="G2323" s="51"/>
      <c r="H2323" s="52"/>
      <c r="I2323" s="53">
        <v>45916</v>
      </c>
    </row>
    <row r="2324" spans="1:9">
      <c r="A2324" s="18">
        <v>762</v>
      </c>
      <c r="B2324" s="19" t="str">
        <f>IFERROR(VLOOKUP(A2324,CLIENTES!A:E,2,0),"CADASTRAR CLIENTE")</f>
        <v>STA. CASA MISERICORDIA DE ARACATUBA</v>
      </c>
      <c r="C2324" s="60" t="s">
        <v>3</v>
      </c>
      <c r="D2324" s="60">
        <v>89835</v>
      </c>
      <c r="E2324" s="21">
        <v>5641.7</v>
      </c>
      <c r="F2324" s="19"/>
      <c r="G2324" s="21"/>
      <c r="H2324" s="22"/>
      <c r="I2324" s="20">
        <v>45916</v>
      </c>
    </row>
    <row r="2325" spans="1:9">
      <c r="A2325" s="47">
        <v>724</v>
      </c>
      <c r="B2325" s="48" t="str">
        <f>IFERROR(VLOOKUP(A2325,CLIENTES!A:E,2,0),"CADASTRAR CLIENTE")</f>
        <v>LAB. ANAL. CLIN. DRA SILVIA M.MANZATO LARANJO SC LTDA.</v>
      </c>
      <c r="C2325" s="54" t="s">
        <v>3</v>
      </c>
      <c r="D2325" s="54">
        <v>89831</v>
      </c>
      <c r="E2325" s="51">
        <v>418.82</v>
      </c>
      <c r="F2325" s="48"/>
      <c r="G2325" s="51"/>
      <c r="H2325" s="52"/>
      <c r="I2325" s="53">
        <v>45916</v>
      </c>
    </row>
    <row r="2326" spans="1:9">
      <c r="A2326" s="47">
        <v>2022</v>
      </c>
      <c r="B2326" s="48" t="str">
        <f>IFERROR(VLOOKUP(A2326,CLIENTES!A:E,2,0),"CADASTRAR CLIENTE")</f>
        <v>LAB. MEDICO DR. MARICONDI S/C LTDA.</v>
      </c>
      <c r="C2326" s="54" t="s">
        <v>3</v>
      </c>
      <c r="D2326" s="54">
        <v>89874</v>
      </c>
      <c r="E2326" s="51">
        <v>217.3</v>
      </c>
      <c r="F2326" s="48"/>
      <c r="G2326" s="51"/>
      <c r="H2326" s="52"/>
      <c r="I2326" s="53">
        <v>45916</v>
      </c>
    </row>
    <row r="2327" spans="1:9">
      <c r="A2327" s="47">
        <v>823</v>
      </c>
      <c r="B2327" s="48" t="str">
        <f>IFERROR(VLOOKUP(A2327,CLIENTES!A:E,2,0),"CADASTRAR CLIENTE")</f>
        <v>SANCHES x SANCHES S/C LTDA</v>
      </c>
      <c r="C2327" s="54" t="s">
        <v>3</v>
      </c>
      <c r="D2327" s="54" t="s">
        <v>733</v>
      </c>
      <c r="E2327" s="51">
        <v>1946.98</v>
      </c>
      <c r="F2327" s="48"/>
      <c r="G2327" s="51"/>
      <c r="H2327" s="52"/>
      <c r="I2327" s="53">
        <v>45916</v>
      </c>
    </row>
    <row r="2328" spans="1:9">
      <c r="A2328" s="47">
        <v>50465</v>
      </c>
      <c r="B2328" s="48" t="str">
        <f>IFERROR(VLOOKUP(A2328,CLIENTES!A:E,2,0),"CADASTRAR CLIENTE")</f>
        <v>LABORATORIO DE ANALISES CLINICAS VIDA BIRIGUI LTDA</v>
      </c>
      <c r="C2328" s="54" t="s">
        <v>3</v>
      </c>
      <c r="D2328" s="54">
        <v>89885</v>
      </c>
      <c r="E2328" s="51">
        <v>76.5</v>
      </c>
      <c r="F2328" s="48"/>
      <c r="G2328" s="51"/>
      <c r="H2328" s="52"/>
      <c r="I2328" s="53">
        <v>45917</v>
      </c>
    </row>
    <row r="2329" spans="1:9">
      <c r="A2329" s="47">
        <v>50465</v>
      </c>
      <c r="B2329" s="48" t="str">
        <f>IFERROR(VLOOKUP(A2329,CLIENTES!A:E,2,0),"CADASTRAR CLIENTE")</f>
        <v>LABORATORIO DE ANALISES CLINICAS VIDA BIRIGUI LTDA</v>
      </c>
      <c r="C2329" s="54" t="s">
        <v>3</v>
      </c>
      <c r="D2329" s="54">
        <v>101737</v>
      </c>
      <c r="E2329" s="51">
        <v>250</v>
      </c>
      <c r="F2329" s="48"/>
      <c r="G2329" s="51"/>
      <c r="H2329" s="52"/>
      <c r="I2329" s="53">
        <v>45917</v>
      </c>
    </row>
    <row r="2330" spans="1:9">
      <c r="A2330" s="47">
        <v>2022</v>
      </c>
      <c r="B2330" s="48" t="str">
        <f>IFERROR(VLOOKUP(A2330,CLIENTES!A:E,2,0),"CADASTRAR CLIENTE")</f>
        <v>LAB. MEDICO DR. MARICONDI S/C LTDA.</v>
      </c>
      <c r="C2330" s="54" t="s">
        <v>3</v>
      </c>
      <c r="D2330" s="54">
        <v>89890</v>
      </c>
      <c r="E2330" s="51">
        <v>8113.8</v>
      </c>
      <c r="F2330" s="48"/>
      <c r="G2330" s="51"/>
      <c r="H2330" s="52"/>
      <c r="I2330" s="53">
        <v>45917</v>
      </c>
    </row>
    <row r="2331" spans="1:9">
      <c r="A2331" s="47">
        <v>705</v>
      </c>
      <c r="B2331" s="48" t="str">
        <f>IFERROR(VLOOKUP(A2331,CLIENTES!A:E,2,0),"CADASTRAR CLIENTE")</f>
        <v>JOAO JOSE SCHIAVUZZO ME</v>
      </c>
      <c r="C2331" s="54" t="s">
        <v>3</v>
      </c>
      <c r="D2331" s="54">
        <v>89884</v>
      </c>
      <c r="E2331" s="51">
        <v>1523.36</v>
      </c>
      <c r="F2331" s="48"/>
      <c r="G2331" s="51"/>
      <c r="H2331" s="52"/>
      <c r="I2331" s="53">
        <v>45917</v>
      </c>
    </row>
    <row r="2332" spans="1:9">
      <c r="A2332" s="47">
        <v>708</v>
      </c>
      <c r="B2332" s="48" t="str">
        <f>IFERROR(VLOOKUP(A2332,CLIENTES!A:E,2,0),"CADASTRAR CLIENTE")</f>
        <v>IMEDI INST.MEDICO DE PAT.E DIAGNOSTICO SC LTDA.</v>
      </c>
      <c r="C2332" s="54" t="s">
        <v>3</v>
      </c>
      <c r="D2332" s="54">
        <v>89892</v>
      </c>
      <c r="E2332" s="51">
        <v>2030</v>
      </c>
      <c r="F2332" s="48"/>
      <c r="G2332" s="51"/>
      <c r="H2332" s="52"/>
      <c r="I2332" s="53">
        <v>45917</v>
      </c>
    </row>
    <row r="2333" spans="1:9">
      <c r="A2333" s="47">
        <v>475</v>
      </c>
      <c r="B2333" s="48" t="str">
        <f>IFERROR(VLOOKUP(A2333,CLIENTES!A:E,2,0),"CADASTRAR CLIENTE")</f>
        <v>LABORATORIO DE ANALISES CLINICAS SRC LTDA</v>
      </c>
      <c r="C2333" s="54" t="s">
        <v>3</v>
      </c>
      <c r="D2333" s="54" t="s">
        <v>734</v>
      </c>
      <c r="E2333" s="51">
        <v>3430.68</v>
      </c>
      <c r="F2333" s="51"/>
      <c r="G2333" s="51"/>
      <c r="H2333" s="52"/>
      <c r="I2333" s="53">
        <v>45917</v>
      </c>
    </row>
    <row r="2334" spans="1:9">
      <c r="A2334" s="47">
        <v>475</v>
      </c>
      <c r="B2334" s="48" t="str">
        <f>IFERROR(VLOOKUP(A2334,CLIENTES!A:E,2,0),"CADASTRAR CLIENTE")</f>
        <v>LABORATORIO DE ANALISES CLINICAS SRC LTDA</v>
      </c>
      <c r="C2334" s="54" t="s">
        <v>2</v>
      </c>
      <c r="D2334" s="54">
        <v>89209101723</v>
      </c>
      <c r="E2334" s="51">
        <v>13177.51</v>
      </c>
      <c r="F2334" s="48"/>
      <c r="G2334" s="51"/>
      <c r="H2334" s="52"/>
      <c r="I2334" s="53">
        <v>45917</v>
      </c>
    </row>
    <row r="2335" spans="1:9">
      <c r="A2335" s="47">
        <v>480</v>
      </c>
      <c r="B2335" s="48" t="str">
        <f>IFERROR(VLOOKUP(A2335,CLIENTES!A:E,2,0),"CADASTRAR CLIENTE")</f>
        <v>LAB SAO LUCAS</v>
      </c>
      <c r="C2335" s="54" t="s">
        <v>3</v>
      </c>
      <c r="D2335" s="54" t="s">
        <v>735</v>
      </c>
      <c r="E2335" s="51">
        <v>2871.68</v>
      </c>
      <c r="F2335" s="48"/>
      <c r="G2335" s="51"/>
      <c r="H2335" s="52"/>
      <c r="I2335" s="53">
        <v>45917</v>
      </c>
    </row>
    <row r="2336" spans="1:9">
      <c r="A2336" s="47">
        <v>516</v>
      </c>
      <c r="B2336" s="48" t="str">
        <f>IFERROR(VLOOKUP(A2336,CLIENTES!A:E,2,0),"CADASTRAR CLIENTE")</f>
        <v>TECNOLAB PATOLOGIA CLINICA S/C LTDA</v>
      </c>
      <c r="C2336" s="54" t="s">
        <v>3</v>
      </c>
      <c r="D2336" s="54">
        <v>89914</v>
      </c>
      <c r="E2336" s="51">
        <v>12421.05</v>
      </c>
      <c r="F2336" s="48"/>
      <c r="G2336" s="51"/>
      <c r="H2336" s="52"/>
      <c r="I2336" s="53">
        <v>45918</v>
      </c>
    </row>
    <row r="2337" spans="1:9">
      <c r="A2337" s="47">
        <v>761</v>
      </c>
      <c r="B2337" s="48" t="str">
        <f>IFERROR(VLOOKUP(A2337,CLIENTES!A:E,2,0),"CADASTRAR CLIENTE")</f>
        <v>EXAME CENTRO DIAG.M.ARACATUBA SC LTDA.</v>
      </c>
      <c r="C2337" s="54" t="s">
        <v>3</v>
      </c>
      <c r="D2337" s="54" t="s">
        <v>736</v>
      </c>
      <c r="E2337" s="51">
        <v>1542.05</v>
      </c>
      <c r="F2337" s="48"/>
      <c r="G2337" s="51"/>
      <c r="H2337" s="52"/>
      <c r="I2337" s="53">
        <v>45918</v>
      </c>
    </row>
    <row r="2338" spans="1:9">
      <c r="A2338" s="47">
        <v>874</v>
      </c>
      <c r="B2338" s="48" t="str">
        <f>IFERROR(VLOOKUP(A2338,CLIENTES!A:E,2,0),"CADASTRAR CLIENTE")</f>
        <v>LAB.ANAL.CLIN ABI JAUDI SC LTDA.</v>
      </c>
      <c r="C2338" s="54" t="s">
        <v>3</v>
      </c>
      <c r="D2338" s="54">
        <v>89937</v>
      </c>
      <c r="E2338" s="51">
        <v>6949.1</v>
      </c>
      <c r="F2338" s="48"/>
      <c r="G2338" s="51"/>
      <c r="H2338" s="52"/>
      <c r="I2338" s="53">
        <v>45918</v>
      </c>
    </row>
    <row r="2339" spans="1:9">
      <c r="A2339" s="47">
        <v>1164</v>
      </c>
      <c r="B2339" s="48" t="str">
        <f>IFERROR(VLOOKUP(A2339,CLIENTES!A:E,2,0),"CADASTRAR CLIENTE")</f>
        <v>LAB. ANAL. CLIN. SAO LOURENCO S/C LTDA</v>
      </c>
      <c r="C2339" s="54" t="s">
        <v>3</v>
      </c>
      <c r="D2339" s="54">
        <v>89805</v>
      </c>
      <c r="E2339" s="51">
        <v>1340.91</v>
      </c>
      <c r="F2339" s="48"/>
      <c r="G2339" s="51"/>
      <c r="H2339" s="52"/>
      <c r="I2339" s="53">
        <v>45918</v>
      </c>
    </row>
    <row r="2340" spans="1:9">
      <c r="A2340" s="62">
        <v>500243</v>
      </c>
      <c r="B2340" s="48" t="str">
        <f>IFERROR(VLOOKUP(A2340,CLIENTES!A:E,2,0),"CADASTRAR CLIENTE")</f>
        <v>UNIMED DE IBITINGA COOPERATIVA DE TRABALHO MEDICO</v>
      </c>
      <c r="C2340" s="54" t="s">
        <v>3</v>
      </c>
      <c r="D2340" s="54">
        <v>89957</v>
      </c>
      <c r="E2340" s="51">
        <v>2431.16</v>
      </c>
      <c r="F2340" s="48"/>
      <c r="G2340" s="51"/>
      <c r="H2340" s="52"/>
      <c r="I2340" s="53">
        <v>45918</v>
      </c>
    </row>
    <row r="2341" spans="1:9">
      <c r="A2341" s="47">
        <v>2763</v>
      </c>
      <c r="B2341" s="48" t="str">
        <f>IFERROR(VLOOKUP(A2341,CLIENTES!A:E,2,0),"CADASTRAR CLIENTE")</f>
        <v xml:space="preserve">cliente bia </v>
      </c>
      <c r="C2341" s="54" t="s">
        <v>738</v>
      </c>
      <c r="D2341" s="54" t="s">
        <v>739</v>
      </c>
      <c r="E2341" s="51">
        <v>484.1</v>
      </c>
      <c r="F2341" s="48"/>
      <c r="G2341" s="51"/>
      <c r="H2341" s="52"/>
      <c r="I2341" s="53">
        <v>45919</v>
      </c>
    </row>
    <row r="2342" spans="1:9">
      <c r="A2342" s="47">
        <v>1371</v>
      </c>
      <c r="B2342" s="48" t="str">
        <f>IFERROR(VLOOKUP(A2342,CLIENTES!A:E,2,0),"CADASTRAR CLIENTE")</f>
        <v>MICHELE LOPES BERGAMIM-ME</v>
      </c>
      <c r="C2342" s="54" t="s">
        <v>3</v>
      </c>
      <c r="D2342" s="54">
        <v>89981</v>
      </c>
      <c r="E2342" s="51">
        <v>1074</v>
      </c>
      <c r="F2342" s="48"/>
      <c r="G2342" s="51"/>
      <c r="H2342" s="52"/>
      <c r="I2342" s="53">
        <v>45919</v>
      </c>
    </row>
    <row r="2343" spans="1:9">
      <c r="A2343" s="47">
        <v>761</v>
      </c>
      <c r="B2343" s="48" t="str">
        <f>IFERROR(VLOOKUP(A2343,CLIENTES!A:E,2,0),"CADASTRAR CLIENTE")</f>
        <v>EXAME CENTRO DIAG.M.ARACATUBA SC LTDA.</v>
      </c>
      <c r="C2343" s="54" t="s">
        <v>3</v>
      </c>
      <c r="D2343" s="54">
        <v>90005</v>
      </c>
      <c r="E2343" s="51">
        <v>14169.64</v>
      </c>
      <c r="F2343" s="48"/>
      <c r="G2343" s="51"/>
      <c r="H2343" s="52"/>
      <c r="I2343" s="53">
        <v>45922</v>
      </c>
    </row>
    <row r="2344" spans="1:9">
      <c r="A2344" s="47">
        <v>50418</v>
      </c>
      <c r="B2344" s="48" t="str">
        <f>IFERROR(VLOOKUP(A2344,CLIENTES!A:E,2,0),"CADASTRAR CLIENTE")</f>
        <v>LABORATORIO SAO LUCAS DE BROTAS SS LTDA</v>
      </c>
      <c r="C2344" s="54" t="s">
        <v>3</v>
      </c>
      <c r="D2344" s="54">
        <v>89998</v>
      </c>
      <c r="E2344" s="51">
        <v>699</v>
      </c>
      <c r="F2344" s="48"/>
      <c r="G2344" s="51"/>
      <c r="H2344" s="52"/>
      <c r="I2344" s="53">
        <v>45922</v>
      </c>
    </row>
    <row r="2345" spans="1:9">
      <c r="A2345" s="47">
        <v>746</v>
      </c>
      <c r="B2345" s="48" t="str">
        <f>IFERROR(VLOOKUP(A2345,CLIENTES!A:E,2,0),"CADASTRAR CLIENTE")</f>
        <v>LAB.ANAL.CLIN.BIOCLIN SC LTDA.</v>
      </c>
      <c r="C2345" s="54" t="s">
        <v>3</v>
      </c>
      <c r="D2345" s="54">
        <v>101731</v>
      </c>
      <c r="E2345" s="51">
        <v>82.95</v>
      </c>
      <c r="F2345" s="48"/>
      <c r="G2345" s="51"/>
      <c r="H2345" s="52"/>
      <c r="I2345" s="53">
        <v>45922</v>
      </c>
    </row>
    <row r="2346" spans="1:9">
      <c r="A2346" s="47">
        <v>475</v>
      </c>
      <c r="B2346" s="48" t="str">
        <f>IFERROR(VLOOKUP(A2346,CLIENTES!A:E,2,0),"CADASTRAR CLIENTE")</f>
        <v>LABORATORIO DE ANALISES CLINICAS SRC LTDA</v>
      </c>
      <c r="C2346" s="54" t="s">
        <v>3</v>
      </c>
      <c r="D2346" s="54">
        <v>101773</v>
      </c>
      <c r="E2346" s="51">
        <v>206.47</v>
      </c>
      <c r="F2346" s="48"/>
      <c r="G2346" s="51"/>
      <c r="H2346" s="52"/>
      <c r="I2346" s="53">
        <v>45922</v>
      </c>
    </row>
    <row r="2347" spans="1:9">
      <c r="A2347" s="47">
        <v>2415</v>
      </c>
      <c r="B2347" s="48" t="str">
        <f>IFERROR(VLOOKUP(A2347,CLIENTES!A:E,2,0),"CADASTRAR CLIENTE")</f>
        <v>ROSSETTO E BARROS LABORATORIO DE ANALISES CLINICAS LTDA</v>
      </c>
      <c r="C2347" s="54" t="s">
        <v>3</v>
      </c>
      <c r="D2347" s="54" t="s">
        <v>740</v>
      </c>
      <c r="E2347" s="51">
        <v>455.6</v>
      </c>
      <c r="F2347" s="48"/>
      <c r="G2347" s="51"/>
      <c r="H2347" s="52"/>
      <c r="I2347" s="53">
        <v>45923</v>
      </c>
    </row>
    <row r="2348" spans="1:9">
      <c r="A2348" s="47">
        <v>2022</v>
      </c>
      <c r="B2348" s="48" t="str">
        <f>IFERROR(VLOOKUP(A2348,CLIENTES!A:E,2,0),"CADASTRAR CLIENTE")</f>
        <v>LAB. MEDICO DR. MARICONDI S/C LTDA.</v>
      </c>
      <c r="C2348" s="54" t="s">
        <v>3</v>
      </c>
      <c r="D2348" s="54">
        <v>90049</v>
      </c>
      <c r="E2348" s="51">
        <v>686.58</v>
      </c>
      <c r="F2348" s="48"/>
      <c r="G2348" s="51"/>
      <c r="H2348" s="52"/>
      <c r="I2348" s="53">
        <v>45923</v>
      </c>
    </row>
    <row r="2349" spans="1:9">
      <c r="A2349" s="47">
        <v>687</v>
      </c>
      <c r="B2349" s="48" t="str">
        <f>IFERROR(VLOOKUP(A2349,CLIENTES!A:E,2,0),"CADASTRAR CLIENTE")</f>
        <v>LAB ANAL CLIN VENDRAMINI S/S LTDA</v>
      </c>
      <c r="C2349" s="54" t="s">
        <v>3</v>
      </c>
      <c r="D2349" s="54">
        <v>90055</v>
      </c>
      <c r="E2349" s="51">
        <v>591.5</v>
      </c>
      <c r="F2349" s="48"/>
      <c r="G2349" s="51"/>
      <c r="H2349" s="52"/>
      <c r="I2349" s="53">
        <v>45923</v>
      </c>
    </row>
    <row r="2350" spans="1:9">
      <c r="A2350" s="47">
        <v>50558</v>
      </c>
      <c r="B2350" s="48" t="str">
        <f>IFERROR(VLOOKUP(A2350,CLIENTES!A:E,2,0),"CADASTRAR CLIENTE")</f>
        <v>FUNDACAO PAULISTA DE TECNOLOGIA E EDUCACAO</v>
      </c>
      <c r="C2350" s="54" t="s">
        <v>3</v>
      </c>
      <c r="D2350" s="54">
        <v>89713</v>
      </c>
      <c r="E2350" s="51">
        <v>3125.24</v>
      </c>
      <c r="F2350" s="48"/>
      <c r="G2350" s="51"/>
      <c r="H2350" s="52"/>
      <c r="I2350" s="53">
        <v>45923</v>
      </c>
    </row>
    <row r="2351" spans="1:9">
      <c r="A2351" s="47">
        <v>50961</v>
      </c>
      <c r="B2351" s="48" t="str">
        <f>IFERROR(VLOOKUP(A2351,CLIENTES!A:E,2,0),"CADASTRAR CLIENTE")</f>
        <v>SOLUTE MEDICAL GROUP BRAZIL LTDA</v>
      </c>
      <c r="C2351" s="54" t="s">
        <v>3</v>
      </c>
      <c r="D2351" s="54">
        <v>89950</v>
      </c>
      <c r="E2351" s="51">
        <v>444.1</v>
      </c>
      <c r="F2351" s="48"/>
      <c r="G2351" s="51"/>
      <c r="H2351" s="52"/>
      <c r="I2351" s="53">
        <v>45923</v>
      </c>
    </row>
    <row r="2352" spans="1:9">
      <c r="A2352" s="47">
        <v>325</v>
      </c>
      <c r="B2352" s="48" t="str">
        <f>IFERROR(VLOOKUP(A2352,CLIENTES!A:E,2,0),"CADASTRAR CLIENTE")</f>
        <v>EXAME-LABORAT. DE ANAL. CLIN. CITODIAGNOSTICO S/S LTDA</v>
      </c>
      <c r="C2352" s="54" t="s">
        <v>3</v>
      </c>
      <c r="D2352" s="54" t="s">
        <v>741</v>
      </c>
      <c r="E2352" s="51">
        <v>1851.75</v>
      </c>
      <c r="F2352" s="48"/>
      <c r="G2352" s="51"/>
      <c r="H2352" s="52"/>
      <c r="I2352" s="53">
        <v>45923</v>
      </c>
    </row>
    <row r="2353" spans="1:9">
      <c r="A2353" s="47">
        <v>1026</v>
      </c>
      <c r="B2353" s="48" t="str">
        <f>IFERROR(VLOOKUP(A2353,CLIENTES!A:E,2,0),"CADASTRAR CLIENTE")</f>
        <v>LABSC SERVICOS LABORATORIAIS LTDA</v>
      </c>
      <c r="C2353" s="54" t="s">
        <v>328</v>
      </c>
      <c r="D2353" s="54">
        <v>90078</v>
      </c>
      <c r="E2353" s="51">
        <v>2632.11</v>
      </c>
      <c r="F2353" s="48"/>
      <c r="G2353" s="51"/>
      <c r="H2353" s="52"/>
      <c r="I2353" s="53">
        <v>45923</v>
      </c>
    </row>
    <row r="2354" spans="1:9">
      <c r="A2354" s="47">
        <v>51061</v>
      </c>
      <c r="B2354" s="48" t="str">
        <f>IFERROR(VLOOKUP(A2354,CLIENTES!A:E,2,0),"CADASTRAR CLIENTE")</f>
        <v>UNIMED AMPARO COOPERATIVA DE TRABALHO MEDICO</v>
      </c>
      <c r="C2354" s="54" t="s">
        <v>738</v>
      </c>
      <c r="D2354" s="54">
        <v>90089</v>
      </c>
      <c r="E2354" s="51">
        <v>860</v>
      </c>
      <c r="F2354" s="48"/>
      <c r="G2354" s="51"/>
      <c r="H2354" s="52"/>
      <c r="I2354" s="53">
        <v>45924</v>
      </c>
    </row>
    <row r="2355" spans="1:9">
      <c r="A2355" s="47">
        <v>1493</v>
      </c>
      <c r="B2355" s="48" t="str">
        <f>IFERROR(VLOOKUP(A2355,CLIENTES!A:E,2,0),"CADASTRAR CLIENTE")</f>
        <v>CEDIMA  CENTRO DE DIAG MONTE AZUL ANAL CLIN E CIT</v>
      </c>
      <c r="C2355" s="54" t="s">
        <v>328</v>
      </c>
      <c r="D2355" s="54">
        <v>90100</v>
      </c>
      <c r="E2355" s="51">
        <v>1297.82</v>
      </c>
      <c r="F2355" s="48"/>
      <c r="G2355" s="51"/>
      <c r="H2355" s="52"/>
      <c r="I2355" s="53">
        <v>45924</v>
      </c>
    </row>
    <row r="2356" spans="1:9">
      <c r="A2356" s="47">
        <v>620</v>
      </c>
      <c r="B2356" s="48" t="str">
        <f>IFERROR(VLOOKUP(A2356,CLIENTES!A:E,2,0),"CADASTRAR CLIENTE")</f>
        <v>LAB.SAO PAULO DE ANAL.CLIN.SC LTDA.</v>
      </c>
      <c r="C2356" s="54" t="s">
        <v>3</v>
      </c>
      <c r="D2356" s="54" t="s">
        <v>744</v>
      </c>
      <c r="E2356" s="51">
        <v>889.75</v>
      </c>
      <c r="F2356" s="48"/>
      <c r="G2356" s="51"/>
      <c r="H2356" s="52"/>
      <c r="I2356" s="53">
        <v>45924</v>
      </c>
    </row>
    <row r="2357" spans="1:9">
      <c r="A2357" s="47">
        <v>1533</v>
      </c>
      <c r="B2357" s="48" t="str">
        <f>IFERROR(VLOOKUP(A2357,CLIENTES!A:E,2,0),"CADASTRAR CLIENTE")</f>
        <v>LABORATORIO BIOANALISE DIAGNOSTICO LTDA</v>
      </c>
      <c r="C2357" s="54" t="s">
        <v>3</v>
      </c>
      <c r="D2357" s="54">
        <v>90095</v>
      </c>
      <c r="E2357" s="51">
        <v>204.8</v>
      </c>
      <c r="F2357" s="48"/>
      <c r="G2357" s="51"/>
      <c r="H2357" s="52"/>
      <c r="I2357" s="53">
        <v>45924</v>
      </c>
    </row>
    <row r="2358" spans="1:9">
      <c r="A2358" s="47">
        <v>690</v>
      </c>
      <c r="B2358" s="48" t="str">
        <f>IFERROR(VLOOKUP(A2358,CLIENTES!A:E,2,0),"CADASTRAR CLIENTE")</f>
        <v>SAO ROQUE MEDICINA DIAGNOSTICA LTDA EPP</v>
      </c>
      <c r="C2358" s="54" t="s">
        <v>3</v>
      </c>
      <c r="D2358" s="54">
        <v>89838</v>
      </c>
      <c r="E2358" s="51">
        <v>257</v>
      </c>
      <c r="F2358" s="48"/>
      <c r="G2358" s="51"/>
      <c r="H2358" s="52"/>
      <c r="I2358" s="53">
        <v>45924</v>
      </c>
    </row>
    <row r="2359" spans="1:9">
      <c r="A2359" s="47">
        <v>50465</v>
      </c>
      <c r="B2359" s="48" t="str">
        <f>IFERROR(VLOOKUP(A2359,CLIENTES!A:E,2,0),"CADASTRAR CLIENTE")</f>
        <v>LABORATORIO DE ANALISES CLINICAS VIDA BIRIGUI LTDA</v>
      </c>
      <c r="C2359" s="54" t="s">
        <v>3</v>
      </c>
      <c r="D2359" s="54">
        <v>90117</v>
      </c>
      <c r="E2359" s="51">
        <v>789.8</v>
      </c>
      <c r="F2359" s="48"/>
      <c r="G2359" s="51"/>
      <c r="H2359" s="52"/>
      <c r="I2359" s="53">
        <v>45924</v>
      </c>
    </row>
    <row r="2360" spans="1:9">
      <c r="A2360" s="47">
        <v>3557</v>
      </c>
      <c r="B2360" s="48" t="str">
        <f>IFERROR(VLOOKUP(A2360,CLIENTES!A:E,2,0),"CADASTRAR CLIENTE")</f>
        <v>ASSOCIACAO BENEFICIENTE NOSSA SENHORA DE NAZARE</v>
      </c>
      <c r="C2360" s="54" t="s">
        <v>738</v>
      </c>
      <c r="D2360" s="54">
        <v>90120</v>
      </c>
      <c r="E2360" s="51">
        <v>4800</v>
      </c>
      <c r="F2360" s="48"/>
      <c r="G2360" s="51"/>
      <c r="H2360" s="52"/>
      <c r="I2360" s="53">
        <v>45924</v>
      </c>
    </row>
    <row r="2361" spans="1:9">
      <c r="A2361" s="47">
        <v>432</v>
      </c>
      <c r="B2361" s="48" t="str">
        <f>IFERROR(VLOOKUP(A2361,CLIENTES!A:E,2,0),"CADASTRAR CLIENTE")</f>
        <v>LABORATORIO PASTEUR HEMATOLOGIA E MICROBIOLOGIA S/S LTDA</v>
      </c>
      <c r="C2361" s="54" t="s">
        <v>3</v>
      </c>
      <c r="D2361" s="54">
        <v>90142</v>
      </c>
      <c r="E2361" s="51">
        <v>3307.2</v>
      </c>
      <c r="F2361" s="48"/>
      <c r="G2361" s="51"/>
      <c r="H2361" s="52"/>
      <c r="I2361" s="53">
        <v>45925</v>
      </c>
    </row>
    <row r="2362" spans="1:9">
      <c r="A2362" s="47">
        <v>2181</v>
      </c>
      <c r="B2362" s="48" t="str">
        <f>IFERROR(VLOOKUP(A2362,CLIENTES!A:E,2,0),"CADASTRAR CLIENTE")</f>
        <v>CADASTRAR CLIENTE</v>
      </c>
      <c r="C2362" s="54" t="s">
        <v>3</v>
      </c>
      <c r="D2362" s="54">
        <v>90144</v>
      </c>
      <c r="E2362" s="51">
        <v>40</v>
      </c>
      <c r="F2362" s="48"/>
      <c r="G2362" s="51"/>
      <c r="H2362" s="52"/>
      <c r="I2362" s="53">
        <v>45925</v>
      </c>
    </row>
    <row r="2363" spans="1:9">
      <c r="A2363" s="47">
        <v>2199</v>
      </c>
      <c r="B2363" s="48" t="str">
        <f>IFERROR(VLOOKUP(A2363,CLIENTES!A:E,2,0),"CADASTRAR CLIENTE")</f>
        <v>SOCIEDADE EDUCACIONAL UBERABENSE</v>
      </c>
      <c r="C2363" s="54" t="s">
        <v>3</v>
      </c>
      <c r="D2363" s="54" t="s">
        <v>748</v>
      </c>
      <c r="E2363" s="51">
        <v>1001</v>
      </c>
      <c r="F2363" s="48"/>
      <c r="G2363" s="51"/>
      <c r="H2363" s="52"/>
      <c r="I2363" s="53">
        <v>45925</v>
      </c>
    </row>
    <row r="2364" spans="1:9">
      <c r="A2364" s="47">
        <v>434</v>
      </c>
      <c r="B2364" s="48" t="str">
        <f>IFERROR(VLOOKUP(A2364,CLIENTES!A:E,2,0),"CADASTRAR CLIENTE")</f>
        <v>BIOLABOR LAB. ANAL. CLIN. SC LTDA.</v>
      </c>
      <c r="C2364" s="54" t="s">
        <v>3</v>
      </c>
      <c r="D2364" s="54">
        <v>90163</v>
      </c>
      <c r="E2364" s="51">
        <v>1192.4000000000001</v>
      </c>
      <c r="F2364" s="48"/>
      <c r="G2364" s="51"/>
      <c r="H2364" s="52"/>
      <c r="I2364" s="53">
        <v>45925</v>
      </c>
    </row>
    <row r="2365" spans="1:9">
      <c r="A2365" s="47">
        <v>1493</v>
      </c>
      <c r="B2365" s="48" t="str">
        <f>IFERROR(VLOOKUP(A2365,CLIENTES!A:E,2,0),"CADASTRAR CLIENTE")</f>
        <v>CEDIMA  CENTRO DE DIAG MONTE AZUL ANAL CLIN E CIT</v>
      </c>
      <c r="C2365" s="54" t="s">
        <v>3</v>
      </c>
      <c r="D2365" s="54">
        <v>90184</v>
      </c>
      <c r="E2365" s="51">
        <v>578</v>
      </c>
      <c r="F2365" s="48"/>
      <c r="G2365" s="51"/>
      <c r="H2365" s="52"/>
      <c r="I2365" s="53">
        <v>45925</v>
      </c>
    </row>
    <row r="2366" spans="1:9">
      <c r="A2366" s="47">
        <v>2022</v>
      </c>
      <c r="B2366" s="48" t="str">
        <f>IFERROR(VLOOKUP(A2366,CLIENTES!A:E,2,0),"CADASTRAR CLIENTE")</f>
        <v>LAB. MEDICO DR. MARICONDI S/C LTDA.</v>
      </c>
      <c r="C2366" s="54" t="s">
        <v>3</v>
      </c>
      <c r="D2366" s="54">
        <v>90183</v>
      </c>
      <c r="E2366" s="51">
        <v>1689.26</v>
      </c>
      <c r="F2366" s="48"/>
      <c r="G2366" s="51"/>
      <c r="H2366" s="52"/>
      <c r="I2366" s="53">
        <v>45925</v>
      </c>
    </row>
    <row r="2367" spans="1:9">
      <c r="A2367" s="47">
        <v>980</v>
      </c>
      <c r="B2367" s="48" t="str">
        <f>IFERROR(VLOOKUP(A2367,CLIENTES!A:E,2,0),"CADASTRAR CLIENTE")</f>
        <v>LAB. GUARARAPES  ANAL. CLIN. SC LTDA</v>
      </c>
      <c r="C2367" s="54" t="s">
        <v>3</v>
      </c>
      <c r="D2367" s="54">
        <v>90187</v>
      </c>
      <c r="E2367" s="51">
        <v>1068</v>
      </c>
      <c r="F2367" s="48"/>
      <c r="G2367" s="51"/>
      <c r="H2367" s="52"/>
      <c r="I2367" s="53">
        <v>45925</v>
      </c>
    </row>
    <row r="2368" spans="1:9">
      <c r="A2368" s="47">
        <v>50769</v>
      </c>
      <c r="B2368" s="48" t="str">
        <f>IFERROR(VLOOKUP(A2368,CLIENTES!A:E,2,0),"CADASTRAR CLIENTE")</f>
        <v>SCQ SOLUCOES LABORATORIAIS LTDA</v>
      </c>
      <c r="C2368" s="54" t="s">
        <v>3</v>
      </c>
      <c r="D2368" s="54">
        <v>90182</v>
      </c>
      <c r="E2368" s="51">
        <v>364</v>
      </c>
      <c r="F2368" s="48"/>
      <c r="G2368" s="51"/>
      <c r="H2368" s="52"/>
      <c r="I2368" s="53">
        <v>45925</v>
      </c>
    </row>
    <row r="2369" spans="1:9">
      <c r="A2369" s="47">
        <v>50554</v>
      </c>
      <c r="B2369" s="48" t="str">
        <f>IFERROR(VLOOKUP(A2369,CLIENTES!A:E,2,0),"CADASTRAR CLIENTE")</f>
        <v>SAO ROQUE MEDICINA DIAGNOSTICA</v>
      </c>
      <c r="C2369" s="54" t="s">
        <v>3</v>
      </c>
      <c r="D2369" s="54">
        <v>90198</v>
      </c>
      <c r="E2369" s="51">
        <v>264</v>
      </c>
      <c r="F2369" s="48"/>
      <c r="G2369" s="51"/>
      <c r="H2369" s="52"/>
      <c r="I2369" s="53">
        <v>45925</v>
      </c>
    </row>
    <row r="2370" spans="1:9">
      <c r="A2370" s="47">
        <v>2572</v>
      </c>
      <c r="B2370" s="48" t="str">
        <f>IFERROR(VLOOKUP(A2370,CLIENTES!A:E,2,0),"CADASTRAR CLIENTE")</f>
        <v>LAB. ANAL. CLIN. COFFERS S/C LTDA</v>
      </c>
      <c r="C2370" s="54" t="s">
        <v>328</v>
      </c>
      <c r="D2370" s="54">
        <v>90208</v>
      </c>
      <c r="E2370" s="51">
        <v>2700</v>
      </c>
      <c r="F2370" s="48"/>
      <c r="G2370" s="51"/>
      <c r="H2370" s="52"/>
      <c r="I2370" s="53">
        <v>45925</v>
      </c>
    </row>
    <row r="2371" spans="1:9">
      <c r="A2371" s="47">
        <v>2980</v>
      </c>
      <c r="B2371" s="48" t="str">
        <f>IFERROR(VLOOKUP(A2371,CLIENTES!A:E,2,0),"CADASTRAR CLIENTE")</f>
        <v>ALMEIDA &amp; FLAITT LABORATORIOS DE ANALISES CLINICAS LTDA</v>
      </c>
      <c r="C2371" s="54" t="s">
        <v>3</v>
      </c>
      <c r="D2371" s="54">
        <v>90214</v>
      </c>
      <c r="E2371" s="51">
        <v>1339.69</v>
      </c>
      <c r="F2371" s="48"/>
      <c r="G2371" s="51"/>
      <c r="H2371" s="52"/>
      <c r="I2371" s="53">
        <v>45929</v>
      </c>
    </row>
    <row r="2372" spans="1:9">
      <c r="A2372" s="47">
        <v>1371</v>
      </c>
      <c r="B2372" s="48" t="str">
        <f>IFERROR(VLOOKUP(A2372,CLIENTES!A:E,2,0),"CADASTRAR CLIENTE")</f>
        <v>MICHELE LOPES BERGAMIM-ME</v>
      </c>
      <c r="C2372" s="54" t="s">
        <v>3</v>
      </c>
      <c r="D2372" s="54">
        <v>90244</v>
      </c>
      <c r="E2372" s="51">
        <v>1650</v>
      </c>
      <c r="F2372" s="48"/>
      <c r="G2372" s="51"/>
      <c r="H2372" s="52"/>
      <c r="I2372" s="53">
        <v>45929</v>
      </c>
    </row>
    <row r="2373" spans="1:9">
      <c r="A2373" s="47">
        <v>475</v>
      </c>
      <c r="B2373" s="48" t="str">
        <f>IFERROR(VLOOKUP(A2373,CLIENTES!A:E,2,0),"CADASTRAR CLIENTE")</f>
        <v>LABORATORIO DE ANALISES CLINICAS SRC LTDA</v>
      </c>
      <c r="C2373" s="54" t="s">
        <v>2</v>
      </c>
      <c r="D2373" s="54">
        <v>90204</v>
      </c>
      <c r="E2373" s="51">
        <v>7652</v>
      </c>
      <c r="F2373" s="48"/>
      <c r="G2373" s="51"/>
      <c r="H2373" s="52"/>
      <c r="I2373" s="53">
        <v>45929</v>
      </c>
    </row>
    <row r="2374" spans="1:9">
      <c r="A2374" s="47">
        <v>581</v>
      </c>
      <c r="B2374" s="48" t="str">
        <f>IFERROR(VLOOKUP(A2374,CLIENTES!A:E,2,0),"CADASTRAR CLIENTE")</f>
        <v>CLINILAB LABORAT. ANAL. CLIN SC LTDA</v>
      </c>
      <c r="C2374" s="54" t="s">
        <v>3</v>
      </c>
      <c r="D2374" s="54" t="s">
        <v>752</v>
      </c>
      <c r="E2374" s="51">
        <v>1594.87</v>
      </c>
      <c r="F2374" s="48"/>
      <c r="G2374" s="51"/>
      <c r="H2374" s="52"/>
      <c r="I2374" s="53">
        <v>45930</v>
      </c>
    </row>
    <row r="2375" spans="1:9">
      <c r="A2375" s="47">
        <v>2397</v>
      </c>
      <c r="B2375" s="48" t="str">
        <f>IFERROR(VLOOKUP(A2375,CLIENTES!A:E,2,0),"CADASTRAR CLIENTE")</f>
        <v>LAB ANAL CLINICAS SANTA RITA S/C LTDA</v>
      </c>
      <c r="C2375" s="54" t="s">
        <v>3</v>
      </c>
      <c r="D2375" s="54">
        <v>90082</v>
      </c>
      <c r="E2375" s="51">
        <v>1079.58</v>
      </c>
      <c r="F2375" s="48"/>
      <c r="G2375" s="51"/>
      <c r="H2375" s="52"/>
      <c r="I2375" s="53">
        <v>45930</v>
      </c>
    </row>
    <row r="2376" spans="1:9">
      <c r="A2376" s="47">
        <v>311</v>
      </c>
      <c r="B2376" s="48" t="str">
        <f>IFERROR(VLOOKUP(A2376,CLIENTES!A:E,2,0),"CADASTRAR CLIENTE")</f>
        <v>CENTRO DE ANAL.CLIN. UNILAB  SC LTDA.</v>
      </c>
      <c r="C2376" s="54" t="s">
        <v>3</v>
      </c>
      <c r="D2376" s="54">
        <v>101807</v>
      </c>
      <c r="E2376" s="51">
        <v>238.96</v>
      </c>
      <c r="F2376" s="48"/>
      <c r="G2376" s="51"/>
      <c r="H2376" s="52"/>
      <c r="I2376" s="53">
        <v>45930</v>
      </c>
    </row>
    <row r="2377" spans="1:9">
      <c r="A2377" s="47">
        <v>463</v>
      </c>
      <c r="B2377" s="48" t="str">
        <f>IFERROR(VLOOKUP(A2377,CLIENTES!A:E,2,0),"CADASTRAR CLIENTE")</f>
        <v>MASUDA &amp; MASUDA LABORATORIO CLINICO LTDA</v>
      </c>
      <c r="C2377" s="54" t="s">
        <v>3</v>
      </c>
      <c r="D2377" s="54">
        <v>90259</v>
      </c>
      <c r="E2377" s="51">
        <v>1006.96</v>
      </c>
      <c r="F2377" s="48"/>
      <c r="G2377" s="51"/>
      <c r="H2377" s="52"/>
      <c r="I2377" s="53">
        <v>45930</v>
      </c>
    </row>
    <row r="2378" spans="1:9">
      <c r="A2378" s="47">
        <v>618</v>
      </c>
      <c r="B2378" s="48" t="str">
        <f>IFERROR(VLOOKUP(A2378,CLIENTES!A:E,2,0),"CADASTRAR CLIENTE")</f>
        <v>LAB. ANAL. CLIN. POMPEIA</v>
      </c>
      <c r="C2378" s="54" t="s">
        <v>3</v>
      </c>
      <c r="D2378" s="54" t="s">
        <v>754</v>
      </c>
      <c r="E2378" s="51">
        <v>4884.78</v>
      </c>
      <c r="F2378" s="48"/>
      <c r="G2378" s="51"/>
      <c r="H2378" s="52"/>
      <c r="I2378" s="53">
        <v>45930</v>
      </c>
    </row>
    <row r="2379" spans="1:9">
      <c r="A2379" s="47">
        <v>761</v>
      </c>
      <c r="B2379" s="48" t="str">
        <f>IFERROR(VLOOKUP(A2379,CLIENTES!A:E,2,0),"CADASTRAR CLIENTE")</f>
        <v>EXAME CENTRO DIAG.M.ARACATUBA SC LTDA.</v>
      </c>
      <c r="C2379" s="54" t="s">
        <v>3</v>
      </c>
      <c r="D2379" s="54" t="s">
        <v>755</v>
      </c>
      <c r="E2379" s="51">
        <v>23820.959999999999</v>
      </c>
      <c r="F2379" s="48"/>
      <c r="G2379" s="51"/>
      <c r="H2379" s="52"/>
      <c r="I2379" s="53">
        <v>45930</v>
      </c>
    </row>
    <row r="2380" spans="1:9">
      <c r="A2380" s="47">
        <v>50576</v>
      </c>
      <c r="B2380" s="48" t="str">
        <f>IFERROR(VLOOKUP(A2380,CLIENTES!A:E,2,0),"CADASTRAR CLIENTE")</f>
        <v>ANDRIAO CANEPPA E SILVA LTDA ME</v>
      </c>
      <c r="C2380" s="54" t="s">
        <v>3</v>
      </c>
      <c r="D2380" s="54">
        <v>90317</v>
      </c>
      <c r="E2380" s="51">
        <v>2461.4</v>
      </c>
      <c r="F2380" s="48"/>
      <c r="G2380" s="51"/>
      <c r="H2380" s="52"/>
      <c r="I2380" s="53">
        <v>45930</v>
      </c>
    </row>
    <row r="2381" spans="1:9">
      <c r="A2381" s="47">
        <v>500772</v>
      </c>
      <c r="B2381" s="48" t="str">
        <f>IFERROR(VLOOKUP(A2381,CLIENTES!A:E,2,0),"CADASTRAR CLIENTE")</f>
        <v>IERT- INSTITUICOES DE ENSINO REUNIDAS TIETE LTDA</v>
      </c>
      <c r="C2381" s="54" t="s">
        <v>3</v>
      </c>
      <c r="D2381" s="54">
        <v>90308</v>
      </c>
      <c r="E2381" s="51">
        <v>1225.8</v>
      </c>
      <c r="F2381" s="48"/>
      <c r="G2381" s="51"/>
      <c r="H2381" s="52"/>
      <c r="I2381" s="53">
        <v>45930</v>
      </c>
    </row>
    <row r="2382" spans="1:9">
      <c r="A2382" s="47">
        <v>663</v>
      </c>
      <c r="B2382" s="48" t="str">
        <f>IFERROR(VLOOKUP(A2382,CLIENTES!A:E,2,0),"CADASTRAR CLIENTE")</f>
        <v>LAB. MEDICO GUIMARAES</v>
      </c>
      <c r="C2382" s="54" t="s">
        <v>3</v>
      </c>
      <c r="D2382" s="54" t="s">
        <v>753</v>
      </c>
      <c r="E2382" s="51">
        <v>3349.49</v>
      </c>
      <c r="F2382" s="48"/>
      <c r="G2382" s="51"/>
      <c r="H2382" s="52"/>
      <c r="I2382" s="53">
        <v>45931</v>
      </c>
    </row>
    <row r="2383" spans="1:9">
      <c r="A2383" s="47">
        <v>500005</v>
      </c>
      <c r="B2383" s="48" t="str">
        <f>IFERROR(VLOOKUP(A2383,CLIENTES!A:E,2,0),"CADASTRAR CLIENTE")</f>
        <v>ASSOCIACAO EDUCACIONAL DE ENSINO SUPERIOR</v>
      </c>
      <c r="C2383" s="54" t="s">
        <v>3</v>
      </c>
      <c r="D2383" s="54">
        <v>90331</v>
      </c>
      <c r="E2383" s="51"/>
      <c r="F2383" s="48"/>
      <c r="G2383" s="51">
        <v>3000</v>
      </c>
      <c r="H2383" s="52"/>
      <c r="I2383" s="53">
        <v>45931</v>
      </c>
    </row>
    <row r="2384" spans="1:9">
      <c r="A2384" s="47">
        <v>311</v>
      </c>
      <c r="B2384" s="48" t="str">
        <f>IFERROR(VLOOKUP(A2384,CLIENTES!A:E,2,0),"CADASTRAR CLIENTE")</f>
        <v>CENTRO DE ANAL.CLIN. UNILAB  SC LTDA.</v>
      </c>
      <c r="C2384" s="54" t="s">
        <v>3</v>
      </c>
      <c r="D2384" s="54" t="s">
        <v>758</v>
      </c>
      <c r="E2384" s="51">
        <v>664.72</v>
      </c>
      <c r="F2384" s="48"/>
      <c r="G2384" s="51"/>
      <c r="H2384" s="52"/>
      <c r="I2384" s="53">
        <v>45931</v>
      </c>
    </row>
    <row r="2385" spans="1:9">
      <c r="A2385" s="47">
        <v>2911</v>
      </c>
      <c r="B2385" s="48" t="str">
        <f>IFERROR(VLOOKUP(A2385,CLIENTES!A:E,2,0),"CADASTRAR CLIENTE")</f>
        <v>BIOLIFE-LABORATORIO DE ANALISES CLINICAS LTDA</v>
      </c>
      <c r="C2385" s="54" t="s">
        <v>3</v>
      </c>
      <c r="D2385" s="54" t="s">
        <v>759</v>
      </c>
      <c r="E2385" s="51">
        <v>3331.01</v>
      </c>
      <c r="F2385" s="48"/>
      <c r="G2385" s="51"/>
      <c r="H2385" s="52"/>
      <c r="I2385" s="53">
        <v>45931</v>
      </c>
    </row>
    <row r="2386" spans="1:9">
      <c r="A2386" s="47">
        <v>618</v>
      </c>
      <c r="B2386" s="48" t="str">
        <f>IFERROR(VLOOKUP(A2386,CLIENTES!A:E,2,0),"CADASTRAR CLIENTE")</f>
        <v>LAB. ANAL. CLIN. POMPEIA</v>
      </c>
      <c r="C2386" s="54" t="s">
        <v>3</v>
      </c>
      <c r="D2386" s="54">
        <v>90351</v>
      </c>
      <c r="E2386" s="51">
        <v>465</v>
      </c>
      <c r="F2386" s="48"/>
      <c r="G2386" s="51"/>
      <c r="H2386" s="52"/>
      <c r="I2386" s="53">
        <v>45931</v>
      </c>
    </row>
    <row r="2387" spans="1:9">
      <c r="A2387" s="47">
        <v>50861</v>
      </c>
      <c r="B2387" s="48" t="str">
        <f>IFERROR(VLOOKUP(A2387,CLIENTES!A:E,2,0),"CADASTRAR CLIENTE")</f>
        <v>JAQUELINE MARTINS RUIZ LAB DE ANALISES CLINICAS</v>
      </c>
      <c r="C2387" s="54" t="s">
        <v>3</v>
      </c>
      <c r="D2387" s="54">
        <v>90364</v>
      </c>
      <c r="E2387" s="51">
        <v>889.4</v>
      </c>
      <c r="F2387" s="48"/>
      <c r="G2387" s="51"/>
      <c r="H2387" s="52"/>
      <c r="I2387" s="53">
        <v>45931</v>
      </c>
    </row>
    <row r="2388" spans="1:9">
      <c r="A2388" s="47">
        <v>572</v>
      </c>
      <c r="B2388" s="48" t="str">
        <f>IFERROR(VLOOKUP(A2388,CLIENTES!A:E,2,0),"CADASTRAR CLIENTE")</f>
        <v>LABORATORIO MULTIANALISES LTDA-ME</v>
      </c>
      <c r="C2388" s="54" t="s">
        <v>3</v>
      </c>
      <c r="D2388" s="54">
        <v>90375</v>
      </c>
      <c r="E2388" s="51">
        <v>440.73</v>
      </c>
      <c r="F2388" s="48"/>
      <c r="G2388" s="51"/>
      <c r="H2388" s="52"/>
      <c r="I2388" s="53">
        <v>45932</v>
      </c>
    </row>
    <row r="2389" spans="1:9">
      <c r="A2389" s="47">
        <v>2397</v>
      </c>
      <c r="B2389" s="48" t="str">
        <f>IFERROR(VLOOKUP(A2389,CLIENTES!A:E,2,0),"CADASTRAR CLIENTE")</f>
        <v>LAB ANAL CLINICAS SANTA RITA S/C LTDA</v>
      </c>
      <c r="C2389" s="54" t="s">
        <v>3</v>
      </c>
      <c r="D2389" s="54">
        <v>90381</v>
      </c>
      <c r="E2389" s="51">
        <v>446.86</v>
      </c>
      <c r="F2389" s="48"/>
      <c r="G2389" s="51"/>
      <c r="H2389" s="52"/>
      <c r="I2389" s="53">
        <v>45932</v>
      </c>
    </row>
    <row r="2390" spans="1:9">
      <c r="A2390" s="47">
        <v>1164</v>
      </c>
      <c r="B2390" s="48" t="str">
        <f>IFERROR(VLOOKUP(A2390,CLIENTES!A:E,2,0),"CADASTRAR CLIENTE")</f>
        <v>LAB. ANAL. CLIN. SAO LOURENCO S/C LTDA</v>
      </c>
      <c r="C2390" s="54" t="s">
        <v>3</v>
      </c>
      <c r="D2390" s="54" t="s">
        <v>762</v>
      </c>
      <c r="E2390" s="51">
        <v>1945.47</v>
      </c>
      <c r="F2390" s="48"/>
      <c r="G2390" s="51"/>
      <c r="H2390" s="52"/>
      <c r="I2390" s="53">
        <v>45932</v>
      </c>
    </row>
    <row r="2391" spans="1:9">
      <c r="A2391" s="47">
        <v>725</v>
      </c>
      <c r="B2391" s="48" t="str">
        <f>IFERROR(VLOOKUP(A2391,CLIENTES!A:E,2,0),"CADASTRAR CLIENTE")</f>
        <v>LAB. ANAL. CLIN. DR. ALUISIO CASELLA</v>
      </c>
      <c r="C2391" s="54" t="s">
        <v>3</v>
      </c>
      <c r="D2391" s="54">
        <v>90395</v>
      </c>
      <c r="E2391" s="51">
        <v>288.95</v>
      </c>
      <c r="F2391" s="48"/>
      <c r="G2391" s="51"/>
      <c r="H2391" s="52"/>
      <c r="I2391" s="53">
        <v>45932</v>
      </c>
    </row>
    <row r="2392" spans="1:9">
      <c r="A2392" s="47">
        <v>1533</v>
      </c>
      <c r="B2392" s="48" t="str">
        <f>IFERROR(VLOOKUP(A2392,CLIENTES!A:E,2,0),"CADASTRAR CLIENTE")</f>
        <v>LABORATORIO BIOANALISE DIAGNOSTICO LTDA</v>
      </c>
      <c r="C2392" s="54" t="s">
        <v>3</v>
      </c>
      <c r="D2392" s="54">
        <v>90444</v>
      </c>
      <c r="E2392" s="51">
        <v>547.54999999999995</v>
      </c>
      <c r="F2392" s="48"/>
      <c r="G2392" s="51"/>
      <c r="H2392" s="52"/>
      <c r="I2392" s="53">
        <v>45933</v>
      </c>
    </row>
    <row r="2393" spans="1:9">
      <c r="A2393" s="47">
        <v>705</v>
      </c>
      <c r="B2393" s="48" t="str">
        <f>IFERROR(VLOOKUP(A2393,CLIENTES!A:E,2,0),"CADASTRAR CLIENTE")</f>
        <v>JOAO JOSE SCHIAVUZZO ME</v>
      </c>
      <c r="C2393" s="54" t="s">
        <v>3</v>
      </c>
      <c r="D2393" s="54">
        <v>90321</v>
      </c>
      <c r="E2393" s="51">
        <v>379</v>
      </c>
      <c r="F2393" s="48"/>
      <c r="G2393" s="51"/>
      <c r="H2393" s="52"/>
      <c r="I2393" s="53">
        <v>45933</v>
      </c>
    </row>
    <row r="2394" spans="1:9">
      <c r="A2394" s="47">
        <v>50558</v>
      </c>
      <c r="B2394" s="48" t="str">
        <f>IFERROR(VLOOKUP(A2394,CLIENTES!A:E,2,0),"CADASTRAR CLIENTE")</f>
        <v>FUNDACAO PAULISTA DE TECNOLOGIA E EDUCACAO</v>
      </c>
      <c r="C2394" s="54" t="s">
        <v>3</v>
      </c>
      <c r="D2394" s="54">
        <v>90057</v>
      </c>
      <c r="E2394" s="51">
        <v>2335</v>
      </c>
      <c r="F2394" s="48"/>
      <c r="G2394" s="51"/>
      <c r="H2394" s="52"/>
      <c r="I2394" s="53">
        <v>45933</v>
      </c>
    </row>
    <row r="2395" spans="1:9">
      <c r="A2395" s="47">
        <v>784</v>
      </c>
      <c r="B2395" s="48" t="str">
        <f>IFERROR(VLOOKUP(A2395,CLIENTES!A:E,2,0),"CADASTRAR CLIENTE")</f>
        <v>LAB.ANAL.CLIN. ALBERT SABIN SC LTDA.</v>
      </c>
      <c r="C2395" s="54" t="s">
        <v>3</v>
      </c>
      <c r="D2395" s="54">
        <v>90397</v>
      </c>
      <c r="E2395" s="51">
        <v>3156.67</v>
      </c>
      <c r="F2395" s="48"/>
      <c r="G2395" s="51"/>
      <c r="H2395" s="52"/>
      <c r="I2395" s="53">
        <v>45933</v>
      </c>
    </row>
    <row r="2396" spans="1:9">
      <c r="A2396" s="47">
        <v>772</v>
      </c>
      <c r="B2396" s="48" t="str">
        <f>IFERROR(VLOOKUP(A2396,CLIENTES!A:E,2,0),"CADASTRAR CLIENTE")</f>
        <v>MEGARON LABORATORIO ANAL.CLIN.SC LTDA.</v>
      </c>
      <c r="C2396" s="54" t="s">
        <v>3</v>
      </c>
      <c r="D2396" s="54">
        <v>90451</v>
      </c>
      <c r="E2396" s="51">
        <v>1670.52</v>
      </c>
      <c r="F2396" s="48"/>
      <c r="G2396" s="51"/>
      <c r="H2396" s="52"/>
      <c r="I2396" s="53">
        <v>45933</v>
      </c>
    </row>
    <row r="2397" spans="1:9">
      <c r="A2397" s="47">
        <v>3557</v>
      </c>
      <c r="B2397" s="48" t="str">
        <f>IFERROR(VLOOKUP(A2397,CLIENTES!A:E,2,0),"CADASTRAR CLIENTE")</f>
        <v>ASSOCIACAO BENEFICIENTE NOSSA SENHORA DE NAZARE</v>
      </c>
      <c r="C2397" s="54" t="s">
        <v>3</v>
      </c>
      <c r="D2397" s="54">
        <v>90464</v>
      </c>
      <c r="E2397" s="51">
        <v>254.8</v>
      </c>
      <c r="F2397" s="48"/>
      <c r="G2397" s="51"/>
      <c r="H2397" s="52"/>
      <c r="I2397" s="53">
        <v>45933</v>
      </c>
    </row>
    <row r="2398" spans="1:9">
      <c r="A2398" s="47">
        <v>761</v>
      </c>
      <c r="B2398" s="48" t="str">
        <f>IFERROR(VLOOKUP(A2398,CLIENTES!A:E,2,0),"CADASTRAR CLIENTE")</f>
        <v>EXAME CENTRO DIAG.M.ARACATUBA SC LTDA.</v>
      </c>
      <c r="C2398" s="54" t="s">
        <v>3</v>
      </c>
      <c r="D2398" s="54">
        <v>90283</v>
      </c>
      <c r="E2398" s="51">
        <v>1242.2</v>
      </c>
      <c r="F2398" s="48"/>
      <c r="G2398" s="51"/>
      <c r="H2398" s="52"/>
      <c r="I2398" s="53">
        <v>45936</v>
      </c>
    </row>
    <row r="2399" spans="1:9">
      <c r="A2399" s="47">
        <v>822</v>
      </c>
      <c r="B2399" s="48" t="str">
        <f>IFERROR(VLOOKUP(A2399,CLIENTES!A:E,2,0),"CADASTRAR CLIENTE")</f>
        <v>SAO LUCAS LABORATORIO ANAL. CLIN. S/C LTDA</v>
      </c>
      <c r="C2399" s="54" t="s">
        <v>3</v>
      </c>
      <c r="D2399" s="54" t="s">
        <v>763</v>
      </c>
      <c r="E2399" s="51">
        <v>2194.5</v>
      </c>
      <c r="F2399" s="48"/>
      <c r="G2399" s="51"/>
      <c r="H2399" s="52"/>
      <c r="I2399" s="53">
        <v>45936</v>
      </c>
    </row>
    <row r="2400" spans="1:9">
      <c r="A2400" s="47">
        <v>50219</v>
      </c>
      <c r="B2400" s="48" t="str">
        <f>IFERROR(VLOOKUP(A2400,CLIENTES!A:E,2,0),"CADASTRAR CLIENTE")</f>
        <v>UNIPREV LAB DE ANALISES LOCACAO DE BENS E REPAROS LTDA EPP</v>
      </c>
      <c r="C2400" s="54" t="s">
        <v>3</v>
      </c>
      <c r="D2400" s="54" t="s">
        <v>764</v>
      </c>
      <c r="E2400" s="51">
        <v>2050.15</v>
      </c>
      <c r="F2400" s="48"/>
      <c r="G2400" s="51"/>
      <c r="H2400" s="52"/>
      <c r="I2400" s="53">
        <v>45936</v>
      </c>
    </row>
    <row r="2401" spans="1:9">
      <c r="A2401" s="47">
        <v>1122</v>
      </c>
      <c r="B2401" s="48" t="str">
        <f>IFERROR(VLOOKUP(A2401,CLIENTES!A:E,2,0),"CADASTRAR CLIENTE")</f>
        <v>FUNDEPAG</v>
      </c>
      <c r="C2401" s="54" t="s">
        <v>3</v>
      </c>
      <c r="D2401" s="54">
        <v>90486</v>
      </c>
      <c r="E2401" s="51">
        <v>1555.55</v>
      </c>
      <c r="F2401" s="48"/>
      <c r="G2401" s="51"/>
      <c r="H2401" s="52"/>
      <c r="I2401" s="53">
        <v>45936</v>
      </c>
    </row>
    <row r="2402" spans="1:9">
      <c r="A2402" s="47">
        <v>1493</v>
      </c>
      <c r="B2402" s="48" t="str">
        <f>IFERROR(VLOOKUP(A2402,CLIENTES!A:E,2,0),"CADASTRAR CLIENTE")</f>
        <v>CEDIMA  CENTRO DE DIAG MONTE AZUL ANAL CLIN E CIT</v>
      </c>
      <c r="C2402" s="54" t="s">
        <v>3</v>
      </c>
      <c r="D2402" s="54">
        <v>90514</v>
      </c>
      <c r="E2402" s="51">
        <v>519.5</v>
      </c>
      <c r="F2402" s="48"/>
      <c r="G2402" s="51"/>
      <c r="H2402" s="52"/>
      <c r="I2402" s="53">
        <v>45936</v>
      </c>
    </row>
    <row r="2403" spans="1:9">
      <c r="A2403" s="47">
        <v>2022</v>
      </c>
      <c r="B2403" s="48" t="str">
        <f>IFERROR(VLOOKUP(A2403,CLIENTES!A:E,2,0),"CADASTRAR CLIENTE")</f>
        <v>LAB. MEDICO DR. MARICONDI S/C LTDA.</v>
      </c>
      <c r="C2403" s="54" t="s">
        <v>3</v>
      </c>
      <c r="D2403" s="54" t="s">
        <v>765</v>
      </c>
      <c r="E2403" s="51">
        <v>387.64</v>
      </c>
      <c r="F2403" s="48"/>
      <c r="G2403" s="51"/>
      <c r="H2403" s="52"/>
      <c r="I2403" s="53">
        <v>45936</v>
      </c>
    </row>
    <row r="2404" spans="1:9">
      <c r="A2404" s="47">
        <v>325</v>
      </c>
      <c r="B2404" s="48" t="str">
        <f>IFERROR(VLOOKUP(A2404,CLIENTES!A:E,2,0),"CADASTRAR CLIENTE")</f>
        <v>EXAME-LABORAT. DE ANAL. CLIN. CITODIAGNOSTICO S/S LTDA</v>
      </c>
      <c r="C2404" s="54" t="s">
        <v>3</v>
      </c>
      <c r="D2404" s="54" t="s">
        <v>766</v>
      </c>
      <c r="E2404" s="51">
        <v>571.4</v>
      </c>
      <c r="F2404" s="48"/>
      <c r="G2404" s="51"/>
      <c r="H2404" s="52"/>
      <c r="I2404" s="53">
        <v>45937</v>
      </c>
    </row>
    <row r="2405" spans="1:9">
      <c r="A2405" s="47">
        <v>906</v>
      </c>
      <c r="B2405" s="48" t="str">
        <f>IFERROR(VLOOKUP(A2405,CLIENTES!A:E,2,0),"CADASTRAR CLIENTE")</f>
        <v>LABORATORIO ANAL. CLIN. DESCALVADO LTDA</v>
      </c>
      <c r="C2405" s="54" t="s">
        <v>3</v>
      </c>
      <c r="D2405" s="54" t="s">
        <v>767</v>
      </c>
      <c r="E2405" s="51">
        <v>6038.82</v>
      </c>
      <c r="F2405" s="48"/>
      <c r="G2405" s="51"/>
      <c r="H2405" s="52"/>
      <c r="I2405" s="53">
        <v>45937</v>
      </c>
    </row>
    <row r="2406" spans="1:9">
      <c r="A2406" s="47">
        <v>690</v>
      </c>
      <c r="B2406" s="48" t="str">
        <f>IFERROR(VLOOKUP(A2406,CLIENTES!A:E,2,0),"CADASTRAR CLIENTE")</f>
        <v>SAO ROQUE MEDICINA DIAGNOSTICA LTDA EPP</v>
      </c>
      <c r="C2406" s="54" t="s">
        <v>3</v>
      </c>
      <c r="D2406" s="54" t="s">
        <v>768</v>
      </c>
      <c r="E2406" s="51">
        <v>2116.0500000000002</v>
      </c>
      <c r="F2406" s="48"/>
      <c r="G2406" s="51"/>
      <c r="H2406" s="52"/>
      <c r="I2406" s="53">
        <v>45937</v>
      </c>
    </row>
    <row r="2407" spans="1:9">
      <c r="A2407" s="47">
        <v>2415</v>
      </c>
      <c r="B2407" s="48" t="str">
        <f>IFERROR(VLOOKUP(A2407,CLIENTES!A:E,2,0),"CADASTRAR CLIENTE")</f>
        <v>ROSSETTO E BARROS LABORATORIO DE ANALISES CLINICAS LTDA</v>
      </c>
      <c r="C2407" s="54" t="s">
        <v>3</v>
      </c>
      <c r="D2407" s="54" t="s">
        <v>769</v>
      </c>
      <c r="E2407" s="51">
        <v>352.29</v>
      </c>
      <c r="F2407" s="48"/>
      <c r="G2407" s="51"/>
      <c r="H2407" s="52"/>
      <c r="I2407" s="53">
        <v>45937</v>
      </c>
    </row>
    <row r="2408" spans="1:9">
      <c r="A2408" s="47">
        <v>1989</v>
      </c>
      <c r="B2408" s="48" t="str">
        <f>IFERROR(VLOOKUP(A2408,CLIENTES!A:E,2,0),"CADASTRAR CLIENTE")</f>
        <v>SAO FRANCISCO ANAL. CLIN.</v>
      </c>
      <c r="C2408" s="54" t="s">
        <v>3</v>
      </c>
      <c r="D2408" s="54">
        <v>89956</v>
      </c>
      <c r="E2408" s="51">
        <v>616.03</v>
      </c>
      <c r="F2408" s="48"/>
      <c r="G2408" s="51"/>
      <c r="H2408" s="52"/>
      <c r="I2408" s="53">
        <v>45937</v>
      </c>
    </row>
    <row r="2409" spans="1:9">
      <c r="A2409" s="47">
        <v>412</v>
      </c>
      <c r="B2409" s="48" t="str">
        <f>IFERROR(VLOOKUP(A2409,CLIENTES!A:E,2,0),"CADASTRAR CLIENTE")</f>
        <v>LAB.ANAL.CLIN.SAO MANUEL SC LTDA.</v>
      </c>
      <c r="C2409" s="54" t="s">
        <v>3</v>
      </c>
      <c r="D2409" s="54">
        <v>90632</v>
      </c>
      <c r="E2409" s="51">
        <v>84</v>
      </c>
      <c r="F2409" s="48"/>
      <c r="G2409" s="51"/>
      <c r="H2409" s="52"/>
      <c r="I2409" s="53">
        <v>45938</v>
      </c>
    </row>
    <row r="2410" spans="1:9">
      <c r="A2410" s="47">
        <v>762</v>
      </c>
      <c r="B2410" s="48" t="str">
        <f>IFERROR(VLOOKUP(A2410,CLIENTES!A:E,2,0),"CADASTRAR CLIENTE")</f>
        <v>STA. CASA MISERICORDIA DE ARACATUBA</v>
      </c>
      <c r="C2410" s="54" t="s">
        <v>2</v>
      </c>
      <c r="D2410" s="54">
        <v>90628</v>
      </c>
      <c r="E2410" s="51">
        <v>1584.9</v>
      </c>
      <c r="F2410" s="48"/>
      <c r="G2410" s="51"/>
      <c r="H2410" s="52"/>
      <c r="I2410" s="53">
        <v>45938</v>
      </c>
    </row>
    <row r="2411" spans="1:9">
      <c r="A2411" s="47">
        <v>408</v>
      </c>
      <c r="B2411" s="48" t="str">
        <f>IFERROR(VLOOKUP(A2411,CLIENTES!A:E,2,0),"CADASTRAR CLIENTE")</f>
        <v>FUND.DESENV.DE CIENCIAS FARMACEUTICAS</v>
      </c>
      <c r="C2411" s="54" t="s">
        <v>2</v>
      </c>
      <c r="D2411" s="54">
        <v>90634</v>
      </c>
      <c r="E2411" s="51">
        <v>2351.56</v>
      </c>
      <c r="F2411" s="48"/>
      <c r="G2411" s="51"/>
      <c r="H2411" s="52"/>
      <c r="I2411" s="53">
        <v>45938</v>
      </c>
    </row>
    <row r="2412" spans="1:9">
      <c r="A2412" s="47">
        <v>1493</v>
      </c>
      <c r="B2412" s="48" t="str">
        <f>IFERROR(VLOOKUP(A2412,CLIENTES!A:E,2,0),"CADASTRAR CLIENTE")</f>
        <v>CEDIMA  CENTRO DE DIAG MONTE AZUL ANAL CLIN E CIT</v>
      </c>
      <c r="C2412" s="54" t="s">
        <v>3</v>
      </c>
      <c r="D2412" s="54">
        <v>90625</v>
      </c>
      <c r="E2412" s="51">
        <v>551.86</v>
      </c>
      <c r="F2412" s="48"/>
      <c r="G2412" s="51"/>
      <c r="H2412" s="52"/>
      <c r="I2412" s="53">
        <v>45938</v>
      </c>
    </row>
    <row r="2413" spans="1:9">
      <c r="A2413" s="47">
        <v>1164</v>
      </c>
      <c r="B2413" s="48" t="str">
        <f>IFERROR(VLOOKUP(A2413,CLIENTES!A:E,2,0),"CADASTRAR CLIENTE")</f>
        <v>LAB. ANAL. CLIN. SAO LOURENCO S/C LTDA</v>
      </c>
      <c r="C2413" s="54" t="s">
        <v>3</v>
      </c>
      <c r="D2413" s="54" t="s">
        <v>771</v>
      </c>
      <c r="E2413" s="51">
        <v>465.18</v>
      </c>
      <c r="F2413" s="48"/>
      <c r="G2413" s="51"/>
      <c r="H2413" s="52"/>
      <c r="I2413" s="53">
        <v>45939</v>
      </c>
    </row>
    <row r="2414" spans="1:9">
      <c r="A2414" s="47">
        <v>704</v>
      </c>
      <c r="B2414" s="48" t="str">
        <f>IFERROR(VLOOKUP(A2414,CLIENTES!A:E,2,0),"CADASTRAR CLIENTE")</f>
        <v>LAB. ONUMA E BASILIO S/C LTDA</v>
      </c>
      <c r="C2414" s="54" t="s">
        <v>3</v>
      </c>
      <c r="D2414" s="54" t="s">
        <v>772</v>
      </c>
      <c r="E2414" s="51">
        <v>1824.69</v>
      </c>
      <c r="F2414" s="48"/>
      <c r="G2414" s="51"/>
      <c r="H2414" s="52"/>
      <c r="I2414" s="53">
        <v>45938</v>
      </c>
    </row>
    <row r="2415" spans="1:9">
      <c r="A2415" s="47">
        <v>1813</v>
      </c>
      <c r="B2415" s="48" t="str">
        <f>IFERROR(VLOOKUP(A2415,CLIENTES!A:E,2,0),"CADASTRAR CLIENTE")</f>
        <v>BIOMED LAB.ANAL.CLIN. SC  LTDA</v>
      </c>
      <c r="C2415" s="54" t="s">
        <v>3</v>
      </c>
      <c r="D2415" s="54">
        <v>90619</v>
      </c>
      <c r="E2415" s="51">
        <v>1271.74</v>
      </c>
      <c r="F2415" s="48"/>
      <c r="G2415" s="51"/>
      <c r="H2415" s="52"/>
      <c r="I2415" s="53">
        <v>45938</v>
      </c>
    </row>
    <row r="2416" spans="1:9">
      <c r="A2416" s="47">
        <v>412</v>
      </c>
      <c r="B2416" s="48" t="str">
        <f>IFERROR(VLOOKUP(A2416,CLIENTES!A:E,2,0),"CADASTRAR CLIENTE")</f>
        <v>LAB.ANAL.CLIN.SAO MANUEL SC LTDA.</v>
      </c>
      <c r="C2416" s="54" t="s">
        <v>3</v>
      </c>
      <c r="D2416" s="54">
        <v>90632</v>
      </c>
      <c r="E2416" s="51">
        <v>84</v>
      </c>
      <c r="F2416" s="48"/>
      <c r="G2416" s="51"/>
      <c r="H2416" s="52"/>
      <c r="I2416" s="53">
        <v>45938</v>
      </c>
    </row>
    <row r="2417" spans="1:9">
      <c r="A2417" s="47">
        <v>50554</v>
      </c>
      <c r="B2417" s="48" t="str">
        <f>IFERROR(VLOOKUP(A2417,CLIENTES!A:E,2,0),"CADASTRAR CLIENTE")</f>
        <v>SAO ROQUE MEDICINA DIAGNOSTICA</v>
      </c>
      <c r="C2417" s="54" t="s">
        <v>3</v>
      </c>
      <c r="D2417" s="54" t="s">
        <v>773</v>
      </c>
      <c r="E2417" s="51">
        <v>4796.3599999999997</v>
      </c>
      <c r="F2417" s="48"/>
      <c r="G2417" s="51"/>
      <c r="H2417" s="52"/>
      <c r="I2417" s="53">
        <v>45938</v>
      </c>
    </row>
    <row r="2418" spans="1:9">
      <c r="A2418" s="47">
        <v>3194</v>
      </c>
      <c r="B2418" s="48" t="str">
        <f>IFERROR(VLOOKUP(A2418,CLIENTES!A:E,2,0),"CADASTRAR CLIENTE")</f>
        <v>CENTRO DE DIAGNOSTICOS CONTROLE LTDA</v>
      </c>
      <c r="C2418" s="54" t="s">
        <v>3</v>
      </c>
      <c r="D2418" s="54">
        <v>90539</v>
      </c>
      <c r="E2418" s="51">
        <v>380.2</v>
      </c>
      <c r="F2418" s="48"/>
      <c r="G2418" s="51"/>
      <c r="H2418" s="52"/>
      <c r="I2418" s="53">
        <v>45938</v>
      </c>
    </row>
    <row r="2419" spans="1:9">
      <c r="A2419" s="47">
        <v>746</v>
      </c>
      <c r="B2419" s="48" t="str">
        <f>IFERROR(VLOOKUP(A2419,CLIENTES!A:E,2,0),"CADASTRAR CLIENTE")</f>
        <v>LAB.ANAL.CLIN.BIOCLIN SC LTDA.</v>
      </c>
      <c r="C2419" s="54" t="s">
        <v>3</v>
      </c>
      <c r="D2419" s="54" t="s">
        <v>774</v>
      </c>
      <c r="E2419" s="51">
        <v>608.03</v>
      </c>
      <c r="F2419" s="48"/>
      <c r="G2419" s="51"/>
      <c r="H2419" s="52"/>
      <c r="I2419" s="53">
        <v>45939</v>
      </c>
    </row>
    <row r="2420" spans="1:9">
      <c r="A2420" s="47">
        <v>2022</v>
      </c>
      <c r="B2420" s="48" t="str">
        <f>IFERROR(VLOOKUP(A2420,CLIENTES!A:E,2,0),"CADASTRAR CLIENTE")</f>
        <v>LAB. MEDICO DR. MARICONDI S/C LTDA.</v>
      </c>
      <c r="C2420" s="54" t="s">
        <v>3</v>
      </c>
      <c r="D2420" s="54">
        <v>89890</v>
      </c>
      <c r="E2420" s="51">
        <v>7687.8</v>
      </c>
      <c r="F2420" s="48"/>
      <c r="G2420" s="51"/>
      <c r="H2420" s="52"/>
      <c r="I2420" s="53">
        <v>45939</v>
      </c>
    </row>
    <row r="2421" spans="1:9">
      <c r="A2421" s="47">
        <v>50465</v>
      </c>
      <c r="B2421" s="48" t="str">
        <f>IFERROR(VLOOKUP(A2421,CLIENTES!A:E,2,0),"CADASTRAR CLIENTE")</f>
        <v>LABORATORIO DE ANALISES CLINICAS VIDA BIRIGUI LTDA</v>
      </c>
      <c r="C2421" s="54" t="s">
        <v>3</v>
      </c>
      <c r="D2421" s="54">
        <v>90564</v>
      </c>
      <c r="E2421" s="51">
        <v>445.5</v>
      </c>
      <c r="F2421" s="48"/>
      <c r="G2421" s="51"/>
      <c r="H2421" s="52"/>
      <c r="I2421" s="53">
        <v>45939</v>
      </c>
    </row>
    <row r="2422" spans="1:9">
      <c r="A2422" s="47">
        <v>772</v>
      </c>
      <c r="B2422" s="48" t="str">
        <f>IFERROR(VLOOKUP(A2422,CLIENTES!A:E,2,0),"CADASTRAR CLIENTE")</f>
        <v>MEGARON LABORATORIO ANAL.CLIN.SC LTDA.</v>
      </c>
      <c r="C2422" s="54" t="s">
        <v>3</v>
      </c>
      <c r="D2422" s="54">
        <v>90688</v>
      </c>
      <c r="E2422" s="51">
        <v>187.65</v>
      </c>
      <c r="F2422" s="48"/>
      <c r="G2422" s="51"/>
      <c r="H2422" s="52"/>
      <c r="I2422" s="53">
        <v>45939</v>
      </c>
    </row>
    <row r="2423" spans="1:9">
      <c r="A2423" s="47">
        <v>3017</v>
      </c>
      <c r="B2423" s="48" t="str">
        <f>IFERROR(VLOOKUP(A2423,CLIENTES!A:E,2,0),"CADASTRAR CLIENTE")</f>
        <v>IMUNOLAB LABORATORIO DE ANALISES CLINICAS LTDA ME</v>
      </c>
      <c r="C2423" s="54" t="s">
        <v>3</v>
      </c>
      <c r="D2423" s="54">
        <v>90691</v>
      </c>
      <c r="E2423" s="51">
        <v>1483.66</v>
      </c>
      <c r="F2423" s="48"/>
      <c r="G2423" s="51"/>
      <c r="H2423" s="52"/>
      <c r="I2423" s="53">
        <v>45939</v>
      </c>
    </row>
    <row r="2424" spans="1:9">
      <c r="A2424" s="47">
        <v>1206</v>
      </c>
      <c r="B2424" s="48" t="str">
        <f>IFERROR(VLOOKUP(A2424,CLIENTES!A:E,2,0),"CADASTRAR CLIENTE")</f>
        <v>LABORATORIO RIO NEGRO CENTER DE MARILIA  LTDA</v>
      </c>
      <c r="C2424" s="54" t="s">
        <v>3</v>
      </c>
      <c r="D2424" s="54">
        <v>90713</v>
      </c>
      <c r="E2424" s="51">
        <v>1510.68</v>
      </c>
      <c r="F2424" s="48"/>
      <c r="G2424" s="51"/>
      <c r="H2424" s="52"/>
      <c r="I2424" s="53">
        <v>45939</v>
      </c>
    </row>
    <row r="2425" spans="1:9">
      <c r="A2425" s="47">
        <v>1026</v>
      </c>
      <c r="B2425" s="48" t="str">
        <f>IFERROR(VLOOKUP(A2425,CLIENTES!A:E,2,0),"CADASTRAR CLIENTE")</f>
        <v>LABSC SERVICOS LABORATORIAIS LTDA</v>
      </c>
      <c r="C2425" s="54" t="s">
        <v>3</v>
      </c>
      <c r="D2425" s="54" t="s">
        <v>775</v>
      </c>
      <c r="E2425" s="51">
        <v>2114</v>
      </c>
      <c r="F2425" s="48"/>
      <c r="G2425" s="51"/>
      <c r="H2425" s="52"/>
      <c r="I2425" s="53">
        <v>45940</v>
      </c>
    </row>
    <row r="2426" spans="1:9">
      <c r="A2426" s="47">
        <v>1623</v>
      </c>
      <c r="B2426" s="48" t="str">
        <f>IFERROR(VLOOKUP(A2426,CLIENTES!A:E,2,0),"CADASTRAR CLIENTE")</f>
        <v>LAB.ANAL.CLIN. E REP. BADY BASSIT LTDA</v>
      </c>
      <c r="C2426" s="54" t="s">
        <v>3</v>
      </c>
      <c r="D2426" s="54">
        <v>90720</v>
      </c>
      <c r="E2426" s="51">
        <v>300.45</v>
      </c>
      <c r="F2426" s="48"/>
      <c r="G2426" s="51"/>
      <c r="H2426" s="52"/>
      <c r="I2426" s="53">
        <v>45940</v>
      </c>
    </row>
    <row r="2427" spans="1:9">
      <c r="A2427" s="47">
        <v>3153</v>
      </c>
      <c r="B2427" s="48" t="str">
        <f>IFERROR(VLOOKUP(A2427,CLIENTES!A:E,2,0),"CADASTRAR CLIENTE")</f>
        <v>UNIMED DE TUPA COOPERATIVA DE TRABALHO MEDICO</v>
      </c>
      <c r="C2427" s="54" t="s">
        <v>3</v>
      </c>
      <c r="D2427" s="54" t="s">
        <v>776</v>
      </c>
      <c r="E2427" s="51">
        <v>1811.54</v>
      </c>
      <c r="F2427" s="48"/>
      <c r="G2427" s="51"/>
      <c r="H2427" s="52"/>
      <c r="I2427" s="53">
        <v>45940</v>
      </c>
    </row>
    <row r="2428" spans="1:9">
      <c r="A2428" s="47">
        <v>2199</v>
      </c>
      <c r="B2428" s="48" t="str">
        <f>IFERROR(VLOOKUP(A2428,CLIENTES!A:E,2,0),"CADASTRAR CLIENTE")</f>
        <v>SOCIEDADE EDUCACIONAL UBERABENSE</v>
      </c>
      <c r="C2428" s="54" t="s">
        <v>3</v>
      </c>
      <c r="D2428" s="54" t="s">
        <v>777</v>
      </c>
      <c r="E2428" s="51">
        <v>596.70000000000005</v>
      </c>
      <c r="F2428" s="48"/>
      <c r="G2428" s="51"/>
      <c r="H2428" s="52"/>
      <c r="I2428" s="53">
        <v>45940</v>
      </c>
    </row>
    <row r="2429" spans="1:9">
      <c r="A2429" s="47">
        <v>50728</v>
      </c>
      <c r="B2429" s="48" t="str">
        <f>IFERROR(VLOOKUP(A2429,CLIENTES!A:E,2,0),"CADASTRAR CLIENTE")</f>
        <v>SESTITO &amp; TORRES CLINICA MEDICA</v>
      </c>
      <c r="C2429" s="54" t="s">
        <v>3</v>
      </c>
      <c r="D2429" s="54">
        <v>90742</v>
      </c>
      <c r="E2429" s="51">
        <v>1550</v>
      </c>
      <c r="F2429" s="48"/>
      <c r="G2429" s="51"/>
      <c r="H2429" s="52"/>
      <c r="I2429" s="53">
        <v>45940</v>
      </c>
    </row>
    <row r="2430" spans="1:9">
      <c r="A2430" s="47">
        <v>50558</v>
      </c>
      <c r="B2430" s="48" t="str">
        <f>IFERROR(VLOOKUP(A2430,CLIENTES!A:E,2,0),"CADASTRAR CLIENTE")</f>
        <v>FUNDACAO PAULISTA DE TECNOLOGIA E EDUCACAO</v>
      </c>
      <c r="C2430" s="54" t="s">
        <v>3</v>
      </c>
      <c r="D2430" s="54">
        <v>90764</v>
      </c>
      <c r="E2430" s="51">
        <v>5716</v>
      </c>
      <c r="F2430" s="48"/>
      <c r="G2430" s="51"/>
      <c r="H2430" s="52"/>
      <c r="I2430" s="53">
        <v>45943</v>
      </c>
    </row>
    <row r="2431" spans="1:9">
      <c r="A2431" s="47">
        <v>960</v>
      </c>
      <c r="B2431" s="48" t="str">
        <f>IFERROR(VLOOKUP(A2431,CLIENTES!A:E,2,0),"CADASTRAR CLIENTE")</f>
        <v>LUIS VALERIO FILHO-ME</v>
      </c>
      <c r="C2431" s="54" t="s">
        <v>3</v>
      </c>
      <c r="D2431" s="54" t="s">
        <v>778</v>
      </c>
      <c r="E2431" s="51">
        <v>1394.57</v>
      </c>
      <c r="F2431" s="48"/>
      <c r="G2431" s="51"/>
      <c r="H2431" s="52"/>
      <c r="I2431" s="53">
        <v>45943</v>
      </c>
    </row>
    <row r="2432" spans="1:9">
      <c r="A2432" s="47">
        <v>761</v>
      </c>
      <c r="B2432" s="48" t="str">
        <f>IFERROR(VLOOKUP(A2432,CLIENTES!A:E,2,0),"CADASTRAR CLIENTE")</f>
        <v>EXAME CENTRO DIAG.M.ARACATUBA SC LTDA.</v>
      </c>
      <c r="C2432" s="54" t="s">
        <v>3</v>
      </c>
      <c r="D2432" s="54" t="s">
        <v>779</v>
      </c>
      <c r="E2432" s="51">
        <v>4672.33</v>
      </c>
      <c r="F2432" s="48"/>
      <c r="G2432" s="51"/>
      <c r="H2432" s="52"/>
      <c r="I2432" s="53">
        <v>45943</v>
      </c>
    </row>
    <row r="2433" spans="1:9">
      <c r="A2433" s="47">
        <v>500005</v>
      </c>
      <c r="B2433" s="48" t="str">
        <f>IFERROR(VLOOKUP(A2433,CLIENTES!A:E,2,0),"CADASTRAR CLIENTE")</f>
        <v>ASSOCIACAO EDUCACIONAL DE ENSINO SUPERIOR</v>
      </c>
      <c r="C2433" s="54" t="s">
        <v>3</v>
      </c>
      <c r="D2433" s="54">
        <v>90789</v>
      </c>
      <c r="E2433" s="51">
        <v>3016.17</v>
      </c>
      <c r="F2433" s="48"/>
      <c r="G2433" s="51"/>
      <c r="H2433" s="52"/>
      <c r="I2433" s="53">
        <v>45943</v>
      </c>
    </row>
    <row r="2434" spans="1:9">
      <c r="A2434" s="47">
        <v>575</v>
      </c>
      <c r="B2434" s="48" t="str">
        <f>IFERROR(VLOOKUP(A2434,CLIENTES!A:E,2,0),"CADASTRAR CLIENTE")</f>
        <v>DR MUNHOZ HOSPITAL VETERINARIO E PET SHOP</v>
      </c>
      <c r="C2434" s="54" t="s">
        <v>3</v>
      </c>
      <c r="D2434" s="54">
        <v>90767</v>
      </c>
      <c r="E2434" s="51">
        <v>745.2</v>
      </c>
      <c r="F2434" s="48"/>
      <c r="G2434" s="51"/>
      <c r="H2434" s="52"/>
      <c r="I2434" s="53">
        <v>45943</v>
      </c>
    </row>
    <row r="2435" spans="1:9">
      <c r="A2435" s="47">
        <v>500772</v>
      </c>
      <c r="B2435" s="48" t="str">
        <f>IFERROR(VLOOKUP(A2435,CLIENTES!A:E,2,0),"CADASTRAR CLIENTE")</f>
        <v>IERT- INSTITUICOES DE ENSINO REUNIDAS TIETE LTDA</v>
      </c>
      <c r="C2435" s="54" t="s">
        <v>3</v>
      </c>
      <c r="D2435" s="54" t="s">
        <v>780</v>
      </c>
      <c r="E2435" s="51">
        <v>749.4</v>
      </c>
      <c r="F2435" s="48"/>
      <c r="G2435" s="51"/>
      <c r="H2435" s="52"/>
      <c r="I2435" s="53">
        <v>45944</v>
      </c>
    </row>
    <row r="2436" spans="1:9">
      <c r="A2436" s="47">
        <v>3018</v>
      </c>
      <c r="B2436" s="48" t="str">
        <f>IFERROR(VLOOKUP(A2436,CLIENTES!A:E,2,0),"CADASTRAR CLIENTE")</f>
        <v>NP- LABORATORIO DE ANALISES CLINICAS LTDA</v>
      </c>
      <c r="C2436" s="54" t="s">
        <v>3</v>
      </c>
      <c r="D2436" s="54">
        <v>90340</v>
      </c>
      <c r="E2436" s="51">
        <v>1068.27</v>
      </c>
      <c r="F2436" s="48"/>
      <c r="G2436" s="51"/>
      <c r="H2436" s="52"/>
      <c r="I2436" s="53">
        <v>45944</v>
      </c>
    </row>
    <row r="2437" spans="1:9">
      <c r="A2437" s="47">
        <v>1493</v>
      </c>
      <c r="B2437" s="48" t="str">
        <f>IFERROR(VLOOKUP(A2437,CLIENTES!A:E,2,0),"CADASTRAR CLIENTE")</f>
        <v>CEDIMA  CENTRO DE DIAG MONTE AZUL ANAL CLIN E CIT</v>
      </c>
      <c r="C2437" s="54" t="s">
        <v>3</v>
      </c>
      <c r="D2437" s="54">
        <v>90625</v>
      </c>
      <c r="E2437" s="51">
        <v>734</v>
      </c>
      <c r="F2437" s="48"/>
      <c r="G2437" s="51"/>
      <c r="H2437" s="52"/>
      <c r="I2437" s="53">
        <v>45944</v>
      </c>
    </row>
    <row r="2438" spans="1:9">
      <c r="A2438" s="47">
        <v>51061</v>
      </c>
      <c r="B2438" s="48" t="str">
        <f>IFERROR(VLOOKUP(A2438,CLIENTES!A:E,2,0),"CADASTRAR CLIENTE")</f>
        <v>UNIMED AMPARO COOPERATIVA DE TRABALHO MEDICO</v>
      </c>
      <c r="C2438" s="54" t="s">
        <v>3</v>
      </c>
      <c r="D2438" s="54">
        <v>90814</v>
      </c>
      <c r="E2438" s="51">
        <v>1581.4</v>
      </c>
      <c r="F2438" s="48"/>
      <c r="G2438" s="51"/>
      <c r="H2438" s="52"/>
      <c r="I2438" s="53">
        <v>45944</v>
      </c>
    </row>
    <row r="2439" spans="1:9">
      <c r="A2439" s="47">
        <v>2415</v>
      </c>
      <c r="B2439" s="48" t="str">
        <f>IFERROR(VLOOKUP(A2439,CLIENTES!A:E,2,0),"CADASTRAR CLIENTE")</f>
        <v>ROSSETTO E BARROS LABORATORIO DE ANALISES CLINICAS LTDA</v>
      </c>
      <c r="C2439" s="54" t="s">
        <v>3</v>
      </c>
      <c r="D2439" s="54">
        <v>90817</v>
      </c>
      <c r="E2439" s="51">
        <v>1098.8</v>
      </c>
      <c r="F2439" s="48"/>
      <c r="G2439" s="51"/>
      <c r="H2439" s="52"/>
      <c r="I2439" s="53">
        <v>45944</v>
      </c>
    </row>
    <row r="2440" spans="1:9">
      <c r="A2440" s="47">
        <v>1533</v>
      </c>
      <c r="B2440" s="48" t="str">
        <f>IFERROR(VLOOKUP(A2440,CLIENTES!A:E,2,0),"CADASTRAR CLIENTE")</f>
        <v>LABORATORIO BIOANALISE DIAGNOSTICO LTDA</v>
      </c>
      <c r="C2440" s="54" t="s">
        <v>3</v>
      </c>
      <c r="D2440" s="54">
        <v>90854</v>
      </c>
      <c r="E2440" s="51">
        <v>726.8</v>
      </c>
      <c r="F2440" s="48"/>
      <c r="G2440" s="51"/>
      <c r="H2440" s="52"/>
      <c r="I2440" s="53">
        <v>45945</v>
      </c>
    </row>
    <row r="2441" spans="1:9">
      <c r="A2441" s="47">
        <v>960</v>
      </c>
      <c r="B2441" s="48" t="str">
        <f>IFERROR(VLOOKUP(A2441,CLIENTES!A:E,2,0),"CADASTRAR CLIENTE")</f>
        <v>LUIS VALERIO FILHO-ME</v>
      </c>
      <c r="C2441" s="54" t="s">
        <v>3</v>
      </c>
      <c r="D2441" s="54">
        <v>90884</v>
      </c>
      <c r="E2441" s="51">
        <v>730</v>
      </c>
      <c r="F2441" s="48"/>
      <c r="G2441" s="51"/>
      <c r="H2441" s="52"/>
      <c r="I2441" s="53">
        <v>45946</v>
      </c>
    </row>
    <row r="2442" spans="1:9">
      <c r="A2442" s="47">
        <v>50465</v>
      </c>
      <c r="B2442" s="48" t="str">
        <f>IFERROR(VLOOKUP(A2442,CLIENTES!A:E,2,0),"CADASTRAR CLIENTE")</f>
        <v>LABORATORIO DE ANALISES CLINICAS VIDA BIRIGUI LTDA</v>
      </c>
      <c r="C2442" s="54" t="s">
        <v>3</v>
      </c>
      <c r="D2442" s="54">
        <v>90806</v>
      </c>
      <c r="E2442" s="51">
        <v>485.66</v>
      </c>
      <c r="F2442" s="48"/>
      <c r="G2442" s="51"/>
      <c r="H2442" s="52"/>
      <c r="I2442" s="53">
        <v>45946</v>
      </c>
    </row>
    <row r="2443" spans="1:9">
      <c r="A2443" s="47">
        <v>3475</v>
      </c>
      <c r="B2443" s="48" t="str">
        <f>IFERROR(VLOOKUP(A2443,CLIENTES!A:E,2,0),"CADASTRAR CLIENTE")</f>
        <v>LQF LABORATORIO QUIMICO FARMACEUTICO RIO PRETO EIRELI - ME</v>
      </c>
      <c r="C2443" s="54" t="s">
        <v>3</v>
      </c>
      <c r="D2443" s="54">
        <v>90469</v>
      </c>
      <c r="E2443" s="51">
        <v>270.95</v>
      </c>
      <c r="F2443" s="48"/>
      <c r="G2443" s="51"/>
      <c r="H2443" s="52"/>
      <c r="I2443" s="53">
        <v>45946</v>
      </c>
    </row>
    <row r="2444" spans="1:9">
      <c r="A2444" s="47">
        <v>690</v>
      </c>
      <c r="B2444" s="48" t="str">
        <f>IFERROR(VLOOKUP(A2444,CLIENTES!A:E,2,0),"CADASTRAR CLIENTE")</f>
        <v>SAO ROQUE MEDICINA DIAGNOSTICA LTDA EPP</v>
      </c>
      <c r="C2444" s="54" t="s">
        <v>3</v>
      </c>
      <c r="D2444" s="54" t="s">
        <v>781</v>
      </c>
      <c r="E2444" s="51">
        <v>139</v>
      </c>
      <c r="F2444" s="48"/>
      <c r="G2444" s="51"/>
      <c r="H2444" s="52"/>
      <c r="I2444" s="53">
        <v>45946</v>
      </c>
    </row>
    <row r="2445" spans="1:9">
      <c r="A2445" s="47">
        <v>50554</v>
      </c>
      <c r="B2445" s="48" t="str">
        <f>IFERROR(VLOOKUP(A2445,CLIENTES!A:E,2,0),"CADASTRAR CLIENTE")</f>
        <v>SAO ROQUE MEDICINA DIAGNOSTICA</v>
      </c>
      <c r="C2445" s="54" t="s">
        <v>3</v>
      </c>
      <c r="D2445" s="54" t="s">
        <v>782</v>
      </c>
      <c r="E2445" s="51">
        <v>645</v>
      </c>
      <c r="F2445" s="48"/>
      <c r="G2445" s="51"/>
      <c r="H2445" s="52"/>
      <c r="I2445" s="53">
        <v>45946</v>
      </c>
    </row>
    <row r="2446" spans="1:9">
      <c r="A2446" s="47">
        <v>3557</v>
      </c>
      <c r="B2446" s="48" t="str">
        <f>IFERROR(VLOOKUP(A2446,CLIENTES!A:E,2,0),"CADASTRAR CLIENTE")</f>
        <v>ASSOCIACAO BENEFICIENTE NOSSA SENHORA DE NAZARE</v>
      </c>
      <c r="C2446" s="54" t="s">
        <v>3</v>
      </c>
      <c r="D2446" s="54">
        <v>90907</v>
      </c>
      <c r="E2446" s="51">
        <v>1307.7</v>
      </c>
      <c r="F2446" s="48"/>
      <c r="G2446" s="51"/>
      <c r="H2446" s="52"/>
      <c r="I2446" s="53">
        <v>45946</v>
      </c>
    </row>
    <row r="2447" spans="1:9">
      <c r="A2447" s="47">
        <v>874</v>
      </c>
      <c r="B2447" s="48" t="str">
        <f>IFERROR(VLOOKUP(A2447,CLIENTES!A:E,2,0),"CADASTRAR CLIENTE")</f>
        <v>LAB.ANAL.CLIN ABI JAUDI SC LTDA.</v>
      </c>
      <c r="C2447" s="54" t="s">
        <v>3</v>
      </c>
      <c r="D2447" s="54">
        <v>90918</v>
      </c>
      <c r="E2447" s="51">
        <v>2293.31</v>
      </c>
      <c r="F2447" s="48"/>
      <c r="G2447" s="51"/>
      <c r="H2447" s="52"/>
      <c r="I2447" s="53">
        <v>45946</v>
      </c>
    </row>
    <row r="2448" spans="1:9">
      <c r="A2448" s="47">
        <v>500243</v>
      </c>
      <c r="B2448" s="48" t="str">
        <f>IFERROR(VLOOKUP(A2448,CLIENTES!A:E,2,0),"CADASTRAR CLIENTE")</f>
        <v>UNIMED DE IBITINGA COOPERATIVA DE TRABALHO MEDICO</v>
      </c>
      <c r="C2448" s="54" t="s">
        <v>3</v>
      </c>
      <c r="D2448" s="54">
        <v>90024</v>
      </c>
      <c r="E2448" s="51">
        <v>1333.4</v>
      </c>
      <c r="F2448" s="48"/>
      <c r="G2448" s="51"/>
      <c r="H2448" s="52"/>
      <c r="I2448" s="53">
        <v>45950</v>
      </c>
    </row>
    <row r="2449" spans="1:9">
      <c r="A2449" s="47">
        <v>412</v>
      </c>
      <c r="B2449" s="48" t="str">
        <f>IFERROR(VLOOKUP(A2449,CLIENTES!A:E,2,0),"CADASTRAR CLIENTE")</f>
        <v>LAB.ANAL.CLIN.SAO MANUEL SC LTDA.</v>
      </c>
      <c r="C2449" s="54" t="s">
        <v>3</v>
      </c>
      <c r="D2449" s="54">
        <v>90950</v>
      </c>
      <c r="E2449" s="51">
        <v>1095</v>
      </c>
      <c r="F2449" s="48"/>
      <c r="G2449" s="51"/>
      <c r="H2449" s="52"/>
      <c r="I2449" s="53">
        <v>45947</v>
      </c>
    </row>
    <row r="2450" spans="1:9">
      <c r="A2450" s="47">
        <v>475</v>
      </c>
      <c r="B2450" s="48" t="str">
        <f>IFERROR(VLOOKUP(A2450,CLIENTES!A:E,2,0),"CADASTRAR CLIENTE")</f>
        <v>LABORATORIO DE ANALISES CLINICAS SRC LTDA</v>
      </c>
      <c r="C2450" s="54" t="s">
        <v>3</v>
      </c>
      <c r="D2450" s="54" t="s">
        <v>783</v>
      </c>
      <c r="E2450" s="51">
        <v>29927.9</v>
      </c>
      <c r="F2450" s="48"/>
      <c r="G2450" s="51"/>
      <c r="H2450" s="52"/>
      <c r="I2450" s="53">
        <v>45950</v>
      </c>
    </row>
    <row r="2451" spans="1:9">
      <c r="A2451" s="47">
        <v>311</v>
      </c>
      <c r="B2451" s="48" t="str">
        <f>IFERROR(VLOOKUP(A2451,CLIENTES!A:E,2,0),"CADASTRAR CLIENTE")</f>
        <v>CENTRO DE ANAL.CLIN. UNILAB  SC LTDA.</v>
      </c>
      <c r="C2451" s="54" t="s">
        <v>3</v>
      </c>
      <c r="D2451" s="54">
        <v>90774</v>
      </c>
      <c r="E2451" s="51">
        <v>2196.3000000000002</v>
      </c>
      <c r="F2451" s="48"/>
      <c r="G2451" s="51"/>
      <c r="H2451" s="52"/>
      <c r="I2451" s="53">
        <v>45947</v>
      </c>
    </row>
    <row r="2452" spans="1:9">
      <c r="A2452" s="47">
        <v>50554</v>
      </c>
      <c r="B2452" s="48" t="str">
        <f>IFERROR(VLOOKUP(A2452,CLIENTES!A:E,2,0),"CADASTRAR CLIENTE")</f>
        <v>SAO ROQUE MEDICINA DIAGNOSTICA</v>
      </c>
      <c r="C2452" s="54" t="s">
        <v>3</v>
      </c>
      <c r="D2452" s="54">
        <v>90956</v>
      </c>
      <c r="E2452" s="51">
        <v>4788</v>
      </c>
      <c r="F2452" s="48"/>
      <c r="G2452" s="51"/>
      <c r="H2452" s="52"/>
      <c r="I2452" s="53">
        <v>45950</v>
      </c>
    </row>
    <row r="2453" spans="1:9">
      <c r="A2453" s="47">
        <v>761</v>
      </c>
      <c r="B2453" s="48" t="str">
        <f>IFERROR(VLOOKUP(A2453,CLIENTES!A:E,2,0),"CADASTRAR CLIENTE")</f>
        <v>EXAME CENTRO DIAG.M.ARACATUBA SC LTDA.</v>
      </c>
      <c r="C2453" s="54" t="s">
        <v>3</v>
      </c>
      <c r="D2453" s="54" t="s">
        <v>784</v>
      </c>
      <c r="E2453" s="51">
        <v>11294.53</v>
      </c>
      <c r="F2453" s="48"/>
      <c r="G2453" s="51"/>
      <c r="H2453" s="52"/>
      <c r="I2453" s="53">
        <v>45950</v>
      </c>
    </row>
    <row r="2454" spans="1:9">
      <c r="A2454" s="47">
        <v>480</v>
      </c>
      <c r="B2454" s="48" t="str">
        <f>IFERROR(VLOOKUP(A2454,CLIENTES!A:E,2,0),"CADASTRAR CLIENTE")</f>
        <v>LAB SAO LUCAS</v>
      </c>
      <c r="C2454" s="54" t="s">
        <v>3</v>
      </c>
      <c r="D2454" s="54" t="s">
        <v>785</v>
      </c>
      <c r="E2454" s="51">
        <v>1603.4</v>
      </c>
      <c r="F2454" s="48"/>
      <c r="G2454" s="51"/>
      <c r="H2454" s="52"/>
      <c r="I2454" s="53">
        <v>45950</v>
      </c>
    </row>
    <row r="2455" spans="1:9">
      <c r="A2455" s="47">
        <v>1971</v>
      </c>
      <c r="B2455" s="48" t="str">
        <f>IFERROR(VLOOKUP(A2455,CLIENTES!A:E,2,0),"CADASTRAR CLIENTE")</f>
        <v>LABORATORIO POPULAR LAB 7 LTDA</v>
      </c>
      <c r="C2455" s="54" t="s">
        <v>3</v>
      </c>
      <c r="D2455" s="54">
        <v>90972</v>
      </c>
      <c r="E2455" s="51">
        <v>509.85</v>
      </c>
      <c r="F2455" s="48"/>
      <c r="G2455" s="51"/>
      <c r="H2455" s="52"/>
      <c r="I2455" s="53">
        <v>45950</v>
      </c>
    </row>
    <row r="2456" spans="1:9">
      <c r="A2456" s="47">
        <v>516</v>
      </c>
      <c r="B2456" s="48" t="str">
        <f>IFERROR(VLOOKUP(A2456,CLIENTES!A:E,2,0),"CADASTRAR CLIENTE")</f>
        <v>TECNOLAB PATOLOGIA CLINICA S/C LTDA</v>
      </c>
      <c r="C2456" s="54" t="s">
        <v>3</v>
      </c>
      <c r="D2456" s="54">
        <v>89952</v>
      </c>
      <c r="E2456" s="51">
        <v>12824.31</v>
      </c>
      <c r="F2456" s="48"/>
      <c r="G2456" s="51"/>
      <c r="H2456" s="52"/>
      <c r="I2456" s="53">
        <v>45950</v>
      </c>
    </row>
    <row r="2457" spans="1:9">
      <c r="A2457" s="47">
        <v>960</v>
      </c>
      <c r="B2457" s="48" t="str">
        <f>IFERROR(VLOOKUP(A2457,CLIENTES!A:E,2,0),"CADASTRAR CLIENTE")</f>
        <v>LUIS VALERIO FILHO-ME</v>
      </c>
      <c r="C2457" s="54" t="s">
        <v>3</v>
      </c>
      <c r="D2457" s="54">
        <v>90984</v>
      </c>
      <c r="E2457" s="51">
        <v>1074</v>
      </c>
      <c r="F2457" s="48"/>
      <c r="G2457" s="51"/>
      <c r="H2457" s="52"/>
      <c r="I2457" s="53">
        <v>45950</v>
      </c>
    </row>
    <row r="2458" spans="1:9">
      <c r="A2458" s="47">
        <v>3017</v>
      </c>
      <c r="B2458" s="48" t="str">
        <f>IFERROR(VLOOKUP(A2458,CLIENTES!A:E,2,0),"CADASTRAR CLIENTE")</f>
        <v>IMUNOLAB LABORATORIO DE ANALISES CLINICAS LTDA ME</v>
      </c>
      <c r="C2458" s="54" t="s">
        <v>3</v>
      </c>
      <c r="D2458" s="54">
        <v>90977</v>
      </c>
      <c r="E2458" s="51">
        <v>1716.59</v>
      </c>
      <c r="F2458" s="48"/>
      <c r="G2458" s="51"/>
      <c r="H2458" s="52"/>
      <c r="I2458" s="53">
        <v>45950</v>
      </c>
    </row>
    <row r="2459" spans="1:9">
      <c r="A2459" s="47">
        <v>2022</v>
      </c>
      <c r="B2459" s="48" t="str">
        <f>IFERROR(VLOOKUP(A2459,CLIENTES!A:E,2,0),"CADASTRAR CLIENTE")</f>
        <v>LAB. MEDICO DR. MARICONDI S/C LTDA.</v>
      </c>
      <c r="C2459" s="54" t="s">
        <v>3</v>
      </c>
      <c r="D2459" s="54">
        <v>90183</v>
      </c>
      <c r="E2459" s="51">
        <v>356</v>
      </c>
      <c r="F2459" s="48"/>
      <c r="G2459" s="51"/>
      <c r="H2459" s="52"/>
      <c r="I2459" s="53">
        <v>45950</v>
      </c>
    </row>
    <row r="2460" spans="1:9">
      <c r="A2460" s="47">
        <v>2163</v>
      </c>
      <c r="B2460" s="48" t="str">
        <f>IFERROR(VLOOKUP(A2460,CLIENTES!A:E,2,0),"CADASTRAR CLIENTE")</f>
        <v>BIO-LAB SAO JUDAS TADEU S/C LTDA - ME</v>
      </c>
      <c r="C2460" s="54" t="s">
        <v>3</v>
      </c>
      <c r="D2460" s="54">
        <v>90993</v>
      </c>
      <c r="E2460" s="51">
        <v>1822.4</v>
      </c>
      <c r="F2460" s="48"/>
      <c r="G2460" s="51"/>
      <c r="H2460" s="52"/>
      <c r="I2460" s="53">
        <v>45950</v>
      </c>
    </row>
    <row r="2461" spans="1:9">
      <c r="A2461" s="47">
        <v>50576</v>
      </c>
      <c r="B2461" s="48" t="str">
        <f>IFERROR(VLOOKUP(A2461,CLIENTES!A:E,2,0),"CADASTRAR CLIENTE")</f>
        <v>ANDRIAO CANEPPA E SILVA LTDA ME</v>
      </c>
      <c r="C2461" s="54" t="s">
        <v>3</v>
      </c>
      <c r="D2461" s="54">
        <v>91020</v>
      </c>
      <c r="E2461" s="51">
        <v>2396.06</v>
      </c>
      <c r="F2461" s="48"/>
      <c r="G2461" s="51"/>
      <c r="H2461" s="52"/>
      <c r="I2461" s="53">
        <v>45951</v>
      </c>
    </row>
    <row r="2462" spans="1:9">
      <c r="A2462" s="47">
        <v>2199</v>
      </c>
      <c r="B2462" s="48" t="str">
        <f>IFERROR(VLOOKUP(A2462,CLIENTES!A:E,2,0),"CADASTRAR CLIENTE")</f>
        <v>SOCIEDADE EDUCACIONAL UBERABENSE</v>
      </c>
      <c r="C2462" s="54" t="s">
        <v>738</v>
      </c>
      <c r="D2462" s="54" t="s">
        <v>786</v>
      </c>
      <c r="E2462" s="51">
        <v>4138.3</v>
      </c>
      <c r="F2462" s="48"/>
      <c r="G2462" s="51"/>
      <c r="H2462" s="52"/>
      <c r="I2462" s="53">
        <v>45951</v>
      </c>
    </row>
    <row r="2463" spans="1:9">
      <c r="A2463" s="47">
        <v>50961</v>
      </c>
      <c r="B2463" s="48" t="str">
        <f>IFERROR(VLOOKUP(A2463,CLIENTES!A:E,2,0),"CADASTRAR CLIENTE")</f>
        <v>SOLUTE MEDICAL GROUP BRAZIL LTDA</v>
      </c>
      <c r="C2463" s="54" t="s">
        <v>3</v>
      </c>
      <c r="D2463" s="54" t="s">
        <v>787</v>
      </c>
      <c r="E2463" s="51">
        <v>542.5</v>
      </c>
      <c r="F2463" s="48"/>
      <c r="G2463" s="51"/>
      <c r="H2463" s="52"/>
      <c r="I2463" s="53">
        <v>45951</v>
      </c>
    </row>
    <row r="2464" spans="1:9">
      <c r="A2464" s="47">
        <v>905</v>
      </c>
      <c r="B2464" s="48" t="str">
        <f>IFERROR(VLOOKUP(A2464,CLIENTES!A:E,2,0),"CADASTRAR CLIENTE")</f>
        <v>LAB AN CLIN DR NESTOR FERRAREZZI FILHO  SC LTDA</v>
      </c>
      <c r="C2464" s="54" t="s">
        <v>3</v>
      </c>
      <c r="D2464" s="54" t="s">
        <v>788</v>
      </c>
      <c r="E2464" s="51">
        <v>1055.25</v>
      </c>
      <c r="F2464" s="48"/>
      <c r="G2464" s="51"/>
      <c r="H2464" s="52"/>
      <c r="I2464" s="53">
        <v>45951</v>
      </c>
    </row>
    <row r="2465" spans="1:9">
      <c r="A2465" s="47">
        <v>434</v>
      </c>
      <c r="B2465" s="48" t="str">
        <f>IFERROR(VLOOKUP(A2465,CLIENTES!A:E,2,0),"CADASTRAR CLIENTE")</f>
        <v>BIOLABOR LAB. ANAL. CLIN. SC LTDA.</v>
      </c>
      <c r="C2465" s="54" t="s">
        <v>3</v>
      </c>
      <c r="D2465" s="54">
        <v>91059</v>
      </c>
      <c r="E2465" s="51">
        <v>1031.4000000000001</v>
      </c>
      <c r="F2465" s="48"/>
      <c r="G2465" s="51"/>
      <c r="H2465" s="52"/>
      <c r="I2465" s="53">
        <v>45951</v>
      </c>
    </row>
    <row r="2466" spans="1:9">
      <c r="A2466" s="47">
        <v>500829</v>
      </c>
      <c r="B2466" s="48" t="str">
        <f>IFERROR(VLOOKUP(A2466,CLIENTES!A:E,2,0),"CADASTRAR CLIENTE")</f>
        <v>VERONICA DE OLIVEIRA SALES PEREIRA</v>
      </c>
      <c r="C2466" s="54" t="s">
        <v>3</v>
      </c>
      <c r="D2466" s="54">
        <v>91085</v>
      </c>
      <c r="E2466" s="51">
        <v>8543.52</v>
      </c>
      <c r="F2466" s="48"/>
      <c r="G2466" s="51"/>
      <c r="H2466" s="52"/>
      <c r="I2466" s="53">
        <v>45952</v>
      </c>
    </row>
    <row r="2467" spans="1:9">
      <c r="A2467" s="47">
        <v>620</v>
      </c>
      <c r="B2467" s="48" t="str">
        <f>IFERROR(VLOOKUP(A2467,CLIENTES!A:E,2,0),"CADASTRAR CLIENTE")</f>
        <v>LAB.SAO PAULO DE ANAL.CLIN.SC LTDA.</v>
      </c>
      <c r="C2467" s="54" t="s">
        <v>3</v>
      </c>
      <c r="D2467" s="54" t="s">
        <v>791</v>
      </c>
      <c r="E2467" s="51">
        <v>599.92999999999995</v>
      </c>
      <c r="F2467" s="48"/>
      <c r="G2467" s="51"/>
      <c r="H2467" s="52"/>
      <c r="I2467" s="53">
        <v>45952</v>
      </c>
    </row>
    <row r="2468" spans="1:9">
      <c r="A2468" s="47">
        <v>2199</v>
      </c>
      <c r="B2468" s="48" t="str">
        <f>IFERROR(VLOOKUP(A2468,CLIENTES!A:E,2,0),"CADASTRAR CLIENTE")</f>
        <v>SOCIEDADE EDUCACIONAL UBERABENSE</v>
      </c>
      <c r="C2468" s="54" t="s">
        <v>738</v>
      </c>
      <c r="D2468" s="54" t="s">
        <v>792</v>
      </c>
      <c r="E2468" s="51">
        <v>8024.4</v>
      </c>
      <c r="F2468" s="48"/>
      <c r="G2468" s="51"/>
      <c r="H2468" s="52"/>
      <c r="I2468" s="53">
        <v>45952</v>
      </c>
    </row>
    <row r="2469" spans="1:9">
      <c r="A2469" s="47">
        <v>1502</v>
      </c>
      <c r="B2469" s="48" t="str">
        <f>IFERROR(VLOOKUP(A2469,CLIENTES!A:E,2,0),"CADASTRAR CLIENTE")</f>
        <v>ASSOC.CASA DE SAUDE BEN. DE INDIAPORA</v>
      </c>
      <c r="C2469" s="54" t="s">
        <v>3</v>
      </c>
      <c r="D2469" s="54">
        <v>91114</v>
      </c>
      <c r="E2469" s="51">
        <v>4960.68</v>
      </c>
      <c r="F2469" s="48"/>
      <c r="G2469" s="51"/>
      <c r="H2469" s="52"/>
      <c r="I2469" s="53">
        <v>45953</v>
      </c>
    </row>
    <row r="2470" spans="1:9">
      <c r="A2470" s="47">
        <v>3077</v>
      </c>
      <c r="B2470" s="48" t="str">
        <f>IFERROR(VLOOKUP(A2470,CLIENTES!A:E,2,0),"CADASTRAR CLIENTE")</f>
        <v>CBI ANALISES CLINICAS S/S LTDA</v>
      </c>
      <c r="C2470" s="54" t="s">
        <v>3</v>
      </c>
      <c r="D2470" s="54" t="s">
        <v>793</v>
      </c>
      <c r="E2470" s="51">
        <v>1159.99</v>
      </c>
      <c r="F2470" s="48"/>
      <c r="G2470" s="51"/>
      <c r="H2470" s="52"/>
      <c r="I2470" s="53">
        <v>45953</v>
      </c>
    </row>
    <row r="2471" spans="1:9">
      <c r="A2471" s="47">
        <v>1533</v>
      </c>
      <c r="B2471" s="48" t="str">
        <f>IFERROR(VLOOKUP(A2471,CLIENTES!A:E,2,0),"CADASTRAR CLIENTE")</f>
        <v>LABORATORIO BIOANALISE DIAGNOSTICO LTDA</v>
      </c>
      <c r="C2471" s="54" t="s">
        <v>3</v>
      </c>
      <c r="D2471" s="54">
        <v>91161</v>
      </c>
      <c r="E2471" s="51">
        <v>656</v>
      </c>
      <c r="F2471" s="48"/>
      <c r="G2471" s="51"/>
      <c r="H2471" s="52"/>
      <c r="I2471" s="53">
        <v>45953</v>
      </c>
    </row>
    <row r="2472" spans="1:9">
      <c r="A2472" s="47">
        <v>412</v>
      </c>
      <c r="B2472" s="48" t="str">
        <f>IFERROR(VLOOKUP(A2472,CLIENTES!A:E,2,0),"CADASTRAR CLIENTE")</f>
        <v>LAB.ANAL.CLIN.SAO MANUEL SC LTDA.</v>
      </c>
      <c r="C2472" s="54" t="s">
        <v>3</v>
      </c>
      <c r="D2472" s="54">
        <v>91185</v>
      </c>
      <c r="E2472" s="51">
        <v>1095</v>
      </c>
      <c r="F2472" s="48"/>
      <c r="G2472" s="51"/>
      <c r="H2472" s="52"/>
      <c r="I2472" s="53">
        <v>45957</v>
      </c>
    </row>
    <row r="2473" spans="1:9">
      <c r="A2473" s="47">
        <v>687</v>
      </c>
      <c r="B2473" s="48" t="str">
        <f>IFERROR(VLOOKUP(A2473,CLIENTES!A:E,2,0),"CADASTRAR CLIENTE")</f>
        <v>LAB ANAL CLIN VENDRAMINI S/S LTDA</v>
      </c>
      <c r="C2473" s="54" t="s">
        <v>3</v>
      </c>
      <c r="D2473" s="54">
        <v>91184</v>
      </c>
      <c r="E2473" s="51">
        <v>5839.2</v>
      </c>
      <c r="F2473" s="48"/>
      <c r="G2473" s="51"/>
      <c r="H2473" s="52"/>
      <c r="I2473" s="53">
        <v>45957</v>
      </c>
    </row>
    <row r="2474" spans="1:9">
      <c r="A2474" s="47">
        <v>408</v>
      </c>
      <c r="B2474" s="48" t="str">
        <f>IFERROR(VLOOKUP(A2474,CLIENTES!A:E,2,0),"CADASTRAR CLIENTE")</f>
        <v>FUND.DESENV.DE CIENCIAS FARMACEUTICAS</v>
      </c>
      <c r="C2474" s="54" t="s">
        <v>3</v>
      </c>
      <c r="D2474" s="54">
        <v>90634</v>
      </c>
      <c r="E2474" s="51">
        <v>794.35</v>
      </c>
      <c r="F2474" s="48"/>
      <c r="G2474" s="51"/>
      <c r="H2474" s="52"/>
      <c r="I2474" s="53">
        <v>45957</v>
      </c>
    </row>
    <row r="2475" spans="1:9">
      <c r="A2475" s="47">
        <v>1164</v>
      </c>
      <c r="B2475" s="48" t="str">
        <f>IFERROR(VLOOKUP(A2475,CLIENTES!A:E,2,0),"CADASTRAR CLIENTE")</f>
        <v>LAB. ANAL. CLIN. SAO LOURENCO S/C LTDA</v>
      </c>
      <c r="C2475" s="54" t="s">
        <v>3</v>
      </c>
      <c r="D2475" s="54" t="s">
        <v>794</v>
      </c>
      <c r="E2475" s="51">
        <v>1532.04</v>
      </c>
      <c r="F2475" s="48"/>
      <c r="G2475" s="51"/>
      <c r="H2475" s="52"/>
      <c r="I2475" s="53">
        <v>45957</v>
      </c>
    </row>
    <row r="2476" spans="1:9">
      <c r="A2476" s="47">
        <v>432</v>
      </c>
      <c r="B2476" s="48" t="str">
        <f>IFERROR(VLOOKUP(A2476,CLIENTES!A:E,2,0),"CADASTRAR CLIENTE")</f>
        <v>LABORATORIO PASTEUR HEMATOLOGIA E MICROBIOLOGIA S/S LTDA</v>
      </c>
      <c r="C2476" s="54" t="s">
        <v>3</v>
      </c>
      <c r="D2476" s="54">
        <v>91231</v>
      </c>
      <c r="E2476" s="51">
        <v>852</v>
      </c>
      <c r="F2476" s="48"/>
      <c r="G2476" s="51"/>
      <c r="H2476" s="52"/>
      <c r="I2476" s="53">
        <v>45958</v>
      </c>
    </row>
    <row r="2477" spans="1:9">
      <c r="A2477" s="47">
        <v>2911</v>
      </c>
      <c r="B2477" s="48" t="str">
        <f>IFERROR(VLOOKUP(A2477,CLIENTES!A:E,2,0),"CADASTRAR CLIENTE")</f>
        <v>BIOLIFE-LABORATORIO DE ANALISES CLINICAS LTDA</v>
      </c>
      <c r="C2477" s="54" t="s">
        <v>795</v>
      </c>
      <c r="D2477" s="54" t="s">
        <v>796</v>
      </c>
      <c r="E2477" s="51">
        <v>1732.95</v>
      </c>
      <c r="F2477" s="48"/>
      <c r="G2477" s="51"/>
      <c r="H2477" s="52"/>
      <c r="I2477" s="53">
        <v>45958</v>
      </c>
    </row>
    <row r="2478" spans="1:9">
      <c r="A2478" s="47">
        <v>2980</v>
      </c>
      <c r="B2478" s="48" t="str">
        <f>IFERROR(VLOOKUP(A2478,CLIENTES!A:E,2,0),"CADASTRAR CLIENTE")</f>
        <v>ALMEIDA &amp; FLAITT LABORATORIOS DE ANALISES CLINICAS LTDA</v>
      </c>
      <c r="C2478" s="54" t="s">
        <v>3</v>
      </c>
      <c r="D2478" s="54">
        <v>91250</v>
      </c>
      <c r="E2478" s="51">
        <v>1057.3</v>
      </c>
      <c r="F2478" s="48"/>
      <c r="G2478" s="51"/>
      <c r="H2478" s="52"/>
      <c r="I2478" s="53">
        <v>45958</v>
      </c>
    </row>
    <row r="2479" spans="1:9">
      <c r="A2479" s="47">
        <v>620</v>
      </c>
      <c r="B2479" s="48" t="str">
        <f>IFERROR(VLOOKUP(A2479,CLIENTES!A:E,2,0),"CADASTRAR CLIENTE")</f>
        <v>LAB.SAO PAULO DE ANAL.CLIN.SC LTDA.</v>
      </c>
      <c r="C2479" s="54" t="s">
        <v>3</v>
      </c>
      <c r="D2479" s="54">
        <v>90803</v>
      </c>
      <c r="E2479" s="51">
        <v>381.2</v>
      </c>
      <c r="F2479" s="48"/>
      <c r="G2479" s="51"/>
      <c r="H2479" s="52"/>
      <c r="I2479" s="53">
        <v>45958</v>
      </c>
    </row>
    <row r="2480" spans="1:9">
      <c r="A2480" s="47">
        <v>500829</v>
      </c>
      <c r="B2480" s="48" t="str">
        <f>IFERROR(VLOOKUP(A2480,CLIENTES!A:E,2,0),"CADASTRAR CLIENTE")</f>
        <v>VERONICA DE OLIVEIRA SALES PEREIRA</v>
      </c>
      <c r="C2480" s="54" t="s">
        <v>3</v>
      </c>
      <c r="D2480" s="54">
        <v>91262</v>
      </c>
      <c r="E2480" s="51">
        <v>6923.52</v>
      </c>
      <c r="F2480" s="48"/>
      <c r="G2480" s="51"/>
      <c r="H2480" s="52"/>
      <c r="I2480" s="53">
        <v>45958</v>
      </c>
    </row>
    <row r="2481" spans="1:9">
      <c r="A2481" s="47">
        <v>500005</v>
      </c>
      <c r="B2481" s="48" t="str">
        <f>IFERROR(VLOOKUP(A2481,CLIENTES!A:E,2,0),"CADASTRAR CLIENTE")</f>
        <v>ASSOCIACAO EDUCACIONAL DE ENSINO SUPERIOR</v>
      </c>
      <c r="C2481" s="54" t="s">
        <v>3</v>
      </c>
      <c r="D2481" s="54">
        <v>91275</v>
      </c>
      <c r="E2481" s="51">
        <v>460</v>
      </c>
      <c r="F2481" s="48"/>
      <c r="G2481" s="51"/>
      <c r="H2481" s="52"/>
      <c r="I2481" s="53">
        <v>45958</v>
      </c>
    </row>
    <row r="2482" spans="1:9">
      <c r="A2482" s="47">
        <v>475</v>
      </c>
      <c r="B2482" s="48" t="str">
        <f>IFERROR(VLOOKUP(A2482,CLIENTES!A:E,2,0),"CADASTRAR CLIENTE")</f>
        <v>LABORATORIO DE ANALISES CLINICAS SRC LTDA</v>
      </c>
      <c r="C2482" s="54" t="s">
        <v>3</v>
      </c>
      <c r="D2482" s="54" t="s">
        <v>797</v>
      </c>
      <c r="E2482" s="51">
        <v>8194.99</v>
      </c>
      <c r="F2482" s="48"/>
      <c r="G2482" s="51"/>
      <c r="H2482" s="52"/>
      <c r="I2482" s="53">
        <v>45958</v>
      </c>
    </row>
    <row r="2483" spans="1:9">
      <c r="A2483" s="47">
        <v>761</v>
      </c>
      <c r="B2483" s="48" t="str">
        <f>IFERROR(VLOOKUP(A2483,CLIENTES!A:E,2,0),"CADASTRAR CLIENTE")</f>
        <v>EXAME CENTRO DIAG.M.ARACATUBA SC LTDA.</v>
      </c>
      <c r="C2483" s="54" t="s">
        <v>3</v>
      </c>
      <c r="D2483" s="54" t="s">
        <v>798</v>
      </c>
      <c r="E2483" s="51">
        <v>2822</v>
      </c>
      <c r="F2483" s="48"/>
      <c r="G2483" s="51"/>
      <c r="H2483" s="52"/>
      <c r="I2483" s="53">
        <v>45958</v>
      </c>
    </row>
    <row r="2484" spans="1:9">
      <c r="A2484" s="47">
        <v>762</v>
      </c>
      <c r="B2484" s="48" t="str">
        <f>IFERROR(VLOOKUP(A2484,CLIENTES!A:E,2,0),"CADASTRAR CLIENTE")</f>
        <v>STA. CASA MISERICORDIA DE ARACATUBA</v>
      </c>
      <c r="C2484" s="54" t="s">
        <v>2</v>
      </c>
      <c r="D2484" s="54">
        <v>91073</v>
      </c>
      <c r="E2484" s="51">
        <v>2666.45</v>
      </c>
      <c r="F2484" s="48"/>
      <c r="G2484" s="51"/>
      <c r="H2484" s="52"/>
      <c r="I2484" s="53">
        <v>45958</v>
      </c>
    </row>
    <row r="2485" spans="1:9">
      <c r="A2485" s="47">
        <v>874</v>
      </c>
      <c r="B2485" s="48" t="str">
        <f>IFERROR(VLOOKUP(A2485,CLIENTES!A:E,2,0),"CADASTRAR CLIENTE")</f>
        <v>LAB.ANAL.CLIN ABI JAUDI SC LTDA.</v>
      </c>
      <c r="C2485" s="54" t="s">
        <v>3</v>
      </c>
      <c r="D2485" s="54">
        <v>91265</v>
      </c>
      <c r="E2485" s="51">
        <v>6570.7</v>
      </c>
      <c r="F2485" s="48"/>
      <c r="G2485" s="51"/>
      <c r="H2485" s="52"/>
      <c r="I2485" s="53">
        <v>45958</v>
      </c>
    </row>
    <row r="2486" spans="1:9">
      <c r="A2486" s="47">
        <v>50219</v>
      </c>
      <c r="B2486" s="48" t="str">
        <f>IFERROR(VLOOKUP(A2486,CLIENTES!A:E,2,0),"CADASTRAR CLIENTE")</f>
        <v>UNIPREV LAB DE ANALISES LOCACAO DE BENS E REPAROS LTDA EPP</v>
      </c>
      <c r="C2486" s="54" t="s">
        <v>3</v>
      </c>
      <c r="D2486" s="54">
        <v>91287</v>
      </c>
      <c r="E2486" s="51">
        <v>622.5</v>
      </c>
      <c r="F2486" s="48"/>
      <c r="G2486" s="51"/>
      <c r="H2486" s="52"/>
      <c r="I2486" s="53">
        <v>45958</v>
      </c>
    </row>
    <row r="2487" spans="1:9">
      <c r="A2487" s="47">
        <v>708</v>
      </c>
      <c r="B2487" s="48" t="str">
        <f>IFERROR(VLOOKUP(A2487,CLIENTES!A:E,2,0),"CADASTRAR CLIENTE")</f>
        <v>IMEDI INST.MEDICO DE PAT.E DIAGNOSTICO SC LTDA.</v>
      </c>
      <c r="C2487" s="54" t="s">
        <v>2</v>
      </c>
      <c r="D2487" s="54">
        <v>91314</v>
      </c>
      <c r="E2487" s="51">
        <v>2030</v>
      </c>
      <c r="F2487" s="48"/>
      <c r="G2487" s="51"/>
      <c r="H2487" s="52"/>
      <c r="I2487" s="53">
        <v>45959</v>
      </c>
    </row>
    <row r="2488" spans="1:9">
      <c r="A2488" s="47">
        <v>823</v>
      </c>
      <c r="B2488" s="48" t="str">
        <f>IFERROR(VLOOKUP(A2488,CLIENTES!A:E,2,0),"CADASTRAR CLIENTE")</f>
        <v>SANCHES x SANCHES S/C LTDA</v>
      </c>
      <c r="C2488" s="54" t="s">
        <v>3</v>
      </c>
      <c r="D2488" s="54" t="s">
        <v>799</v>
      </c>
      <c r="E2488" s="51">
        <v>9748.7199999999993</v>
      </c>
      <c r="F2488" s="48"/>
      <c r="G2488" s="51"/>
      <c r="H2488" s="52"/>
      <c r="I2488" s="53">
        <v>45959</v>
      </c>
    </row>
    <row r="2489" spans="1:9">
      <c r="A2489" s="47">
        <v>2022</v>
      </c>
      <c r="B2489" s="48" t="str">
        <f>IFERROR(VLOOKUP(A2489,CLIENTES!A:E,2,0),"CADASTRAR CLIENTE")</f>
        <v>LAB. MEDICO DR. MARICONDI S/C LTDA.</v>
      </c>
      <c r="C2489" s="54" t="s">
        <v>3</v>
      </c>
      <c r="D2489" s="54">
        <v>91321</v>
      </c>
      <c r="E2489" s="51">
        <v>986.28</v>
      </c>
      <c r="F2489" s="48"/>
      <c r="G2489" s="51"/>
      <c r="H2489" s="52"/>
      <c r="I2489" s="53">
        <v>45959</v>
      </c>
    </row>
    <row r="2490" spans="1:9">
      <c r="A2490" s="47">
        <v>2415</v>
      </c>
      <c r="B2490" s="48" t="str">
        <f>IFERROR(VLOOKUP(A2490,CLIENTES!A:E,2,0),"CADASTRAR CLIENTE")</f>
        <v>ROSSETTO E BARROS LABORATORIO DE ANALISES CLINICAS LTDA</v>
      </c>
      <c r="C2490" s="54" t="s">
        <v>3</v>
      </c>
      <c r="D2490" s="54" t="s">
        <v>800</v>
      </c>
      <c r="E2490" s="51">
        <v>2217.5</v>
      </c>
      <c r="F2490" s="48"/>
      <c r="G2490" s="51"/>
      <c r="H2490" s="52"/>
      <c r="I2490" s="53">
        <v>45959</v>
      </c>
    </row>
    <row r="2491" spans="1:9">
      <c r="A2491" s="47">
        <v>463</v>
      </c>
      <c r="B2491" s="48" t="str">
        <f>IFERROR(VLOOKUP(A2491,CLIENTES!A:E,2,0),"CADASTRAR CLIENTE")</f>
        <v>MASUDA &amp; MASUDA LABORATORIO CLINICO LTDA</v>
      </c>
      <c r="C2491" s="54" t="s">
        <v>3</v>
      </c>
      <c r="D2491" s="54" t="s">
        <v>801</v>
      </c>
      <c r="E2491" s="51">
        <v>1024</v>
      </c>
      <c r="F2491" s="48"/>
      <c r="G2491" s="51"/>
      <c r="H2491" s="52"/>
      <c r="I2491" s="53">
        <v>45960</v>
      </c>
    </row>
    <row r="2492" spans="1:9">
      <c r="A2492" s="47">
        <v>3017</v>
      </c>
      <c r="B2492" s="48" t="str">
        <f>IFERROR(VLOOKUP(A2492,CLIENTES!A:E,2,0),"CADASTRAR CLIENTE")</f>
        <v>IMUNOLAB LABORATORIO DE ANALISES CLINICAS LTDA ME</v>
      </c>
      <c r="C2492" s="54" t="s">
        <v>3</v>
      </c>
      <c r="D2492" s="54">
        <v>91356</v>
      </c>
      <c r="E2492" s="51">
        <v>644.9</v>
      </c>
      <c r="F2492" s="48"/>
      <c r="G2492" s="51"/>
      <c r="H2492" s="52"/>
      <c r="I2492" s="53">
        <v>45960</v>
      </c>
    </row>
    <row r="2493" spans="1:9">
      <c r="A2493" s="47">
        <v>1726</v>
      </c>
      <c r="B2493" s="48" t="str">
        <f>IFERROR(VLOOKUP(A2493,CLIENTES!A:E,2,0),"CADASTRAR CLIENTE")</f>
        <v>IRMANDADE DA SANTA CASA DE MISERIC. DE MOGI MIRIM</v>
      </c>
      <c r="C2493" s="54" t="s">
        <v>3</v>
      </c>
      <c r="D2493" s="54">
        <v>91358</v>
      </c>
      <c r="E2493" s="51">
        <v>338</v>
      </c>
      <c r="F2493" s="48"/>
      <c r="G2493" s="51"/>
      <c r="H2493" s="52"/>
      <c r="I2493" s="53">
        <v>45960</v>
      </c>
    </row>
    <row r="2494" spans="1:9">
      <c r="A2494" s="47">
        <v>2702</v>
      </c>
      <c r="B2494" s="48" t="str">
        <f>IFERROR(VLOOKUP(A2494,CLIENTES!A:E,2,0),"CADASTRAR CLIENTE")</f>
        <v>SANTA CASA DE MISER. DE TAQUARITUBA</v>
      </c>
      <c r="C2494" s="54" t="s">
        <v>3</v>
      </c>
      <c r="D2494" s="54">
        <v>91385</v>
      </c>
      <c r="E2494" s="51">
        <v>720</v>
      </c>
      <c r="F2494" s="48"/>
      <c r="G2494" s="51"/>
      <c r="H2494" s="52"/>
      <c r="I2494" s="53">
        <v>45960</v>
      </c>
    </row>
    <row r="2495" spans="1:9">
      <c r="A2495" s="47">
        <v>2093</v>
      </c>
      <c r="B2495" s="48" t="str">
        <f>IFERROR(VLOOKUP(A2495,CLIENTES!A:E,2,0),"CADASTRAR CLIENTE")</f>
        <v>IRMANDADE DA STA.CASA MISERIC.SAO CARLOS</v>
      </c>
      <c r="C2495" s="54" t="s">
        <v>3</v>
      </c>
      <c r="D2495" s="54">
        <v>91400</v>
      </c>
      <c r="E2495" s="51">
        <v>260</v>
      </c>
      <c r="F2495" s="48"/>
      <c r="G2495" s="51"/>
      <c r="H2495" s="52"/>
      <c r="I2495" s="53">
        <v>45960</v>
      </c>
    </row>
    <row r="2496" spans="1:9">
      <c r="A2496" s="80">
        <v>475</v>
      </c>
      <c r="B2496" s="81" t="str">
        <f>IFERROR(VLOOKUP(A2496,CLIENTES!A:E,2,0),"CADASTRAR CLIENTE")</f>
        <v>LABORATORIO DE ANALISES CLINICAS SRC LTDA</v>
      </c>
      <c r="C2496" s="85" t="s">
        <v>3</v>
      </c>
      <c r="D2496" s="85">
        <v>90892</v>
      </c>
      <c r="E2496" s="82">
        <v>10098</v>
      </c>
      <c r="F2496" s="81"/>
      <c r="G2496" s="82"/>
      <c r="H2496" s="83"/>
      <c r="I2496" s="84">
        <v>45960</v>
      </c>
    </row>
    <row r="2497" spans="1:9">
      <c r="A2497" s="47">
        <v>762</v>
      </c>
      <c r="B2497" s="48" t="str">
        <f>IFERROR(VLOOKUP(A2497,CLIENTES!A:E,2,0),"CADASTRAR CLIENTE")</f>
        <v>STA. CASA MISERICORDIA DE ARACATUBA</v>
      </c>
      <c r="C2497" s="54" t="s">
        <v>3</v>
      </c>
      <c r="D2497" s="54">
        <v>91073</v>
      </c>
      <c r="E2497" s="51">
        <v>3300</v>
      </c>
      <c r="F2497" s="48"/>
      <c r="G2497" s="51"/>
      <c r="H2497" s="52"/>
      <c r="I2497" s="53">
        <v>45961</v>
      </c>
    </row>
    <row r="2498" spans="1:9">
      <c r="A2498" s="47">
        <v>1533</v>
      </c>
      <c r="B2498" s="48" t="str">
        <f>IFERROR(VLOOKUP(A2498,CLIENTES!A:E,2,0),"CADASTRAR CLIENTE")</f>
        <v>LABORATORIO BIOANALISE DIAGNOSTICO LTDA</v>
      </c>
      <c r="C2498" s="54" t="s">
        <v>3</v>
      </c>
      <c r="D2498" s="54">
        <v>91413</v>
      </c>
      <c r="E2498" s="51">
        <v>1866</v>
      </c>
      <c r="F2498" s="48"/>
      <c r="G2498" s="51"/>
      <c r="H2498" s="52"/>
      <c r="I2498" s="53">
        <v>45961</v>
      </c>
    </row>
    <row r="2499" spans="1:9">
      <c r="A2499" s="47">
        <v>408</v>
      </c>
      <c r="B2499" s="48" t="str">
        <f>IFERROR(VLOOKUP(A2499,CLIENTES!A:E,2,0),"CADASTRAR CLIENTE")</f>
        <v>FUND.DESENV.DE CIENCIAS FARMACEUTICAS</v>
      </c>
      <c r="C2499" s="54" t="s">
        <v>3</v>
      </c>
      <c r="D2499" s="54" t="s">
        <v>804</v>
      </c>
      <c r="E2499" s="51">
        <v>6298.06</v>
      </c>
      <c r="F2499" s="48"/>
      <c r="G2499" s="51"/>
      <c r="H2499" s="52"/>
      <c r="I2499" s="53">
        <v>45964</v>
      </c>
    </row>
    <row r="2500" spans="1:9">
      <c r="A2500" s="47">
        <v>50554</v>
      </c>
      <c r="B2500" s="48" t="str">
        <f>IFERROR(VLOOKUP(A2500,CLIENTES!A:E,2,0),"CADASTRAR CLIENTE")</f>
        <v>SAO ROQUE MEDICINA DIAGNOSTICA</v>
      </c>
      <c r="C2500" s="54" t="s">
        <v>3</v>
      </c>
      <c r="D2500" s="54">
        <v>91423</v>
      </c>
      <c r="E2500" s="51">
        <v>2261.1999999999998</v>
      </c>
      <c r="F2500" s="48"/>
      <c r="G2500" s="51"/>
      <c r="H2500" s="52"/>
      <c r="I2500" s="53">
        <v>45964</v>
      </c>
    </row>
    <row r="2501" spans="1:9">
      <c r="A2501" s="47">
        <v>2702</v>
      </c>
      <c r="B2501" s="48" t="str">
        <f>IFERROR(VLOOKUP(A2501,CLIENTES!A:E,2,0),"CADASTRAR CLIENTE")</f>
        <v>SANTA CASA DE MISER. DE TAQUARITUBA</v>
      </c>
      <c r="C2501" s="54" t="s">
        <v>3</v>
      </c>
      <c r="D2501" s="54">
        <v>91450</v>
      </c>
      <c r="E2501" s="51">
        <v>1810.58</v>
      </c>
      <c r="F2501" s="48"/>
      <c r="G2501" s="51"/>
      <c r="H2501" s="52"/>
      <c r="I2501" s="53">
        <v>45964</v>
      </c>
    </row>
    <row r="2502" spans="1:9">
      <c r="A2502" s="47">
        <v>1813</v>
      </c>
      <c r="B2502" s="48" t="str">
        <f>IFERROR(VLOOKUP(A2502,CLIENTES!A:E,2,0),"CADASTRAR CLIENTE")</f>
        <v>BIOMED LAB.ANAL.CLIN. SC  LTDA</v>
      </c>
      <c r="C2502" s="54" t="s">
        <v>3</v>
      </c>
      <c r="D2502" s="54">
        <v>91451</v>
      </c>
      <c r="E2502" s="51">
        <v>2059.4499999999998</v>
      </c>
      <c r="F2502" s="48"/>
      <c r="G2502" s="51"/>
      <c r="H2502" s="52"/>
      <c r="I2502" s="53">
        <v>45964</v>
      </c>
    </row>
    <row r="2503" spans="1:9">
      <c r="A2503" s="47">
        <v>761</v>
      </c>
      <c r="B2503" s="48" t="str">
        <f>IFERROR(VLOOKUP(A2503,CLIENTES!A:E,2,0),"CADASTRAR CLIENTE")</f>
        <v>EXAME CENTRO DIAG.M.ARACATUBA SC LTDA.</v>
      </c>
      <c r="C2503" s="54" t="s">
        <v>3</v>
      </c>
      <c r="D2503" s="54" t="s">
        <v>805</v>
      </c>
      <c r="E2503" s="51">
        <v>25081.77</v>
      </c>
      <c r="F2503" s="48"/>
      <c r="G2503" s="51"/>
      <c r="H2503" s="52"/>
      <c r="I2503" s="53">
        <v>45964</v>
      </c>
    </row>
    <row r="2504" spans="1:9">
      <c r="A2504" s="47">
        <v>311</v>
      </c>
      <c r="B2504" s="48" t="str">
        <f>IFERROR(VLOOKUP(A2504,CLIENTES!A:E,2,0),"CADASTRAR CLIENTE")</f>
        <v>CENTRO DE ANAL.CLIN. UNILAB  SC LTDA.</v>
      </c>
      <c r="C2504" s="54" t="s">
        <v>3</v>
      </c>
      <c r="D2504" s="54" t="s">
        <v>806</v>
      </c>
      <c r="E2504" s="51">
        <v>686.15</v>
      </c>
      <c r="F2504" s="48"/>
      <c r="G2504" s="51"/>
      <c r="H2504" s="52"/>
      <c r="I2504" s="53">
        <v>45964</v>
      </c>
    </row>
    <row r="2505" spans="1:9">
      <c r="A2505" s="47">
        <v>475</v>
      </c>
      <c r="B2505" s="48" t="str">
        <f>IFERROR(VLOOKUP(A2505,CLIENTES!A:E,2,0),"CADASTRAR CLIENTE")</f>
        <v>LABORATORIO DE ANALISES CLINICAS SRC LTDA</v>
      </c>
      <c r="C2505" s="54" t="s">
        <v>3</v>
      </c>
      <c r="D2505" s="54">
        <v>102021</v>
      </c>
      <c r="E2505" s="51">
        <v>206.47</v>
      </c>
      <c r="F2505" s="48"/>
      <c r="G2505" s="51"/>
      <c r="H2505" s="52"/>
      <c r="I2505" s="53">
        <v>45964</v>
      </c>
    </row>
    <row r="2506" spans="1:9">
      <c r="A2506" s="47">
        <v>663</v>
      </c>
      <c r="B2506" s="48" t="str">
        <f>IFERROR(VLOOKUP(A2506,CLIENTES!A:E,2,0),"CADASTRAR CLIENTE")</f>
        <v>LAB. MEDICO GUIMARAES</v>
      </c>
      <c r="C2506" s="54" t="s">
        <v>3</v>
      </c>
      <c r="D2506" s="54" t="s">
        <v>807</v>
      </c>
      <c r="E2506" s="51">
        <v>3155.94</v>
      </c>
      <c r="F2506" s="48"/>
      <c r="G2506" s="51"/>
      <c r="H2506" s="52"/>
      <c r="I2506" s="53">
        <v>45964</v>
      </c>
    </row>
    <row r="2507" spans="1:9">
      <c r="A2507" s="47">
        <v>2415</v>
      </c>
      <c r="B2507" s="48" t="str">
        <f>IFERROR(VLOOKUP(A2507,CLIENTES!A:E,2,0),"CADASTRAR CLIENTE")</f>
        <v>ROSSETTO E BARROS LABORATORIO DE ANALISES CLINICAS LTDA</v>
      </c>
      <c r="C2507" s="54" t="s">
        <v>3</v>
      </c>
      <c r="D2507" s="54">
        <v>91503</v>
      </c>
      <c r="E2507" s="51">
        <v>1712.7</v>
      </c>
      <c r="F2507" s="48"/>
      <c r="G2507" s="51"/>
      <c r="H2507" s="52"/>
      <c r="I2507" s="53">
        <v>45965</v>
      </c>
    </row>
    <row r="2508" spans="1:9">
      <c r="A2508" s="47">
        <v>50219</v>
      </c>
      <c r="B2508" s="48" t="str">
        <f>IFERROR(VLOOKUP(A2508,CLIENTES!A:E,2,0),"CADASTRAR CLIENTE")</f>
        <v>UNIPREV LAB DE ANALISES LOCACAO DE BENS E REPAROS LTDA EPP</v>
      </c>
      <c r="C2508" s="54" t="s">
        <v>3</v>
      </c>
      <c r="D2508" s="54" t="s">
        <v>808</v>
      </c>
      <c r="E2508" s="51">
        <v>1591.59</v>
      </c>
      <c r="F2508" s="48"/>
      <c r="G2508" s="51"/>
      <c r="H2508" s="52"/>
      <c r="I2508" s="53">
        <v>45966</v>
      </c>
    </row>
    <row r="2509" spans="1:9">
      <c r="A2509" s="47">
        <v>500829</v>
      </c>
      <c r="B2509" s="48" t="str">
        <f>IFERROR(VLOOKUP(A2509,CLIENTES!A:E,2,0),"CADASTRAR CLIENTE")</f>
        <v>VERONICA DE OLIVEIRA SALES PEREIRA</v>
      </c>
      <c r="C2509" s="54" t="s">
        <v>3</v>
      </c>
      <c r="D2509" s="54">
        <v>91534</v>
      </c>
      <c r="E2509" s="51">
        <v>7578.24</v>
      </c>
      <c r="F2509" s="48"/>
      <c r="G2509" s="51"/>
      <c r="H2509" s="52"/>
      <c r="I2509" s="53">
        <v>45966</v>
      </c>
    </row>
    <row r="2510" spans="1:9">
      <c r="A2510" s="47">
        <v>1989</v>
      </c>
      <c r="B2510" s="48" t="str">
        <f>IFERROR(VLOOKUP(A2510,CLIENTES!A:E,2,0),"CADASTRAR CLIENTE")</f>
        <v>SAO FRANCISCO ANAL. CLIN.</v>
      </c>
      <c r="C2510" s="54" t="s">
        <v>3</v>
      </c>
      <c r="D2510" s="54">
        <v>91027</v>
      </c>
      <c r="E2510" s="51">
        <v>616.03</v>
      </c>
      <c r="F2510" s="48"/>
      <c r="G2510" s="51"/>
      <c r="H2510" s="52"/>
      <c r="I2510" s="53">
        <v>45966</v>
      </c>
    </row>
    <row r="2511" spans="1:9">
      <c r="A2511" s="47">
        <v>50554</v>
      </c>
      <c r="B2511" s="48" t="str">
        <f>IFERROR(VLOOKUP(A2511,CLIENTES!A:E,2,0),"CADASTRAR CLIENTE")</f>
        <v>SAO ROQUE MEDICINA DIAGNOSTICA</v>
      </c>
      <c r="C2511" s="54" t="s">
        <v>3</v>
      </c>
      <c r="D2511" s="54">
        <v>90103</v>
      </c>
      <c r="E2511" s="51">
        <v>189</v>
      </c>
      <c r="F2511" s="48"/>
      <c r="G2511" s="51"/>
      <c r="H2511" s="52"/>
      <c r="I2511" s="53">
        <v>45966</v>
      </c>
    </row>
    <row r="2512" spans="1:9">
      <c r="A2512" s="47">
        <v>762</v>
      </c>
      <c r="B2512" s="48" t="str">
        <f>IFERROR(VLOOKUP(A2512,CLIENTES!A:E,2,0),"CADASTRAR CLIENTE")</f>
        <v>STA. CASA MISERICORDIA DE ARACATUBA</v>
      </c>
      <c r="C2512" s="54" t="s">
        <v>3</v>
      </c>
      <c r="D2512" s="54">
        <v>91073</v>
      </c>
      <c r="E2512" s="51">
        <v>460</v>
      </c>
      <c r="F2512" s="48"/>
      <c r="G2512" s="51"/>
      <c r="H2512" s="52"/>
      <c r="I2512" s="53">
        <v>45966</v>
      </c>
    </row>
    <row r="2513" spans="1:9">
      <c r="A2513" s="47">
        <v>725</v>
      </c>
      <c r="B2513" s="48" t="str">
        <f>IFERROR(VLOOKUP(A2513,CLIENTES!A:E,2,0),"CADASTRAR CLIENTE")</f>
        <v>LAB. ANAL. CLIN. DR. ALUISIO CASELLA</v>
      </c>
      <c r="C2513" s="54" t="s">
        <v>3</v>
      </c>
      <c r="D2513" s="54">
        <v>91514</v>
      </c>
      <c r="E2513" s="51">
        <v>1531</v>
      </c>
      <c r="F2513" s="48"/>
      <c r="G2513" s="51"/>
      <c r="H2513" s="52"/>
      <c r="I2513" s="53">
        <v>45966</v>
      </c>
    </row>
    <row r="2514" spans="1:9">
      <c r="A2514" s="47">
        <v>784</v>
      </c>
      <c r="B2514" s="48" t="str">
        <f>IFERROR(VLOOKUP(A2514,CLIENTES!A:E,2,0),"CADASTRAR CLIENTE")</f>
        <v>LAB.ANAL.CLIN. ALBERT SABIN SC LTDA.</v>
      </c>
      <c r="C2514" s="54" t="s">
        <v>3</v>
      </c>
      <c r="D2514" s="54" t="s">
        <v>809</v>
      </c>
      <c r="E2514" s="51">
        <v>7572.74</v>
      </c>
      <c r="F2514" s="48"/>
      <c r="G2514" s="51"/>
      <c r="H2514" s="52"/>
      <c r="I2514" s="53">
        <v>45966</v>
      </c>
    </row>
    <row r="2515" spans="1:9">
      <c r="A2515" s="47">
        <v>1788</v>
      </c>
      <c r="B2515" s="48" t="str">
        <f>IFERROR(VLOOKUP(A2515,CLIENTES!A:E,2,0),"CADASTRAR CLIENTE")</f>
        <v>ZANATA &amp; REIS LABORCLINICA LTDA</v>
      </c>
      <c r="C2515" s="54" t="s">
        <v>3</v>
      </c>
      <c r="D2515" s="54">
        <v>91571</v>
      </c>
      <c r="E2515" s="51">
        <v>384.68</v>
      </c>
      <c r="F2515" s="48"/>
      <c r="G2515" s="51"/>
      <c r="H2515" s="52"/>
      <c r="I2515" s="53">
        <v>45966</v>
      </c>
    </row>
    <row r="2516" spans="1:9">
      <c r="A2516" s="47">
        <v>1122</v>
      </c>
      <c r="B2516" s="48" t="str">
        <f>IFERROR(VLOOKUP(A2516,CLIENTES!A:E,2,0),"CADASTRAR CLIENTE")</f>
        <v>FUNDEPAG</v>
      </c>
      <c r="C2516" s="54" t="s">
        <v>3</v>
      </c>
      <c r="D2516" s="54">
        <v>91584</v>
      </c>
      <c r="E2516" s="51">
        <v>2275</v>
      </c>
      <c r="F2516" s="48"/>
      <c r="G2516" s="51"/>
      <c r="H2516" s="52"/>
      <c r="I2516" s="53">
        <v>45966</v>
      </c>
    </row>
    <row r="2517" spans="1:9">
      <c r="A2517" s="47">
        <v>3018</v>
      </c>
      <c r="B2517" s="48" t="str">
        <f>IFERROR(VLOOKUP(A2517,CLIENTES!A:E,2,0),"CADASTRAR CLIENTE")</f>
        <v>NP- LABORATORIO DE ANALISES CLINICAS LTDA</v>
      </c>
      <c r="C2517" s="54" t="s">
        <v>3</v>
      </c>
      <c r="D2517" s="54" t="s">
        <v>810</v>
      </c>
      <c r="E2517" s="51">
        <v>369.37</v>
      </c>
      <c r="F2517" s="48"/>
      <c r="G2517" s="51"/>
      <c r="H2517" s="52"/>
      <c r="I2517" s="53">
        <v>45967</v>
      </c>
    </row>
    <row r="2518" spans="1:9">
      <c r="A2518" s="47">
        <v>50465</v>
      </c>
      <c r="B2518" s="48" t="str">
        <f>IFERROR(VLOOKUP(A2518,CLIENTES!A:E,2,0),"CADASTRAR CLIENTE")</f>
        <v>LABORATORIO DE ANALISES CLINICAS VIDA BIRIGUI LTDA</v>
      </c>
      <c r="C2518" s="54" t="s">
        <v>3</v>
      </c>
      <c r="D2518" s="54">
        <v>91603</v>
      </c>
      <c r="E2518" s="51">
        <v>2497.17</v>
      </c>
      <c r="F2518" s="48"/>
      <c r="G2518" s="51"/>
      <c r="H2518" s="52"/>
      <c r="I2518" s="53">
        <v>45967</v>
      </c>
    </row>
    <row r="2519" spans="1:9">
      <c r="A2519" s="47">
        <v>960</v>
      </c>
      <c r="B2519" s="48" t="str">
        <f>IFERROR(VLOOKUP(A2519,CLIENTES!A:E,2,0),"CADASTRAR CLIENTE")</f>
        <v>LUIS VALERIO FILHO-ME</v>
      </c>
      <c r="C2519" s="54" t="s">
        <v>3</v>
      </c>
      <c r="D2519" s="54" t="s">
        <v>811</v>
      </c>
      <c r="E2519" s="51">
        <v>962.8</v>
      </c>
      <c r="F2519" s="48"/>
      <c r="G2519" s="51"/>
      <c r="H2519" s="52"/>
      <c r="I2519" s="53">
        <v>45971</v>
      </c>
    </row>
    <row r="2520" spans="1:9">
      <c r="A2520" s="47">
        <v>581</v>
      </c>
      <c r="B2520" s="48" t="str">
        <f>IFERROR(VLOOKUP(A2520,CLIENTES!A:E,2,0),"CADASTRAR CLIENTE")</f>
        <v>CLINILAB LABORAT. ANAL. CLIN SC LTDA</v>
      </c>
      <c r="C2520" s="54" t="s">
        <v>3</v>
      </c>
      <c r="D2520" s="54" t="s">
        <v>812</v>
      </c>
      <c r="E2520" s="51">
        <v>1917.57</v>
      </c>
      <c r="F2520" s="48"/>
      <c r="G2520" s="51"/>
      <c r="H2520" s="52"/>
      <c r="I2520" s="53">
        <v>45967</v>
      </c>
    </row>
    <row r="2521" spans="1:9">
      <c r="A2521" s="47">
        <v>50861</v>
      </c>
      <c r="B2521" s="48" t="str">
        <f>IFERROR(VLOOKUP(A2521,CLIENTES!A:E,2,0),"CADASTRAR CLIENTE")</f>
        <v>JAQUELINE MARTINS RUIZ LAB DE ANALISES CLINICAS</v>
      </c>
      <c r="C2521" s="54" t="s">
        <v>3</v>
      </c>
      <c r="D2521" s="54">
        <v>91637</v>
      </c>
      <c r="E2521" s="51">
        <v>592.70000000000005</v>
      </c>
      <c r="F2521" s="48"/>
      <c r="G2521" s="51"/>
      <c r="H2521" s="52"/>
      <c r="I2521" s="53">
        <v>45967</v>
      </c>
    </row>
    <row r="2522" spans="1:9">
      <c r="A2522" s="47">
        <v>3153</v>
      </c>
      <c r="B2522" s="48" t="str">
        <f>IFERROR(VLOOKUP(A2522,CLIENTES!A:E,2,0),"CADASTRAR CLIENTE")</f>
        <v>UNIMED DE TUPA COOPERATIVA DE TRABALHO MEDICO</v>
      </c>
      <c r="C2522" s="54" t="s">
        <v>3</v>
      </c>
      <c r="D2522" s="54">
        <v>91670</v>
      </c>
      <c r="E2522" s="51">
        <v>1250.97</v>
      </c>
      <c r="F2522" s="48"/>
      <c r="G2522" s="51"/>
      <c r="H2522" s="52"/>
      <c r="I2522" s="53">
        <v>45968</v>
      </c>
    </row>
    <row r="2523" spans="1:9">
      <c r="A2523" s="47">
        <v>408</v>
      </c>
      <c r="B2523" s="48" t="str">
        <f>IFERROR(VLOOKUP(A2523,CLIENTES!A:E,2,0),"CADASTRAR CLIENTE")</f>
        <v>FUND.DESENV.DE CIENCIAS FARMACEUTICAS</v>
      </c>
      <c r="C2523" s="54" t="s">
        <v>3</v>
      </c>
      <c r="D2523" s="54">
        <v>102067</v>
      </c>
      <c r="E2523" s="51">
        <v>417.87</v>
      </c>
      <c r="F2523" s="48"/>
      <c r="G2523" s="51"/>
      <c r="H2523" s="52"/>
      <c r="I2523" s="53">
        <v>45971</v>
      </c>
    </row>
    <row r="2524" spans="1:9">
      <c r="A2524" s="47">
        <v>3194</v>
      </c>
      <c r="B2524" s="48" t="str">
        <f>IFERROR(VLOOKUP(A2524,CLIENTES!A:E,2,0),"CADASTRAR CLIENTE")</f>
        <v>CENTRO DE DIAGNOSTICOS CONTROLE LTDA</v>
      </c>
      <c r="C2524" s="54" t="s">
        <v>3</v>
      </c>
      <c r="D2524" s="54">
        <v>91682</v>
      </c>
      <c r="E2524" s="51">
        <v>829.1</v>
      </c>
      <c r="F2524" s="48"/>
      <c r="G2524" s="51"/>
      <c r="H2524" s="52"/>
      <c r="I2524" s="53">
        <v>45971</v>
      </c>
    </row>
    <row r="2525" spans="1:9">
      <c r="A2525" s="47">
        <v>690</v>
      </c>
      <c r="B2525" s="48" t="str">
        <f>IFERROR(VLOOKUP(A2525,CLIENTES!A:E,2,0),"CADASTRAR CLIENTE")</f>
        <v>SAO ROQUE MEDICINA DIAGNOSTICA LTDA EPP</v>
      </c>
      <c r="C2525" s="54" t="s">
        <v>3</v>
      </c>
      <c r="D2525" s="54" t="s">
        <v>813</v>
      </c>
      <c r="E2525" s="51">
        <v>2378.64</v>
      </c>
      <c r="F2525" s="48"/>
      <c r="G2525" s="51"/>
      <c r="H2525" s="52"/>
      <c r="I2525" s="53">
        <v>45971</v>
      </c>
    </row>
    <row r="2526" spans="1:9">
      <c r="A2526" s="47">
        <v>2199</v>
      </c>
      <c r="B2526" s="48" t="str">
        <f>IFERROR(VLOOKUP(A2526,CLIENTES!A:E,2,0),"CADASTRAR CLIENTE")</f>
        <v>SOCIEDADE EDUCACIONAL UBERABENSE</v>
      </c>
      <c r="C2526" s="54" t="s">
        <v>738</v>
      </c>
      <c r="D2526" s="54">
        <v>910763</v>
      </c>
      <c r="E2526" s="51">
        <v>165</v>
      </c>
      <c r="F2526" s="48"/>
      <c r="G2526" s="51"/>
      <c r="H2526" s="52"/>
      <c r="I2526" s="53">
        <v>45971</v>
      </c>
    </row>
    <row r="2527" spans="1:9">
      <c r="A2527" s="47">
        <v>50554</v>
      </c>
      <c r="B2527" s="48" t="str">
        <f>IFERROR(VLOOKUP(A2527,CLIENTES!A:E,2,0),"CADASTRAR CLIENTE")</f>
        <v>SAO ROQUE MEDICINA DIAGNOSTICA</v>
      </c>
      <c r="C2527" s="54" t="s">
        <v>3</v>
      </c>
      <c r="D2527" s="54" t="s">
        <v>814</v>
      </c>
      <c r="E2527" s="51">
        <v>7883.49</v>
      </c>
      <c r="F2527" s="48"/>
      <c r="G2527" s="51"/>
      <c r="H2527" s="52"/>
      <c r="I2527" s="53">
        <v>45971</v>
      </c>
    </row>
    <row r="2528" spans="1:9">
      <c r="A2528" s="47">
        <v>2022</v>
      </c>
      <c r="B2528" s="48" t="str">
        <f>IFERROR(VLOOKUP(A2528,CLIENTES!A:E,2,0),"CADASTRAR CLIENTE")</f>
        <v>LAB. MEDICO DR. MARICONDI S/C LTDA.</v>
      </c>
      <c r="C2528" s="54" t="s">
        <v>3</v>
      </c>
      <c r="D2528" s="54">
        <v>91718</v>
      </c>
      <c r="E2528" s="51">
        <v>299</v>
      </c>
      <c r="F2528" s="48"/>
      <c r="G2528" s="51"/>
      <c r="H2528" s="52"/>
      <c r="I2528" s="53">
        <v>45971</v>
      </c>
    </row>
    <row r="2529" spans="1:9">
      <c r="A2529" s="47">
        <v>725</v>
      </c>
      <c r="B2529" s="48" t="str">
        <f>IFERROR(VLOOKUP(A2529,CLIENTES!A:E,2,0),"CADASTRAR CLIENTE")</f>
        <v>LAB. ANAL. CLIN. DR. ALUISIO CASELLA</v>
      </c>
      <c r="C2529" s="54" t="s">
        <v>3</v>
      </c>
      <c r="D2529" s="54">
        <v>91711</v>
      </c>
      <c r="E2529" s="51">
        <v>293.5</v>
      </c>
      <c r="F2529" s="48"/>
      <c r="G2529" s="51"/>
      <c r="H2529" s="52"/>
      <c r="I2529" s="53">
        <v>45971</v>
      </c>
    </row>
    <row r="2530" spans="1:9">
      <c r="A2530" s="47">
        <v>784</v>
      </c>
      <c r="B2530" s="48" t="str">
        <f>IFERROR(VLOOKUP(A2530,CLIENTES!A:E,2,0),"CADASTRAR CLIENTE")</f>
        <v>LAB.ANAL.CLIN. ALBERT SABIN SC LTDA.</v>
      </c>
      <c r="C2530" s="54" t="s">
        <v>3</v>
      </c>
      <c r="D2530" s="54" t="s">
        <v>809</v>
      </c>
      <c r="E2530" s="51">
        <v>2057.4899999999998</v>
      </c>
      <c r="F2530" s="48"/>
      <c r="G2530" s="51"/>
      <c r="H2530" s="52"/>
      <c r="I2530" s="53">
        <v>45971</v>
      </c>
    </row>
    <row r="2531" spans="1:9">
      <c r="A2531" s="47">
        <v>1164</v>
      </c>
      <c r="B2531" s="48" t="str">
        <f>IFERROR(VLOOKUP(A2531,CLIENTES!A:E,2,0),"CADASTRAR CLIENTE")</f>
        <v>LAB. ANAL. CLIN. SAO LOURENCO S/C LTDA</v>
      </c>
      <c r="C2531" s="54" t="s">
        <v>3</v>
      </c>
      <c r="D2531" s="54">
        <v>91500</v>
      </c>
      <c r="E2531" s="51">
        <v>1635.46</v>
      </c>
      <c r="F2531" s="48"/>
      <c r="G2531" s="51"/>
      <c r="H2531" s="52"/>
      <c r="I2531" s="53">
        <v>45971</v>
      </c>
    </row>
    <row r="2532" spans="1:9">
      <c r="A2532" s="47">
        <v>1726</v>
      </c>
      <c r="B2532" s="48" t="str">
        <f>IFERROR(VLOOKUP(A2532,CLIENTES!A:E,2,0),"CADASTRAR CLIENTE")</f>
        <v>IRMANDADE DA SANTA CASA DE MISERIC. DE MOGI MIRIM</v>
      </c>
      <c r="C2532" s="54" t="s">
        <v>3</v>
      </c>
      <c r="D2532" s="54">
        <v>91663</v>
      </c>
      <c r="E2532" s="51"/>
      <c r="F2532" s="48"/>
      <c r="G2532" s="51">
        <v>14860</v>
      </c>
      <c r="H2532" s="52"/>
      <c r="I2532" s="53">
        <v>45972</v>
      </c>
    </row>
    <row r="2533" spans="1:9">
      <c r="A2533" s="47">
        <v>171</v>
      </c>
      <c r="B2533" s="48" t="str">
        <f>IFERROR(VLOOKUP(A2533,CLIENTES!A:E,2,0),"CADASTRAR CLIENTE")</f>
        <v>HOSPITAL BENEFICENTE SAO JOSE</v>
      </c>
      <c r="C2533" s="54" t="s">
        <v>3</v>
      </c>
      <c r="D2533" s="54">
        <v>91454</v>
      </c>
      <c r="E2533" s="51">
        <v>5140.4399999999996</v>
      </c>
      <c r="F2533" s="48"/>
      <c r="G2533" s="51"/>
      <c r="H2533" s="52"/>
      <c r="I2533" s="53">
        <v>45972</v>
      </c>
    </row>
    <row r="2534" spans="1:9">
      <c r="A2534" s="47">
        <v>50418</v>
      </c>
      <c r="B2534" s="48" t="str">
        <f>IFERROR(VLOOKUP(A2534,CLIENTES!A:E,2,0),"CADASTRAR CLIENTE")</f>
        <v>LABORATORIO SAO LUCAS DE BROTAS SS LTDA</v>
      </c>
      <c r="C2534" s="54" t="s">
        <v>3</v>
      </c>
      <c r="D2534" s="54">
        <v>91499</v>
      </c>
      <c r="E2534" s="51">
        <v>1288.3</v>
      </c>
      <c r="F2534" s="48"/>
      <c r="G2534" s="51"/>
      <c r="H2534" s="52"/>
      <c r="I2534" s="53">
        <v>45972</v>
      </c>
    </row>
    <row r="2535" spans="1:9">
      <c r="A2535" s="47">
        <v>50558</v>
      </c>
      <c r="B2535" s="48" t="str">
        <f>IFERROR(VLOOKUP(A2535,CLIENTES!A:E,2,0),"CADASTRAR CLIENTE")</f>
        <v>FUNDACAO PAULISTA DE TECNOLOGIA E EDUCACAO</v>
      </c>
      <c r="C2535" s="54" t="s">
        <v>3</v>
      </c>
      <c r="D2535" s="54" t="s">
        <v>815</v>
      </c>
      <c r="E2535" s="51">
        <v>4381</v>
      </c>
      <c r="F2535" s="48"/>
      <c r="G2535" s="51"/>
      <c r="H2535" s="52"/>
      <c r="I2535" s="53">
        <v>45973</v>
      </c>
    </row>
    <row r="2536" spans="1:9">
      <c r="A2536" s="47">
        <v>1652</v>
      </c>
      <c r="B2536" s="48" t="str">
        <f>IFERROR(VLOOKUP(A2536,CLIENTES!A:E,2,0),"CADASTRAR CLIENTE")</f>
        <v>LAB. SANTA CLARA ANAL.CLIN.</v>
      </c>
      <c r="C2536" s="54" t="s">
        <v>816</v>
      </c>
      <c r="D2536" s="54">
        <v>91751</v>
      </c>
      <c r="E2536" s="51">
        <v>694.7</v>
      </c>
      <c r="F2536" s="48"/>
      <c r="G2536" s="51"/>
      <c r="H2536" s="52"/>
      <c r="I2536" s="53">
        <v>45973</v>
      </c>
    </row>
    <row r="2537" spans="1:9">
      <c r="A2537" s="47">
        <v>905</v>
      </c>
      <c r="B2537" s="48" t="str">
        <f>IFERROR(VLOOKUP(A2537,CLIENTES!A:E,2,0),"CADASTRAR CLIENTE")</f>
        <v>LAB AN CLIN DR NESTOR FERRAREZZI FILHO  SC LTDA</v>
      </c>
      <c r="C2537" s="54" t="s">
        <v>3</v>
      </c>
      <c r="D2537" s="54">
        <v>91790</v>
      </c>
      <c r="E2537" s="51">
        <v>986.8</v>
      </c>
      <c r="F2537" s="48"/>
      <c r="G2537" s="51"/>
      <c r="H2537" s="52"/>
      <c r="I2537" s="53">
        <v>45973</v>
      </c>
    </row>
    <row r="2538" spans="1:9">
      <c r="A2538" s="47">
        <v>1122</v>
      </c>
      <c r="B2538" s="48" t="str">
        <f>IFERROR(VLOOKUP(A2538,CLIENTES!A:E,2,0),"CADASTRAR CLIENTE")</f>
        <v>FUNDEPAG</v>
      </c>
      <c r="C2538" s="54" t="s">
        <v>2</v>
      </c>
      <c r="D2538" s="54">
        <v>91794</v>
      </c>
      <c r="E2538" s="51">
        <v>2213.4</v>
      </c>
      <c r="F2538" s="48"/>
      <c r="G2538" s="51"/>
      <c r="H2538" s="52"/>
      <c r="I2538" s="53">
        <v>45973</v>
      </c>
    </row>
    <row r="2539" spans="1:9">
      <c r="A2539" s="47">
        <v>3557</v>
      </c>
      <c r="B2539" s="48" t="str">
        <f>IFERROR(VLOOKUP(A2539,CLIENTES!A:E,2,0),"CADASTRAR CLIENTE")</f>
        <v>ASSOCIACAO BENEFICIENTE NOSSA SENHORA DE NAZARE</v>
      </c>
      <c r="C2539" s="54" t="s">
        <v>738</v>
      </c>
      <c r="D2539" s="54">
        <v>91589</v>
      </c>
      <c r="E2539" s="51">
        <v>4890.3999999999996</v>
      </c>
      <c r="F2539" s="48"/>
      <c r="G2539" s="51"/>
      <c r="H2539" s="52"/>
      <c r="I2539" s="53">
        <v>45973</v>
      </c>
    </row>
    <row r="2540" spans="1:9">
      <c r="A2540" s="47">
        <v>1026</v>
      </c>
      <c r="B2540" s="48" t="str">
        <f>IFERROR(VLOOKUP(A2540,CLIENTES!A:E,2,0),"CADASTRAR CLIENTE")</f>
        <v>LABSC SERVICOS LABORATORIAIS LTDA</v>
      </c>
      <c r="C2540" s="54" t="s">
        <v>3</v>
      </c>
      <c r="D2540" s="54">
        <v>91780</v>
      </c>
      <c r="E2540" s="51">
        <v>4671.5200000000004</v>
      </c>
      <c r="F2540" s="48"/>
      <c r="G2540" s="51"/>
      <c r="H2540" s="52"/>
      <c r="I2540" s="53">
        <v>45973</v>
      </c>
    </row>
    <row r="2541" spans="1:9">
      <c r="A2541" s="47">
        <v>500243</v>
      </c>
      <c r="B2541" s="48" t="str">
        <f>IFERROR(VLOOKUP(A2541,CLIENTES!A:E,2,0),"CADASTRAR CLIENTE")</f>
        <v>UNIMED DE IBITINGA COOPERATIVA DE TRABALHO MEDICO</v>
      </c>
      <c r="C2541" s="54" t="s">
        <v>3</v>
      </c>
      <c r="D2541" s="54">
        <v>91624</v>
      </c>
      <c r="E2541" s="51">
        <v>6365.44</v>
      </c>
      <c r="F2541" s="48"/>
      <c r="G2541" s="51"/>
      <c r="H2541" s="52"/>
      <c r="I2541" s="53">
        <v>45973</v>
      </c>
    </row>
    <row r="2542" spans="1:9">
      <c r="A2542" s="47">
        <v>620</v>
      </c>
      <c r="B2542" s="48" t="str">
        <f>IFERROR(VLOOKUP(A2542,CLIENTES!A:E,2,0),"CADASTRAR CLIENTE")</f>
        <v>LAB.SAO PAULO DE ANAL.CLIN.SC LTDA.</v>
      </c>
      <c r="C2542" s="54" t="s">
        <v>3</v>
      </c>
      <c r="D2542" s="54">
        <v>91755</v>
      </c>
      <c r="E2542" s="51">
        <v>535.6</v>
      </c>
      <c r="F2542" s="48"/>
      <c r="G2542" s="51"/>
      <c r="H2542" s="52"/>
      <c r="I2542" s="53">
        <v>45973</v>
      </c>
    </row>
    <row r="2543" spans="1:9">
      <c r="A2543" s="47">
        <v>772</v>
      </c>
      <c r="B2543" s="48" t="str">
        <f>IFERROR(VLOOKUP(A2543,CLIENTES!A:E,2,0),"CADASTRAR CLIENTE")</f>
        <v>MEGARON LABORATORIO ANAL.CLIN.SC LTDA.</v>
      </c>
      <c r="C2543" s="54" t="s">
        <v>3</v>
      </c>
      <c r="D2543" s="54">
        <v>91801</v>
      </c>
      <c r="E2543" s="51"/>
      <c r="F2543" s="48"/>
      <c r="G2543" s="51">
        <v>6600</v>
      </c>
      <c r="H2543" s="52"/>
      <c r="I2543" s="53">
        <v>45974</v>
      </c>
    </row>
    <row r="2544" spans="1:9">
      <c r="A2544" s="47">
        <v>575</v>
      </c>
      <c r="B2544" s="48" t="str">
        <f>IFERROR(VLOOKUP(A2544,CLIENTES!A:E,2,0),"CADASTRAR CLIENTE")</f>
        <v>DR MUNHOZ HOSPITAL VETERINARIO E PET SHOP</v>
      </c>
      <c r="C2544" s="54" t="s">
        <v>3</v>
      </c>
      <c r="D2544" s="54" t="s">
        <v>817</v>
      </c>
      <c r="E2544" s="51">
        <v>791.85</v>
      </c>
      <c r="F2544" s="48"/>
      <c r="G2544" s="51"/>
      <c r="H2544" s="52"/>
      <c r="I2544" s="53">
        <v>45974</v>
      </c>
    </row>
    <row r="2545" spans="1:9">
      <c r="A2545" s="47">
        <v>51042</v>
      </c>
      <c r="B2545" s="48" t="str">
        <f>IFERROR(VLOOKUP(A2545,CLIENTES!A:E,2,0),"CADASTRAR CLIENTE")</f>
        <v>CLINICAO ANDRADINA PET SHOP E CLINICA VETERINARIA LTDA</v>
      </c>
      <c r="C2545" s="54" t="s">
        <v>3</v>
      </c>
      <c r="D2545" s="54">
        <v>91850</v>
      </c>
      <c r="E2545" s="51">
        <v>246</v>
      </c>
      <c r="F2545" s="48"/>
      <c r="G2545" s="51"/>
      <c r="H2545" s="52"/>
      <c r="I2545" s="53">
        <v>45974</v>
      </c>
    </row>
    <row r="2546" spans="1:9">
      <c r="A2546" s="47">
        <v>1016</v>
      </c>
      <c r="B2546" s="48" t="str">
        <f>IFERROR(VLOOKUP(A2546,CLIENTES!A:E,2,0),"CADASTRAR CLIENTE")</f>
        <v>LAB.ANAL.CLIN. SAO LUCAS SC LTDA.</v>
      </c>
      <c r="C2546" s="54" t="s">
        <v>3</v>
      </c>
      <c r="D2546" s="54" t="s">
        <v>818</v>
      </c>
      <c r="E2546" s="51">
        <v>2450.8000000000002</v>
      </c>
      <c r="F2546" s="48"/>
      <c r="G2546" s="51"/>
      <c r="H2546" s="52"/>
      <c r="I2546" s="53">
        <v>45978</v>
      </c>
    </row>
    <row r="2547" spans="1:9">
      <c r="A2547" s="47">
        <v>50961</v>
      </c>
      <c r="B2547" s="48" t="str">
        <f>IFERROR(VLOOKUP(A2547,CLIENTES!A:E,2,0),"CADASTRAR CLIENTE")</f>
        <v>SOLUTE MEDICAL GROUP BRAZIL LTDA</v>
      </c>
      <c r="C2547" s="54" t="s">
        <v>3</v>
      </c>
      <c r="D2547" s="54">
        <v>91944</v>
      </c>
      <c r="E2547" s="51">
        <v>2096</v>
      </c>
      <c r="F2547" s="48"/>
      <c r="G2547" s="51"/>
      <c r="H2547" s="52"/>
      <c r="I2547" s="53">
        <v>45978</v>
      </c>
    </row>
    <row r="2548" spans="1:9">
      <c r="A2548" s="47">
        <v>3077</v>
      </c>
      <c r="B2548" s="48" t="str">
        <f>IFERROR(VLOOKUP(A2548,CLIENTES!A:E,2,0),"CADASTRAR CLIENTE")</f>
        <v>CBI ANALISES CLINICAS S/S LTDA</v>
      </c>
      <c r="C2548" s="54" t="s">
        <v>3</v>
      </c>
      <c r="D2548" s="54" t="s">
        <v>819</v>
      </c>
      <c r="E2548" s="51">
        <v>351.76</v>
      </c>
      <c r="F2548" s="48"/>
      <c r="G2548" s="51">
        <v>3900</v>
      </c>
      <c r="H2548" s="52"/>
      <c r="I2548" s="53">
        <v>45978</v>
      </c>
    </row>
    <row r="2549" spans="1:9">
      <c r="A2549" s="47">
        <v>311</v>
      </c>
      <c r="B2549" s="48" t="str">
        <f>IFERROR(VLOOKUP(A2549,CLIENTES!A:E,2,0),"CADASTRAR CLIENTE")</f>
        <v>CENTRO DE ANAL.CLIN. UNILAB  SC LTDA.</v>
      </c>
      <c r="C2549" s="54" t="s">
        <v>3</v>
      </c>
      <c r="D2549" s="54">
        <v>91854</v>
      </c>
      <c r="E2549" s="51">
        <v>1670.9</v>
      </c>
      <c r="F2549" s="48"/>
      <c r="G2549" s="51"/>
      <c r="H2549" s="52"/>
      <c r="I2549" s="53">
        <v>45978</v>
      </c>
    </row>
    <row r="2550" spans="1:9">
      <c r="A2550" s="47">
        <v>761</v>
      </c>
      <c r="B2550" s="48" t="str">
        <f>IFERROR(VLOOKUP(A2550,CLIENTES!A:E,2,0),"CADASTRAR CLIENTE")</f>
        <v>EXAME CENTRO DIAG.M.ARACATUBA SC LTDA.</v>
      </c>
      <c r="C2550" s="54" t="s">
        <v>3</v>
      </c>
      <c r="D2550" s="54" t="s">
        <v>820</v>
      </c>
      <c r="E2550" s="51">
        <v>7106.68</v>
      </c>
      <c r="F2550" s="48"/>
      <c r="G2550" s="51"/>
      <c r="H2550" s="52"/>
      <c r="I2550" s="53">
        <v>45978</v>
      </c>
    </row>
    <row r="2551" spans="1:9">
      <c r="A2551" s="47">
        <v>52</v>
      </c>
      <c r="B2551" s="48" t="str">
        <f>IFERROR(VLOOKUP(A2551,CLIENTES!A:E,2,0),"CADASTRAR CLIENTE")</f>
        <v>HEMOVA HEMOTERAPIA VETERINARIA AVANÇADA E DIAGNOSTICOS</v>
      </c>
      <c r="C2551" s="54" t="s">
        <v>3</v>
      </c>
      <c r="D2551" s="54">
        <v>91731</v>
      </c>
      <c r="E2551" s="51">
        <v>533.4</v>
      </c>
      <c r="F2551" s="48"/>
      <c r="G2551" s="51"/>
      <c r="H2551" s="52"/>
      <c r="I2551" s="53">
        <v>45978</v>
      </c>
    </row>
    <row r="2552" spans="1:9">
      <c r="A2552" s="47">
        <v>1026</v>
      </c>
      <c r="B2552" s="48" t="str">
        <f>IFERROR(VLOOKUP(A2552,CLIENTES!A:E,2,0),"CADASTRAR CLIENTE")</f>
        <v>LABSC SERVICOS LABORATORIAIS LTDA</v>
      </c>
      <c r="C2552" s="54" t="s">
        <v>3</v>
      </c>
      <c r="D2552" s="54">
        <v>91859</v>
      </c>
      <c r="E2552" s="51">
        <v>646.70000000000005</v>
      </c>
      <c r="F2552" s="48"/>
      <c r="G2552" s="51"/>
      <c r="H2552" s="52"/>
      <c r="I2552" s="53">
        <v>45979</v>
      </c>
    </row>
    <row r="2553" spans="1:9">
      <c r="A2553" s="47">
        <v>704</v>
      </c>
      <c r="B2553" s="48" t="str">
        <f>IFERROR(VLOOKUP(A2553,CLIENTES!A:E,2,0),"CADASTRAR CLIENTE")</f>
        <v>LAB. ONUMA E BASILIO S/C LTDA</v>
      </c>
      <c r="C2553" s="54" t="s">
        <v>3</v>
      </c>
      <c r="D2553" s="54" t="s">
        <v>830</v>
      </c>
      <c r="E2553" s="51">
        <v>1341.41</v>
      </c>
      <c r="F2553" s="48"/>
      <c r="G2553" s="51"/>
      <c r="H2553" s="52"/>
      <c r="I2553" s="53">
        <v>45979</v>
      </c>
    </row>
    <row r="2554" spans="1:9">
      <c r="A2554" s="47">
        <v>500873</v>
      </c>
      <c r="B2554" s="48" t="str">
        <f>IFERROR(VLOOKUP(A2554,CLIENTES!A:E,2,0),"CADASTRAR CLIENTE")</f>
        <v>HOUPILLARD SERVICOS VETERINARIOS LTDA.</v>
      </c>
      <c r="C2554" s="54" t="s">
        <v>3</v>
      </c>
      <c r="D2554" s="54">
        <v>91821</v>
      </c>
      <c r="E2554" s="51">
        <v>582.20000000000005</v>
      </c>
      <c r="F2554" s="48"/>
      <c r="G2554" s="51"/>
      <c r="H2554" s="52"/>
      <c r="I2554" s="53">
        <v>45979</v>
      </c>
    </row>
    <row r="2555" spans="1:9">
      <c r="A2555" s="47">
        <v>618</v>
      </c>
      <c r="B2555" s="48" t="str">
        <f>IFERROR(VLOOKUP(A2555,CLIENTES!A:E,2,0),"CADASTRAR CLIENTE")</f>
        <v>LAB. ANAL. CLIN. POMPEIA</v>
      </c>
      <c r="C2555" s="54" t="s">
        <v>3</v>
      </c>
      <c r="D2555" s="54" t="s">
        <v>824</v>
      </c>
      <c r="E2555" s="51">
        <v>1692.55</v>
      </c>
      <c r="F2555" s="48"/>
      <c r="G2555" s="51"/>
      <c r="H2555" s="52"/>
      <c r="I2555" s="53">
        <v>45979</v>
      </c>
    </row>
    <row r="2556" spans="1:9">
      <c r="A2556" s="47">
        <v>434</v>
      </c>
      <c r="B2556" s="48" t="str">
        <f>IFERROR(VLOOKUP(A2556,CLIENTES!A:E,2,0),"CADASTRAR CLIENTE")</f>
        <v>BIOLABOR LAB. ANAL. CLIN. SC LTDA.</v>
      </c>
      <c r="C2556" s="54" t="s">
        <v>3</v>
      </c>
      <c r="D2556" s="54">
        <v>92002</v>
      </c>
      <c r="E2556" s="51">
        <v>2458.4699999999998</v>
      </c>
      <c r="F2556" s="48"/>
      <c r="G2556" s="51"/>
      <c r="H2556" s="52"/>
      <c r="I2556" s="53">
        <v>45979</v>
      </c>
    </row>
    <row r="2557" spans="1:9">
      <c r="A2557" s="47">
        <v>2199</v>
      </c>
      <c r="B2557" s="48" t="str">
        <f>IFERROR(VLOOKUP(A2557,CLIENTES!A:E,2,0),"CADASTRAR CLIENTE")</f>
        <v>SOCIEDADE EDUCACIONAL UBERABENSE</v>
      </c>
      <c r="C2557" s="54" t="s">
        <v>3</v>
      </c>
      <c r="D2557" s="54" t="s">
        <v>825</v>
      </c>
      <c r="E2557" s="51">
        <v>3258.9</v>
      </c>
      <c r="F2557" s="48"/>
      <c r="G2557" s="51"/>
      <c r="H2557" s="52"/>
      <c r="I2557" s="53">
        <v>45980</v>
      </c>
    </row>
    <row r="2558" spans="1:9">
      <c r="A2558" s="47">
        <v>480</v>
      </c>
      <c r="B2558" s="48" t="str">
        <f>IFERROR(VLOOKUP(A2558,CLIENTES!A:E,2,0),"CADASTRAR CLIENTE")</f>
        <v>LAB SAO LUCAS</v>
      </c>
      <c r="C2558" s="54" t="s">
        <v>3</v>
      </c>
      <c r="D2558" s="54" t="s">
        <v>826</v>
      </c>
      <c r="E2558" s="51">
        <v>685.87</v>
      </c>
      <c r="F2558" s="48"/>
      <c r="G2558" s="51"/>
      <c r="H2558" s="52"/>
      <c r="I2558" s="53">
        <v>45980</v>
      </c>
    </row>
    <row r="2559" spans="1:9">
      <c r="A2559" s="47">
        <v>705</v>
      </c>
      <c r="B2559" s="48" t="str">
        <f>IFERROR(VLOOKUP(A2559,CLIENTES!A:E,2,0),"CADASTRAR CLIENTE")</f>
        <v>JOAO JOSE SCHIAVUZZO ME</v>
      </c>
      <c r="C2559" s="54" t="s">
        <v>3</v>
      </c>
      <c r="D2559" s="54">
        <v>92020</v>
      </c>
      <c r="E2559" s="51">
        <v>881.2</v>
      </c>
      <c r="F2559" s="48"/>
      <c r="G2559" s="51"/>
      <c r="H2559" s="52"/>
      <c r="I2559" s="53">
        <v>45980</v>
      </c>
    </row>
    <row r="2560" spans="1:9">
      <c r="A2560" s="47">
        <v>3557</v>
      </c>
      <c r="B2560" s="48" t="str">
        <f>IFERROR(VLOOKUP(A2560,CLIENTES!A:E,2,0),"CADASTRAR CLIENTE")</f>
        <v>ASSOCIACAO BENEFICIENTE NOSSA SENHORA DE NAZARE</v>
      </c>
      <c r="C2560" s="54" t="s">
        <v>738</v>
      </c>
      <c r="D2560" s="54">
        <v>92005</v>
      </c>
      <c r="E2560" s="51">
        <v>5937.58</v>
      </c>
      <c r="F2560" s="48"/>
      <c r="G2560" s="51"/>
      <c r="H2560" s="52"/>
      <c r="I2560" s="53">
        <v>45980</v>
      </c>
    </row>
    <row r="2561" spans="1:9">
      <c r="A2561" s="47">
        <v>432</v>
      </c>
      <c r="B2561" s="48" t="str">
        <f>IFERROR(VLOOKUP(A2561,CLIENTES!A:E,2,0),"CADASTRAR CLIENTE")</f>
        <v>LABORATORIO PASTEUR HEMATOLOGIA E MICROBIOLOGIA S/S LTDA</v>
      </c>
      <c r="C2561" s="54" t="s">
        <v>3</v>
      </c>
      <c r="D2561" s="54" t="s">
        <v>827</v>
      </c>
      <c r="E2561" s="51">
        <v>1113.83</v>
      </c>
      <c r="F2561" s="48"/>
      <c r="G2561" s="51"/>
      <c r="H2561" s="52"/>
      <c r="I2561" s="53">
        <v>45980</v>
      </c>
    </row>
    <row r="2562" spans="1:9">
      <c r="A2562" s="47">
        <v>1616</v>
      </c>
      <c r="B2562" s="48" t="str">
        <f>IFERROR(VLOOKUP(A2562,CLIENTES!A:E,2,0),"CADASTRAR CLIENTE")</f>
        <v>NOVO HORIZONTE LAB.ANAL.CLIN.S/C LTDA.</v>
      </c>
      <c r="C2562" s="54" t="s">
        <v>3</v>
      </c>
      <c r="D2562" s="54">
        <v>92051</v>
      </c>
      <c r="E2562" s="51">
        <v>868.8</v>
      </c>
      <c r="F2562" s="48"/>
      <c r="G2562" s="51"/>
      <c r="H2562" s="52"/>
      <c r="I2562" s="53">
        <v>45980</v>
      </c>
    </row>
    <row r="2563" spans="1:9">
      <c r="A2563" s="47">
        <v>980</v>
      </c>
      <c r="B2563" s="48" t="str">
        <f>IFERROR(VLOOKUP(A2563,CLIENTES!A:E,2,0),"CADASTRAR CLIENTE")</f>
        <v>LAB. GUARARAPES  ANAL. CLIN. SC LTDA</v>
      </c>
      <c r="C2563" s="54" t="s">
        <v>3</v>
      </c>
      <c r="D2563" s="54">
        <v>91936</v>
      </c>
      <c r="E2563" s="51">
        <v>844.8</v>
      </c>
      <c r="F2563" s="48"/>
      <c r="G2563" s="51"/>
      <c r="H2563" s="52"/>
      <c r="I2563" s="53">
        <v>45980</v>
      </c>
    </row>
    <row r="2564" spans="1:9">
      <c r="A2564" s="47">
        <v>725</v>
      </c>
      <c r="B2564" s="48" t="str">
        <f>IFERROR(VLOOKUP(A2564,CLIENTES!A:E,2,0),"CADASTRAR CLIENTE")</f>
        <v>LAB. ANAL. CLIN. DR. ALUISIO CASELLA</v>
      </c>
      <c r="C2564" s="54" t="s">
        <v>3</v>
      </c>
      <c r="D2564" s="54">
        <v>92047</v>
      </c>
      <c r="E2564" s="51">
        <v>218.55</v>
      </c>
      <c r="F2564" s="48"/>
      <c r="G2564" s="51"/>
      <c r="H2564" s="52"/>
      <c r="I2564" s="53">
        <v>45980</v>
      </c>
    </row>
    <row r="2565" spans="1:9">
      <c r="A2565" s="47">
        <v>51061</v>
      </c>
      <c r="B2565" s="48" t="str">
        <f>IFERROR(VLOOKUP(A2565,CLIENTES!A:E,2,0),"CADASTRAR CLIENTE")</f>
        <v>UNIMED AMPARO COOPERATIVA DE TRABALHO MEDICO</v>
      </c>
      <c r="C2565" s="54" t="s">
        <v>738</v>
      </c>
      <c r="D2565" s="54">
        <v>92070</v>
      </c>
      <c r="E2565" s="51">
        <v>1271.5</v>
      </c>
      <c r="F2565" s="48"/>
      <c r="G2565" s="51"/>
      <c r="H2565" s="52"/>
      <c r="I2565" s="53">
        <v>45980</v>
      </c>
    </row>
    <row r="2566" spans="1:9">
      <c r="A2566" s="47">
        <v>1623</v>
      </c>
      <c r="B2566" s="48" t="str">
        <f>IFERROR(VLOOKUP(A2566,CLIENTES!A:E,2,0),"CADASTRAR CLIENTE")</f>
        <v>LAB.ANAL.CLIN. E REP. BADY BASSIT LTDA</v>
      </c>
      <c r="C2566" s="54" t="s">
        <v>3</v>
      </c>
      <c r="D2566" s="54">
        <v>92006</v>
      </c>
      <c r="E2566" s="51">
        <v>82.5</v>
      </c>
      <c r="F2566" s="48"/>
      <c r="G2566" s="51"/>
      <c r="H2566" s="52"/>
      <c r="I2566" s="53">
        <v>45982</v>
      </c>
    </row>
    <row r="2567" spans="1:9">
      <c r="A2567" s="47">
        <v>1164</v>
      </c>
      <c r="B2567" s="48" t="str">
        <f>IFERROR(VLOOKUP(A2567,CLIENTES!A:E,2,0),"CADASTRAR CLIENTE")</f>
        <v>LAB. ANAL. CLIN. SAO LOURENCO S/C LTDA</v>
      </c>
      <c r="C2567" s="54" t="s">
        <v>3</v>
      </c>
      <c r="D2567" s="54" t="s">
        <v>828</v>
      </c>
      <c r="E2567" s="51">
        <v>250.5</v>
      </c>
      <c r="F2567" s="48"/>
      <c r="G2567" s="51"/>
      <c r="H2567" s="52"/>
      <c r="I2567" s="53">
        <v>45982</v>
      </c>
    </row>
    <row r="2568" spans="1:9">
      <c r="A2568" s="47">
        <v>51061</v>
      </c>
      <c r="B2568" s="48" t="str">
        <f>IFERROR(VLOOKUP(A2568,CLIENTES!A:E,2,0),"CADASTRAR CLIENTE")</f>
        <v>UNIMED AMPARO COOPERATIVA DE TRABALHO MEDICO</v>
      </c>
      <c r="C2568" s="54" t="s">
        <v>3</v>
      </c>
      <c r="D2568" s="54">
        <v>92085</v>
      </c>
      <c r="E2568" s="51">
        <v>430</v>
      </c>
      <c r="F2568" s="48"/>
      <c r="G2568" s="51"/>
      <c r="H2568" s="52"/>
      <c r="I2568" s="53">
        <v>45982</v>
      </c>
    </row>
    <row r="2569" spans="1:9">
      <c r="A2569" s="47">
        <v>325</v>
      </c>
      <c r="B2569" s="48" t="str">
        <f>IFERROR(VLOOKUP(A2569,CLIENTES!A:E,2,0),"CADASTRAR CLIENTE")</f>
        <v>EXAME-LABORAT. DE ANAL. CLIN. CITODIAGNOSTICO S/S LTDA</v>
      </c>
      <c r="C2569" s="54" t="s">
        <v>3</v>
      </c>
      <c r="D2569" s="54">
        <v>45451</v>
      </c>
      <c r="E2569" s="51">
        <v>2250.65</v>
      </c>
      <c r="F2569" s="48"/>
      <c r="G2569" s="51"/>
      <c r="H2569" s="52"/>
      <c r="I2569" s="53">
        <v>45985</v>
      </c>
    </row>
    <row r="2570" spans="1:9">
      <c r="A2570" s="47">
        <v>516</v>
      </c>
      <c r="B2570" s="48" t="str">
        <f>IFERROR(VLOOKUP(A2570,CLIENTES!A:E,2,0),"CADASTRAR CLIENTE")</f>
        <v>TECNOLAB PATOLOGIA CLINICA S/C LTDA</v>
      </c>
      <c r="C2570" s="54" t="s">
        <v>3</v>
      </c>
      <c r="D2570" s="54" t="s">
        <v>829</v>
      </c>
      <c r="E2570" s="51">
        <v>12349.37</v>
      </c>
      <c r="F2570" s="48"/>
      <c r="G2570" s="51"/>
      <c r="H2570" s="52"/>
      <c r="I2570" s="53">
        <v>45985</v>
      </c>
    </row>
    <row r="2571" spans="1:9">
      <c r="A2571" s="47">
        <v>2199</v>
      </c>
      <c r="B2571" s="48" t="str">
        <f>IFERROR(VLOOKUP(A2571,CLIENTES!A:E,2,0),"CADASTRAR CLIENTE")</f>
        <v>SOCIEDADE EDUCACIONAL UBERABENSE</v>
      </c>
      <c r="C2571" s="54" t="s">
        <v>3</v>
      </c>
      <c r="D2571" s="54">
        <v>92110</v>
      </c>
      <c r="E2571" s="51">
        <v>98</v>
      </c>
      <c r="F2571" s="48"/>
      <c r="G2571" s="51"/>
      <c r="H2571" s="52"/>
      <c r="I2571" s="53">
        <v>45987</v>
      </c>
    </row>
    <row r="2572" spans="1:9">
      <c r="A2572" s="47">
        <v>2980</v>
      </c>
      <c r="B2572" s="48" t="str">
        <f>IFERROR(VLOOKUP(A2572,CLIENTES!A:E,2,0),"CADASTRAR CLIENTE")</f>
        <v>ALMEIDA &amp; FLAITT LABORATORIOS DE ANALISES CLINICAS LTDA</v>
      </c>
      <c r="C2572" s="54" t="s">
        <v>3</v>
      </c>
      <c r="D2572" s="54" t="s">
        <v>831</v>
      </c>
      <c r="E2572" s="51">
        <v>810.73</v>
      </c>
      <c r="F2572" s="48"/>
      <c r="G2572" s="51"/>
      <c r="H2572" s="52"/>
      <c r="I2572" s="53">
        <v>45985</v>
      </c>
    </row>
    <row r="2573" spans="1:9">
      <c r="A2573" s="47">
        <v>772</v>
      </c>
      <c r="B2573" s="48" t="str">
        <f>IFERROR(VLOOKUP(A2573,CLIENTES!A:E,2,0),"CADASTRAR CLIENTE")</f>
        <v>MEGARON LABORATORIO ANAL.CLIN.SC LTDA.</v>
      </c>
      <c r="C2573" s="54" t="s">
        <v>3</v>
      </c>
      <c r="D2573" s="54" t="s">
        <v>832</v>
      </c>
      <c r="E2573" s="51">
        <v>1949.33</v>
      </c>
      <c r="F2573" s="48"/>
      <c r="G2573" s="51"/>
      <c r="H2573" s="52"/>
      <c r="I2573" s="53">
        <v>45985</v>
      </c>
    </row>
    <row r="2574" spans="1:9">
      <c r="A2574" s="47">
        <v>725</v>
      </c>
      <c r="B2574" s="48" t="str">
        <f>IFERROR(VLOOKUP(A2574,CLIENTES!A:E,2,0),"CADASTRAR CLIENTE")</f>
        <v>LAB. ANAL. CLIN. DR. ALUISIO CASELLA</v>
      </c>
      <c r="C2574" s="54" t="s">
        <v>3</v>
      </c>
      <c r="D2574" s="54">
        <v>92047</v>
      </c>
      <c r="E2574" s="51">
        <v>267.55</v>
      </c>
      <c r="F2574" s="48"/>
      <c r="G2574" s="51"/>
      <c r="H2574" s="52"/>
      <c r="I2574" s="53">
        <v>45985</v>
      </c>
    </row>
    <row r="2575" spans="1:9">
      <c r="A2575" s="47">
        <v>463</v>
      </c>
      <c r="B2575" s="48" t="str">
        <f>IFERROR(VLOOKUP(A2575,CLIENTES!A:E,2,0),"CADASTRAR CLIENTE")</f>
        <v>MASUDA &amp; MASUDA LABORATORIO CLINICO LTDA</v>
      </c>
      <c r="C2575" s="54" t="s">
        <v>3</v>
      </c>
      <c r="D2575" s="54">
        <v>92139</v>
      </c>
      <c r="E2575" s="51">
        <v>788.5</v>
      </c>
      <c r="F2575" s="48"/>
      <c r="G2575" s="51"/>
      <c r="H2575" s="52"/>
      <c r="I2575" s="53">
        <v>45985</v>
      </c>
    </row>
    <row r="2576" spans="1:9">
      <c r="A2576" s="47">
        <v>687</v>
      </c>
      <c r="B2576" s="48" t="str">
        <f>IFERROR(VLOOKUP(A2576,CLIENTES!A:E,2,0),"CADASTRAR CLIENTE")</f>
        <v>LAB ANAL CLIN VENDRAMINI S/S LTDA</v>
      </c>
      <c r="C2576" s="54" t="s">
        <v>3</v>
      </c>
      <c r="D2576" s="54">
        <v>102092</v>
      </c>
      <c r="E2576" s="51">
        <v>388.05</v>
      </c>
      <c r="F2576" s="48"/>
      <c r="G2576" s="51"/>
      <c r="H2576" s="52"/>
      <c r="I2576" s="53">
        <v>45985</v>
      </c>
    </row>
    <row r="2577" spans="1:9">
      <c r="A2577" s="47">
        <v>50465</v>
      </c>
      <c r="B2577" s="48" t="str">
        <f>IFERROR(VLOOKUP(A2577,CLIENTES!A:E,2,0),"CADASTRAR CLIENTE")</f>
        <v>LABORATORIO DE ANALISES CLINICAS VIDA BIRIGUI LTDA</v>
      </c>
      <c r="C2577" s="54" t="s">
        <v>3</v>
      </c>
      <c r="D2577" s="54">
        <v>92159</v>
      </c>
      <c r="E2577" s="51">
        <v>1816.52</v>
      </c>
      <c r="F2577" s="48"/>
      <c r="G2577" s="51"/>
      <c r="H2577" s="52"/>
      <c r="I2577" s="53">
        <v>45985</v>
      </c>
    </row>
    <row r="2578" spans="1:9">
      <c r="A2578" s="47">
        <v>475</v>
      </c>
      <c r="B2578" s="48" t="str">
        <f>IFERROR(VLOOKUP(A2578,CLIENTES!A:E,2,0),"CADASTRAR CLIENTE")</f>
        <v>LABORATORIO DE ANALISES CLINICAS SRC LTDA</v>
      </c>
      <c r="C2578" s="54" t="s">
        <v>3</v>
      </c>
      <c r="D2578" s="54" t="s">
        <v>833</v>
      </c>
      <c r="E2578" s="51">
        <v>8204.5400000000009</v>
      </c>
      <c r="F2578" s="48"/>
      <c r="G2578" s="51"/>
      <c r="H2578" s="52"/>
      <c r="I2578" s="53">
        <v>45986</v>
      </c>
    </row>
    <row r="2579" spans="1:9">
      <c r="A2579" s="47">
        <v>1164</v>
      </c>
      <c r="B2579" s="48" t="str">
        <f>IFERROR(VLOOKUP(A2579,CLIENTES!A:E,2,0),"CADASTRAR CLIENTE")</f>
        <v>LAB. ANAL. CLIN. SAO LOURENCO S/C LTDA</v>
      </c>
      <c r="C2579" s="54" t="s">
        <v>3</v>
      </c>
      <c r="D2579" s="54">
        <v>92168</v>
      </c>
      <c r="E2579" s="51">
        <v>396.48</v>
      </c>
      <c r="F2579" s="48"/>
      <c r="G2579" s="51"/>
      <c r="H2579" s="52"/>
      <c r="I2579" s="53">
        <v>45986</v>
      </c>
    </row>
    <row r="2580" spans="1:9">
      <c r="A2580" s="47">
        <v>762</v>
      </c>
      <c r="B2580" s="48" t="str">
        <f>IFERROR(VLOOKUP(A2580,CLIENTES!A:E,2,0),"CADASTRAR CLIENTE")</f>
        <v>STA. CASA MISERICORDIA DE ARACATUBA</v>
      </c>
      <c r="C2580" s="54" t="s">
        <v>3</v>
      </c>
      <c r="D2580" s="54">
        <v>92173</v>
      </c>
      <c r="E2580" s="51">
        <v>704</v>
      </c>
      <c r="F2580" s="48"/>
      <c r="G2580" s="51"/>
      <c r="H2580" s="52"/>
      <c r="I2580" s="53">
        <v>45986</v>
      </c>
    </row>
    <row r="2581" spans="1:9">
      <c r="A2581" s="47">
        <v>500005</v>
      </c>
      <c r="B2581" s="48" t="str">
        <f>IFERROR(VLOOKUP(A2581,CLIENTES!A:E,2,0),"CADASTRAR CLIENTE")</f>
        <v>ASSOCIACAO EDUCACIONAL DE ENSINO SUPERIOR</v>
      </c>
      <c r="C2581" s="54" t="s">
        <v>3</v>
      </c>
      <c r="D2581" s="54">
        <v>91275</v>
      </c>
      <c r="E2581" s="51">
        <v>1840</v>
      </c>
      <c r="F2581" s="48"/>
      <c r="G2581" s="51"/>
      <c r="H2581" s="52"/>
      <c r="I2581" s="53">
        <v>45986</v>
      </c>
    </row>
    <row r="2582" spans="1:9">
      <c r="A2582" s="47">
        <v>408</v>
      </c>
      <c r="B2582" s="48" t="str">
        <f>IFERROR(VLOOKUP(A2582,CLIENTES!A:E,2,0),"CADASTRAR CLIENTE")</f>
        <v>FUND.DESENV.DE CIENCIAS FARMACEUTICAS</v>
      </c>
      <c r="C2582" s="54" t="s">
        <v>3</v>
      </c>
      <c r="D2582" s="54" t="s">
        <v>834</v>
      </c>
      <c r="E2582" s="51">
        <v>1231.9000000000001</v>
      </c>
      <c r="F2582" s="48"/>
      <c r="G2582" s="51"/>
      <c r="H2582" s="52"/>
      <c r="I2582" s="53">
        <v>45986</v>
      </c>
    </row>
    <row r="2583" spans="1:9">
      <c r="A2583" s="47">
        <v>1533</v>
      </c>
      <c r="B2583" s="48" t="str">
        <f>IFERROR(VLOOKUP(A2583,CLIENTES!A:E,2,0),"CADASTRAR CLIENTE")</f>
        <v>LABORATORIO BIOANALISE DIAGNOSTICO LTDA</v>
      </c>
      <c r="C2583" s="54" t="s">
        <v>3</v>
      </c>
      <c r="D2583" s="54" t="s">
        <v>835</v>
      </c>
      <c r="E2583" s="51">
        <v>503.3</v>
      </c>
      <c r="F2583" s="48"/>
      <c r="G2583" s="51"/>
      <c r="H2583" s="52"/>
      <c r="I2583" s="53">
        <v>45986</v>
      </c>
    </row>
    <row r="2584" spans="1:9">
      <c r="A2584" s="47">
        <v>51061</v>
      </c>
      <c r="B2584" s="48" t="str">
        <f>IFERROR(VLOOKUP(A2584,CLIENTES!A:E,2,0),"CADASTRAR CLIENTE")</f>
        <v>UNIMED AMPARO COOPERATIVA DE TRABALHO MEDICO</v>
      </c>
      <c r="C2584" s="54" t="s">
        <v>3</v>
      </c>
      <c r="D2584" s="54">
        <v>90840</v>
      </c>
      <c r="E2584" s="51">
        <v>79.599999999999994</v>
      </c>
      <c r="F2584" s="48"/>
      <c r="G2584" s="51"/>
      <c r="H2584" s="52"/>
      <c r="I2584" s="53">
        <v>45986</v>
      </c>
    </row>
    <row r="2585" spans="1:9">
      <c r="A2585" s="47">
        <v>620</v>
      </c>
      <c r="B2585" s="48" t="str">
        <f>IFERROR(VLOOKUP(A2585,CLIENTES!A:E,2,0),"CADASTRAR CLIENTE")</f>
        <v>LAB.SAO PAULO DE ANAL.CLIN.SC LTDA.</v>
      </c>
      <c r="C2585" s="54" t="s">
        <v>3</v>
      </c>
      <c r="D2585" s="54" t="s">
        <v>836</v>
      </c>
      <c r="E2585" s="51">
        <v>1980.84</v>
      </c>
      <c r="F2585" s="48"/>
      <c r="G2585" s="51"/>
      <c r="H2585" s="52"/>
      <c r="I2585" s="53">
        <v>45986</v>
      </c>
    </row>
    <row r="2586" spans="1:9">
      <c r="A2586" s="47">
        <v>217</v>
      </c>
      <c r="B2586" s="48" t="str">
        <f>IFERROR(VLOOKUP(A2586,CLIENTES!A:E,2,0),"CADASTRAR CLIENTE")</f>
        <v>CADASTRAR CLIENTE</v>
      </c>
      <c r="C2586" s="54" t="s">
        <v>816</v>
      </c>
      <c r="D2586" s="54" t="s">
        <v>837</v>
      </c>
      <c r="E2586" s="51">
        <v>3081.88</v>
      </c>
      <c r="F2586" s="48"/>
      <c r="G2586" s="51"/>
      <c r="H2586" s="52"/>
      <c r="I2586" s="53">
        <v>45986</v>
      </c>
    </row>
    <row r="2587" spans="1:9">
      <c r="A2587" s="47">
        <v>1971</v>
      </c>
      <c r="B2587" s="48" t="str">
        <f>IFERROR(VLOOKUP(A2587,CLIENTES!A:E,2,0),"CADASTRAR CLIENTE")</f>
        <v>LABORATORIO POPULAR LAB 7 LTDA</v>
      </c>
      <c r="C2587" s="54" t="s">
        <v>3</v>
      </c>
      <c r="D2587" s="54">
        <v>92196</v>
      </c>
      <c r="E2587" s="51">
        <v>851.29</v>
      </c>
      <c r="F2587" s="48"/>
      <c r="G2587" s="51"/>
      <c r="H2587" s="52"/>
      <c r="I2587" s="53">
        <v>45986</v>
      </c>
    </row>
    <row r="2588" spans="1:9">
      <c r="A2588" s="47">
        <v>1813</v>
      </c>
      <c r="B2588" s="48" t="str">
        <f>IFERROR(VLOOKUP(A2588,CLIENTES!A:E,2,0),"CADASTRAR CLIENTE")</f>
        <v>BIOMED LAB.ANAL.CLIN. SC  LTDA</v>
      </c>
      <c r="C2588" s="54" t="s">
        <v>3</v>
      </c>
      <c r="D2588" s="54">
        <v>92162</v>
      </c>
      <c r="E2588" s="51">
        <v>241.5</v>
      </c>
      <c r="F2588" s="48"/>
      <c r="G2588" s="51"/>
      <c r="H2588" s="52"/>
      <c r="I2588" s="53">
        <v>45986</v>
      </c>
    </row>
    <row r="2589" spans="1:9">
      <c r="A2589" s="47">
        <v>434</v>
      </c>
      <c r="B2589" s="48" t="str">
        <f>IFERROR(VLOOKUP(A2589,CLIENTES!A:E,2,0),"CADASTRAR CLIENTE")</f>
        <v>BIOLABOR LAB. ANAL. CLIN. SC LTDA.</v>
      </c>
      <c r="C2589" s="54" t="s">
        <v>3</v>
      </c>
      <c r="D2589" s="54">
        <v>92228</v>
      </c>
      <c r="E2589" s="51">
        <v>605</v>
      </c>
      <c r="F2589" s="48"/>
      <c r="G2589" s="51"/>
      <c r="H2589" s="52"/>
      <c r="I2589" s="53">
        <v>45986</v>
      </c>
    </row>
    <row r="2590" spans="1:9">
      <c r="A2590" s="47">
        <v>687</v>
      </c>
      <c r="B2590" s="48" t="str">
        <f>IFERROR(VLOOKUP(A2590,CLIENTES!A:E,2,0),"CADASTRAR CLIENTE")</f>
        <v>LAB ANAL CLIN VENDRAMINI S/S LTDA</v>
      </c>
      <c r="C2590" s="54" t="s">
        <v>3</v>
      </c>
      <c r="D2590" s="54">
        <v>91808</v>
      </c>
      <c r="E2590" s="51">
        <v>812.2</v>
      </c>
      <c r="F2590" s="48"/>
      <c r="G2590" s="51"/>
      <c r="H2590" s="52"/>
      <c r="I2590" s="53">
        <v>45987</v>
      </c>
    </row>
    <row r="2591" spans="1:9">
      <c r="A2591" s="47">
        <v>2022</v>
      </c>
      <c r="B2591" s="48" t="str">
        <f>IFERROR(VLOOKUP(A2591,CLIENTES!A:E,2,0),"CADASTRAR CLIENTE")</f>
        <v>LAB. MEDICO DR. MARICONDI S/C LTDA.</v>
      </c>
      <c r="C2591" s="54" t="s">
        <v>3</v>
      </c>
      <c r="D2591" s="54">
        <v>92104</v>
      </c>
      <c r="E2591" s="51">
        <v>77.06</v>
      </c>
      <c r="F2591" s="48"/>
      <c r="G2591" s="51"/>
      <c r="H2591" s="52"/>
      <c r="I2591" s="53">
        <v>45987</v>
      </c>
    </row>
    <row r="2592" spans="1:9">
      <c r="A2592" s="47">
        <v>50558</v>
      </c>
      <c r="B2592" s="48" t="str">
        <f>IFERROR(VLOOKUP(A2592,CLIENTES!A:E,2,0),"CADASTRAR CLIENTE")</f>
        <v>FUNDACAO PAULISTA DE TECNOLOGIA E EDUCACAO</v>
      </c>
      <c r="C2592" s="54" t="s">
        <v>3</v>
      </c>
      <c r="D2592" s="54">
        <v>91786</v>
      </c>
      <c r="E2592" s="51">
        <v>2494.3000000000002</v>
      </c>
      <c r="F2592" s="48"/>
      <c r="G2592" s="51"/>
      <c r="H2592" s="52"/>
      <c r="I2592" s="53">
        <v>45987</v>
      </c>
    </row>
    <row r="2593" spans="1:9">
      <c r="A2593" s="47">
        <v>3475</v>
      </c>
      <c r="B2593" s="48" t="str">
        <f>IFERROR(VLOOKUP(A2593,CLIENTES!A:E,2,0),"CADASTRAR CLIENTE")</f>
        <v>LQF LABORATORIO QUIMICO FARMACEUTICO RIO PRETO EIRELI - ME</v>
      </c>
      <c r="C2593" s="54" t="s">
        <v>3</v>
      </c>
      <c r="D2593" s="54">
        <v>91947</v>
      </c>
      <c r="E2593" s="51">
        <v>1907.06</v>
      </c>
      <c r="F2593" s="48"/>
      <c r="G2593" s="51"/>
      <c r="H2593" s="52"/>
      <c r="I2593" s="53">
        <v>45987</v>
      </c>
    </row>
    <row r="2594" spans="1:9">
      <c r="A2594" s="47">
        <v>2415</v>
      </c>
      <c r="B2594" s="48" t="str">
        <f>IFERROR(VLOOKUP(A2594,CLIENTES!A:E,2,0),"CADASTRAR CLIENTE")</f>
        <v>ROSSETTO E BARROS LABORATORIO DE ANALISES CLINICAS LTDA</v>
      </c>
      <c r="C2594" s="54" t="s">
        <v>3</v>
      </c>
      <c r="D2594" s="54" t="s">
        <v>838</v>
      </c>
      <c r="E2594" s="51">
        <v>415.71</v>
      </c>
      <c r="F2594" s="48"/>
      <c r="G2594" s="51"/>
      <c r="H2594" s="52"/>
      <c r="I2594" s="53">
        <v>45987</v>
      </c>
    </row>
    <row r="2595" spans="1:9">
      <c r="A2595" s="47">
        <v>1493</v>
      </c>
      <c r="B2595" s="48" t="str">
        <f>IFERROR(VLOOKUP(A2595,CLIENTES!A:E,2,0),"CADASTRAR CLIENTE")</f>
        <v>CEDIMA  CENTRO DE DIAG MONTE AZUL ANAL CLIN E CIT</v>
      </c>
      <c r="C2595" s="54" t="s">
        <v>3</v>
      </c>
      <c r="D2595" s="54">
        <v>92286</v>
      </c>
      <c r="E2595" s="51">
        <v>1825.35</v>
      </c>
      <c r="F2595" s="48"/>
      <c r="G2595" s="51"/>
      <c r="H2595" s="52"/>
      <c r="I2595" s="53">
        <v>45988</v>
      </c>
    </row>
    <row r="2596" spans="1:9">
      <c r="A2596" s="47">
        <v>2415</v>
      </c>
      <c r="B2596" s="48" t="str">
        <f>IFERROR(VLOOKUP(A2596,CLIENTES!A:E,2,0),"CADASTRAR CLIENTE")</f>
        <v>ROSSETTO E BARROS LABORATORIO DE ANALISES CLINICAS LTDA</v>
      </c>
      <c r="C2596" s="54" t="s">
        <v>3</v>
      </c>
      <c r="D2596" s="54">
        <v>922296</v>
      </c>
      <c r="E2596" s="51">
        <v>565.5</v>
      </c>
      <c r="F2596" s="48"/>
      <c r="G2596" s="51"/>
      <c r="H2596" s="52"/>
      <c r="I2596" s="53">
        <v>45988</v>
      </c>
    </row>
    <row r="2597" spans="1:9">
      <c r="A2597" s="47">
        <v>3017</v>
      </c>
      <c r="B2597" s="48" t="str">
        <f>IFERROR(VLOOKUP(A2597,CLIENTES!A:E,2,0),"CADASTRAR CLIENTE")</f>
        <v>IMUNOLAB LABORATORIO DE ANALISES CLINICAS LTDA ME</v>
      </c>
      <c r="C2597" s="54" t="s">
        <v>3</v>
      </c>
      <c r="D2597" s="54">
        <v>92303</v>
      </c>
      <c r="E2597" s="51">
        <v>1421.3</v>
      </c>
      <c r="F2597" s="48"/>
      <c r="G2597" s="51"/>
      <c r="H2597" s="52"/>
      <c r="I2597" s="53">
        <v>45988</v>
      </c>
    </row>
    <row r="2598" spans="1:9">
      <c r="A2598" s="47">
        <v>906</v>
      </c>
      <c r="B2598" s="48" t="str">
        <f>IFERROR(VLOOKUP(A2598,CLIENTES!A:E,2,0),"CADASTRAR CLIENTE")</f>
        <v>LABORATORIO ANAL. CLIN. DESCALVADO LTDA</v>
      </c>
      <c r="C2598" s="54" t="s">
        <v>3</v>
      </c>
      <c r="D2598" s="54" t="s">
        <v>839</v>
      </c>
      <c r="E2598" s="51">
        <v>2419.56</v>
      </c>
      <c r="F2598" s="48"/>
      <c r="G2598" s="51"/>
      <c r="H2598" s="52"/>
      <c r="I2598" s="53">
        <v>45988</v>
      </c>
    </row>
    <row r="2599" spans="1:9">
      <c r="A2599" s="47">
        <v>412</v>
      </c>
      <c r="B2599" s="48" t="str">
        <f>IFERROR(VLOOKUP(A2599,CLIENTES!A:E,2,0),"CADASTRAR CLIENTE")</f>
        <v>LAB.ANAL.CLIN.SAO MANUEL SC LTDA.</v>
      </c>
      <c r="C2599" s="54" t="s">
        <v>3</v>
      </c>
      <c r="D2599" s="54">
        <v>91819</v>
      </c>
      <c r="E2599" s="51">
        <v>534.15</v>
      </c>
      <c r="F2599" s="48"/>
      <c r="G2599" s="51"/>
      <c r="H2599" s="52"/>
      <c r="I2599" s="53">
        <v>45989</v>
      </c>
    </row>
    <row r="2600" spans="1:9">
      <c r="A2600" s="47">
        <v>1842</v>
      </c>
      <c r="B2600" s="48" t="str">
        <f>IFERROR(VLOOKUP(A2600,CLIENTES!A:E,2,0),"CADASTRAR CLIENTE")</f>
        <v>LABORATORIO UNILABVET EIRELI</v>
      </c>
      <c r="C2600" s="54" t="s">
        <v>3</v>
      </c>
      <c r="D2600" s="54" t="s">
        <v>841</v>
      </c>
      <c r="E2600" s="51">
        <v>1696.93</v>
      </c>
      <c r="F2600" s="48"/>
      <c r="G2600" s="51"/>
      <c r="H2600" s="52"/>
      <c r="I2600" s="53">
        <v>45989</v>
      </c>
    </row>
    <row r="2601" spans="1:9">
      <c r="A2601" s="47">
        <v>746</v>
      </c>
      <c r="B2601" s="48" t="str">
        <f>IFERROR(VLOOKUP(A2601,CLIENTES!A:E,2,0),"CADASTRAR CLIENTE")</f>
        <v>LAB.ANAL.CLIN.BIOCLIN SC LTDA.</v>
      </c>
      <c r="C2601" s="54" t="s">
        <v>3</v>
      </c>
      <c r="D2601" s="54" t="s">
        <v>840</v>
      </c>
      <c r="E2601" s="51">
        <v>1368.95</v>
      </c>
      <c r="F2601" s="48"/>
      <c r="G2601" s="51"/>
      <c r="H2601" s="52"/>
      <c r="I2601" s="53">
        <v>45989</v>
      </c>
    </row>
    <row r="2602" spans="1:9">
      <c r="A2602" s="47">
        <v>1206</v>
      </c>
      <c r="B2602" s="48" t="str">
        <f>IFERROR(VLOOKUP(A2602,CLIENTES!A:E,2,0),"CADASTRAR CLIENTE")</f>
        <v>LABORATORIO RIO NEGRO CENTER DE MARILIA  LTDA</v>
      </c>
      <c r="C2602" s="54" t="s">
        <v>3</v>
      </c>
      <c r="D2602" s="54">
        <v>92333</v>
      </c>
      <c r="E2602" s="51">
        <v>1485.84</v>
      </c>
      <c r="F2602" s="48"/>
      <c r="G2602" s="51"/>
      <c r="H2602" s="52"/>
      <c r="I2602" s="53">
        <v>45989</v>
      </c>
    </row>
    <row r="2603" spans="1:9">
      <c r="A2603" s="47">
        <v>50418</v>
      </c>
      <c r="B2603" s="48" t="str">
        <f>IFERROR(VLOOKUP(A2603,CLIENTES!A:E,2,0),"CADASTRAR CLIENTE")</f>
        <v>LABORATORIO SAO LUCAS DE BROTAS SS LTDA</v>
      </c>
      <c r="C2603" s="54" t="s">
        <v>3</v>
      </c>
      <c r="D2603" s="54" t="s">
        <v>842</v>
      </c>
      <c r="E2603" s="51">
        <v>479.3</v>
      </c>
      <c r="F2603" s="48"/>
      <c r="G2603" s="51"/>
      <c r="H2603" s="52"/>
      <c r="I2603" s="53">
        <v>45992</v>
      </c>
    </row>
    <row r="2604" spans="1:9">
      <c r="A2604" s="47">
        <v>618</v>
      </c>
      <c r="B2604" s="48" t="str">
        <f>IFERROR(VLOOKUP(A2604,CLIENTES!A:E,2,0),"CADASTRAR CLIENTE")</f>
        <v>LAB. ANAL. CLIN. POMPEIA</v>
      </c>
      <c r="C2604" s="54" t="s">
        <v>3</v>
      </c>
      <c r="D2604" s="54">
        <v>89660</v>
      </c>
      <c r="E2604" s="51">
        <v>1116.4000000000001</v>
      </c>
      <c r="F2604" s="48"/>
      <c r="G2604" s="51"/>
      <c r="H2604" s="52"/>
      <c r="I2604" s="53">
        <v>45992</v>
      </c>
    </row>
    <row r="2605" spans="1:9">
      <c r="A2605" s="47">
        <v>311</v>
      </c>
      <c r="B2605" s="48" t="str">
        <f>IFERROR(VLOOKUP(A2605,CLIENTES!A:E,2,0),"CADASTRAR CLIENTE")</f>
        <v>CENTRO DE ANAL.CLIN. UNILAB  SC LTDA.</v>
      </c>
      <c r="C2605" s="54" t="s">
        <v>3</v>
      </c>
      <c r="D2605" s="54" t="s">
        <v>843</v>
      </c>
      <c r="E2605" s="51">
        <v>1637.6</v>
      </c>
      <c r="F2605" s="48"/>
      <c r="G2605" s="51"/>
      <c r="H2605" s="52"/>
      <c r="I2605" s="53">
        <v>45992</v>
      </c>
    </row>
    <row r="2606" spans="1:9">
      <c r="A2606" s="47">
        <v>500243</v>
      </c>
      <c r="B2606" s="48" t="str">
        <f>IFERROR(VLOOKUP(A2606,CLIENTES!A:E,2,0),"CADASTRAR CLIENTE")</f>
        <v>UNIMED DE IBITINGA COOPERATIVA DE TRABALHO MEDICO</v>
      </c>
      <c r="C2606" s="54" t="s">
        <v>3</v>
      </c>
      <c r="D2606" s="54">
        <v>92372</v>
      </c>
      <c r="E2606" s="51">
        <v>10248.299999999999</v>
      </c>
      <c r="F2606" s="48"/>
      <c r="G2606" s="51"/>
      <c r="H2606" s="52"/>
      <c r="I2606" s="53">
        <v>45992</v>
      </c>
    </row>
    <row r="2607" spans="1:9">
      <c r="A2607" s="47">
        <v>434</v>
      </c>
      <c r="B2607" s="48" t="str">
        <f>IFERROR(VLOOKUP(A2607,CLIENTES!A:E,2,0),"CADASTRAR CLIENTE")</f>
        <v>BIOLABOR LAB. ANAL. CLIN. SC LTDA.</v>
      </c>
      <c r="C2607" s="54" t="s">
        <v>3</v>
      </c>
      <c r="D2607" s="54">
        <v>102162</v>
      </c>
      <c r="E2607" s="51">
        <v>535.16999999999996</v>
      </c>
      <c r="F2607" s="48"/>
      <c r="G2607" s="51"/>
      <c r="H2607" s="52"/>
      <c r="I2607" s="53">
        <v>45993</v>
      </c>
    </row>
    <row r="2608" spans="1:9">
      <c r="A2608" s="47">
        <v>408</v>
      </c>
      <c r="B2608" s="48" t="str">
        <f>IFERROR(VLOOKUP(A2608,CLIENTES!A:E,2,0),"CADASTRAR CLIENTE")</f>
        <v>FUND.DESENV.DE CIENCIAS FARMACEUTICAS</v>
      </c>
      <c r="C2608" s="54" t="s">
        <v>3</v>
      </c>
      <c r="D2608" s="54">
        <v>92455</v>
      </c>
      <c r="E2608" s="51">
        <v>2119.1999999999998</v>
      </c>
      <c r="F2608" s="48"/>
      <c r="G2608" s="51"/>
      <c r="H2608" s="52"/>
      <c r="I2608" s="53">
        <v>45993</v>
      </c>
    </row>
    <row r="2609" spans="1:9">
      <c r="A2609" s="47">
        <v>1122</v>
      </c>
      <c r="B2609" s="48" t="str">
        <f>IFERROR(VLOOKUP(A2609,CLIENTES!A:E,2,0),"CADASTRAR CLIENTE")</f>
        <v>FUNDEPAG</v>
      </c>
      <c r="C2609" s="54" t="s">
        <v>3</v>
      </c>
      <c r="D2609" s="54">
        <v>92469</v>
      </c>
      <c r="E2609" s="51">
        <v>1138.5999999999999</v>
      </c>
      <c r="F2609" s="48"/>
      <c r="G2609" s="51"/>
      <c r="H2609" s="52"/>
      <c r="I2609" s="53">
        <v>45993</v>
      </c>
    </row>
    <row r="2610" spans="1:9">
      <c r="A2610" s="47">
        <v>784</v>
      </c>
      <c r="B2610" s="48" t="str">
        <f>IFERROR(VLOOKUP(A2610,CLIENTES!A:E,2,0),"CADASTRAR CLIENTE")</f>
        <v>LAB.ANAL.CLIN. ALBERT SABIN SC LTDA.</v>
      </c>
      <c r="C2610" s="54" t="s">
        <v>3</v>
      </c>
      <c r="D2610" s="54">
        <v>92451</v>
      </c>
      <c r="E2610" s="51">
        <v>1705.56</v>
      </c>
      <c r="F2610" s="48"/>
      <c r="G2610" s="51"/>
      <c r="H2610" s="52"/>
      <c r="I2610" s="53">
        <v>45993</v>
      </c>
    </row>
    <row r="2611" spans="1:9">
      <c r="A2611" s="47">
        <v>1813</v>
      </c>
      <c r="B2611" s="48" t="str">
        <f>IFERROR(VLOOKUP(A2611,CLIENTES!A:E,2,0),"CADASTRAR CLIENTE")</f>
        <v>BIOMED LAB.ANAL.CLIN. SC  LTDA</v>
      </c>
      <c r="C2611" s="54" t="s">
        <v>3</v>
      </c>
      <c r="D2611" s="54">
        <v>92176</v>
      </c>
      <c r="E2611" s="51">
        <v>1080.26</v>
      </c>
      <c r="F2611" s="48"/>
      <c r="G2611" s="51"/>
      <c r="H2611" s="52"/>
      <c r="I2611" s="53">
        <v>45993</v>
      </c>
    </row>
    <row r="2612" spans="1:9">
      <c r="A2612" s="47">
        <v>50554</v>
      </c>
      <c r="B2612" s="48" t="str">
        <f>IFERROR(VLOOKUP(A2612,CLIENTES!A:E,2,0),"CADASTRAR CLIENTE")</f>
        <v>SAO ROQUE MEDICINA DIAGNOSTICA</v>
      </c>
      <c r="C2612" s="54" t="s">
        <v>3</v>
      </c>
      <c r="D2612" s="54">
        <v>91697</v>
      </c>
      <c r="E2612" s="51">
        <v>189</v>
      </c>
      <c r="F2612" s="48"/>
      <c r="G2612" s="51"/>
      <c r="H2612" s="52"/>
      <c r="I2612" s="53">
        <v>45994</v>
      </c>
    </row>
    <row r="2613" spans="1:9">
      <c r="A2613" s="47">
        <v>1989</v>
      </c>
      <c r="B2613" s="48" t="str">
        <f>IFERROR(VLOOKUP(A2613,CLIENTES!A:E,2,0),"CADASTRAR CLIENTE")</f>
        <v>SAO FRANCISCO ANAL. CLIN.</v>
      </c>
      <c r="C2613" s="54" t="s">
        <v>3</v>
      </c>
      <c r="D2613" s="54">
        <v>91899</v>
      </c>
      <c r="E2613" s="51">
        <v>798.03</v>
      </c>
      <c r="F2613" s="48"/>
      <c r="G2613" s="51"/>
      <c r="H2613" s="52"/>
      <c r="I2613" s="53">
        <v>45994</v>
      </c>
    </row>
    <row r="2614" spans="1:9">
      <c r="A2614" s="47">
        <v>572</v>
      </c>
      <c r="B2614" s="48" t="str">
        <f>IFERROR(VLOOKUP(A2614,CLIENTES!A:E,2,0),"CADASTRAR CLIENTE")</f>
        <v>LABORATORIO MULTIANALISES LTDA-ME</v>
      </c>
      <c r="C2614" s="54" t="s">
        <v>3</v>
      </c>
      <c r="D2614" s="54">
        <v>92491</v>
      </c>
      <c r="E2614" s="51">
        <v>431.52</v>
      </c>
      <c r="F2614" s="48"/>
      <c r="G2614" s="51"/>
      <c r="H2614" s="52"/>
      <c r="I2614" s="53">
        <v>45994</v>
      </c>
    </row>
    <row r="2615" spans="1:9">
      <c r="A2615" s="47">
        <v>1493</v>
      </c>
      <c r="B2615" s="48" t="str">
        <f>IFERROR(VLOOKUP(A2615,CLIENTES!A:E,2,0),"CADASTRAR CLIENTE")</f>
        <v>CEDIMA  CENTRO DE DIAG MONTE AZUL ANAL CLIN E CIT</v>
      </c>
      <c r="C2615" s="54" t="s">
        <v>3</v>
      </c>
      <c r="D2615" s="54">
        <v>92501</v>
      </c>
      <c r="E2615" s="51">
        <v>408</v>
      </c>
      <c r="F2615" s="48"/>
      <c r="G2615" s="51"/>
      <c r="H2615" s="52"/>
      <c r="I2615" s="53">
        <v>45994</v>
      </c>
    </row>
    <row r="2616" spans="1:9">
      <c r="A2616" s="47">
        <v>2415</v>
      </c>
      <c r="B2616" s="48" t="str">
        <f>IFERROR(VLOOKUP(A2616,CLIENTES!A:E,2,0),"CADASTRAR CLIENTE")</f>
        <v>ROSSETTO E BARROS LABORATORIO DE ANALISES CLINICAS LTDA</v>
      </c>
      <c r="C2616" s="54" t="s">
        <v>3</v>
      </c>
      <c r="D2616" s="54" t="s">
        <v>844</v>
      </c>
      <c r="E2616" s="51">
        <v>636.65</v>
      </c>
      <c r="F2616" s="48"/>
      <c r="G2616" s="51"/>
      <c r="H2616" s="52"/>
      <c r="I2616" s="53">
        <v>45994</v>
      </c>
    </row>
    <row r="2617" spans="1:9">
      <c r="A2617" s="47">
        <v>761</v>
      </c>
      <c r="B2617" s="48" t="str">
        <f>IFERROR(VLOOKUP(A2617,CLIENTES!A:E,2,0),"CADASTRAR CLIENTE")</f>
        <v>EXAME CENTRO DIAG.M.ARACATUBA SC LTDA.</v>
      </c>
      <c r="C2617" s="54" t="s">
        <v>3</v>
      </c>
      <c r="D2617" s="54" t="s">
        <v>845</v>
      </c>
      <c r="E2617" s="51">
        <v>32130.45</v>
      </c>
      <c r="F2617" s="48"/>
      <c r="G2617" s="51"/>
      <c r="H2617" s="52"/>
      <c r="I2617" s="53">
        <v>45994</v>
      </c>
    </row>
    <row r="2618" spans="1:9">
      <c r="A2618" s="47">
        <v>2911</v>
      </c>
      <c r="B2618" s="48" t="str">
        <f>IFERROR(VLOOKUP(A2618,CLIENTES!A:E,2,0),"CADASTRAR CLIENTE")</f>
        <v>BIOLIFE-LABORATORIO DE ANALISES CLINICAS LTDA</v>
      </c>
      <c r="C2618" s="54" t="s">
        <v>3</v>
      </c>
      <c r="D2618" s="54" t="s">
        <v>846</v>
      </c>
      <c r="E2618" s="51">
        <v>1806.35</v>
      </c>
      <c r="F2618" s="48"/>
      <c r="G2618" s="51"/>
      <c r="H2618" s="52"/>
      <c r="I2618" s="53">
        <v>45994</v>
      </c>
    </row>
    <row r="2619" spans="1:9">
      <c r="A2619" s="47">
        <v>663</v>
      </c>
      <c r="B2619" s="48" t="str">
        <f>IFERROR(VLOOKUP(A2619,CLIENTES!A:E,2,0),"CADASTRAR CLIENTE")</f>
        <v>LAB. MEDICO GUIMARAES</v>
      </c>
      <c r="C2619" s="54" t="s">
        <v>3</v>
      </c>
      <c r="D2619" s="54">
        <v>92534</v>
      </c>
      <c r="E2619" s="51">
        <v>1856.5</v>
      </c>
      <c r="F2619" s="48"/>
      <c r="G2619" s="51"/>
      <c r="H2619" s="52"/>
      <c r="I2619" s="53">
        <v>45994</v>
      </c>
    </row>
    <row r="2620" spans="1:9">
      <c r="A2620" s="47">
        <v>2397</v>
      </c>
      <c r="B2620" s="48" t="str">
        <f>IFERROR(VLOOKUP(A2620,CLIENTES!A:E,2,0),"CADASTRAR CLIENTE")</f>
        <v>LAB ANAL CLINICAS SANTA RITA S/C LTDA</v>
      </c>
      <c r="C2620" s="54" t="s">
        <v>3</v>
      </c>
      <c r="D2620" s="54">
        <v>92102</v>
      </c>
      <c r="E2620" s="51">
        <v>851.3</v>
      </c>
      <c r="F2620" s="48"/>
      <c r="G2620" s="51"/>
      <c r="H2620" s="52"/>
      <c r="I2620" s="53">
        <v>45994</v>
      </c>
    </row>
    <row r="2621" spans="1:9">
      <c r="A2621" s="47">
        <v>2199</v>
      </c>
      <c r="B2621" s="48" t="str">
        <f>IFERROR(VLOOKUP(A2621,CLIENTES!A:E,2,0),"CADASTRAR CLIENTE")</f>
        <v>SOCIEDADE EDUCACIONAL UBERABENSE</v>
      </c>
      <c r="C2621" s="54" t="s">
        <v>738</v>
      </c>
      <c r="D2621" s="54" t="s">
        <v>847</v>
      </c>
      <c r="E2621" s="51">
        <v>1446.2</v>
      </c>
      <c r="F2621" s="48"/>
      <c r="G2621" s="51"/>
      <c r="H2621" s="52"/>
      <c r="I2621" s="53">
        <v>45995</v>
      </c>
    </row>
    <row r="2622" spans="1:9">
      <c r="A2622" s="47">
        <v>663</v>
      </c>
      <c r="B2622" s="48" t="str">
        <f>IFERROR(VLOOKUP(A2622,CLIENTES!A:E,2,0),"CADASTRAR CLIENTE")</f>
        <v>LAB. MEDICO GUIMARAES</v>
      </c>
      <c r="C2622" s="54" t="s">
        <v>3</v>
      </c>
      <c r="D2622" s="54">
        <v>92306</v>
      </c>
      <c r="E2622" s="51"/>
      <c r="F2622" s="48"/>
      <c r="G2622" s="51">
        <v>6600</v>
      </c>
      <c r="H2622" s="52"/>
      <c r="I2622" s="53">
        <v>45995</v>
      </c>
    </row>
    <row r="2623" spans="1:9">
      <c r="A2623" s="47">
        <v>663</v>
      </c>
      <c r="B2623" s="48" t="str">
        <f>IFERROR(VLOOKUP(A2623,CLIENTES!A:E,2,0),"CADASTRAR CLIENTE")</f>
        <v>LAB. MEDICO GUIMARAES</v>
      </c>
      <c r="C2623" s="54" t="s">
        <v>3</v>
      </c>
      <c r="D2623" s="54">
        <v>92534</v>
      </c>
      <c r="E2623" s="51">
        <v>2172.4</v>
      </c>
      <c r="F2623" s="48"/>
      <c r="G2623" s="51"/>
      <c r="H2623" s="52"/>
      <c r="I2623" s="53">
        <v>45995</v>
      </c>
    </row>
    <row r="2624" spans="1:9">
      <c r="A2624" s="47">
        <v>1164</v>
      </c>
      <c r="B2624" s="48" t="str">
        <f>IFERROR(VLOOKUP(A2624,CLIENTES!A:E,2,0),"CADASTRAR CLIENTE")</f>
        <v>LAB. ANAL. CLIN. SAO LOURENCO S/C LTDA</v>
      </c>
      <c r="C2624" s="54" t="s">
        <v>3</v>
      </c>
      <c r="D2624" s="54" t="s">
        <v>848</v>
      </c>
      <c r="E2624" s="51">
        <v>1672.8</v>
      </c>
      <c r="F2624" s="48"/>
      <c r="G2624" s="51"/>
      <c r="H2624" s="52"/>
      <c r="I2624" s="53">
        <v>45995</v>
      </c>
    </row>
    <row r="2625" spans="1:9">
      <c r="A2625" s="47">
        <v>50465</v>
      </c>
      <c r="B2625" s="48" t="str">
        <f>IFERROR(VLOOKUP(A2625,CLIENTES!A:E,2,0),"CADASTRAR CLIENTE")</f>
        <v>LABORATORIO DE ANALISES CLINICAS VIDA BIRIGUI LTDA</v>
      </c>
      <c r="C2625" s="54" t="s">
        <v>3</v>
      </c>
      <c r="D2625" s="54" t="s">
        <v>849</v>
      </c>
      <c r="E2625" s="51">
        <v>1135.4100000000001</v>
      </c>
      <c r="F2625" s="48"/>
      <c r="G2625" s="51"/>
      <c r="H2625" s="52"/>
      <c r="I2625" s="53">
        <v>45995</v>
      </c>
    </row>
    <row r="2626" spans="1:9">
      <c r="A2626" s="47">
        <v>2022</v>
      </c>
      <c r="B2626" s="48" t="str">
        <f>IFERROR(VLOOKUP(A2626,CLIENTES!A:E,2,0),"CADASTRAR CLIENTE")</f>
        <v>LAB. MEDICO DR. MARICONDI S/C LTDA.</v>
      </c>
      <c r="C2626" s="54" t="s">
        <v>3</v>
      </c>
      <c r="D2626" s="54" t="s">
        <v>850</v>
      </c>
      <c r="E2626" s="51">
        <v>8602.7999999999993</v>
      </c>
      <c r="F2626" s="48"/>
      <c r="G2626" s="51"/>
      <c r="H2626" s="52"/>
      <c r="I2626" s="53">
        <v>45996</v>
      </c>
    </row>
    <row r="2627" spans="1:9">
      <c r="A2627" s="47">
        <v>1058</v>
      </c>
      <c r="B2627" s="48" t="str">
        <f>IFERROR(VLOOKUP(A2627,CLIENTES!A:E,2,0),"CADASTRAR CLIENTE")</f>
        <v>LAB. ANAL. CLIN. DR ARNALDO BUAINAIN SS LTDA</v>
      </c>
      <c r="C2627" s="54" t="s">
        <v>3</v>
      </c>
      <c r="D2627" s="54">
        <v>92630</v>
      </c>
      <c r="E2627" s="51">
        <v>934.45</v>
      </c>
      <c r="F2627" s="48"/>
      <c r="G2627" s="51"/>
      <c r="H2627" s="52"/>
      <c r="I2627" s="53">
        <v>45996</v>
      </c>
    </row>
    <row r="2628" spans="1:9">
      <c r="A2628" s="47">
        <v>408</v>
      </c>
      <c r="B2628" s="48" t="str">
        <f>IFERROR(VLOOKUP(A2628,CLIENTES!A:E,2,0),"CADASTRAR CLIENTE")</f>
        <v>FUND.DESENV.DE CIENCIAS FARMACEUTICAS</v>
      </c>
      <c r="C2628" s="54" t="s">
        <v>3</v>
      </c>
      <c r="D2628" s="54">
        <v>92611</v>
      </c>
      <c r="E2628" s="51">
        <v>537</v>
      </c>
      <c r="F2628" s="48"/>
      <c r="G2628" s="51"/>
      <c r="H2628" s="52"/>
      <c r="I2628" s="53">
        <v>45999</v>
      </c>
    </row>
    <row r="2629" spans="1:9">
      <c r="A2629" s="47">
        <v>3153</v>
      </c>
      <c r="B2629" s="48" t="str">
        <f>IFERROR(VLOOKUP(A2629,CLIENTES!A:E,2,0),"CADASTRAR CLIENTE")</f>
        <v>UNIMED DE TUPA COOPERATIVA DE TRABALHO MEDICO</v>
      </c>
      <c r="C2629" s="54" t="s">
        <v>3</v>
      </c>
      <c r="D2629" s="54">
        <v>92495</v>
      </c>
      <c r="E2629" s="51">
        <v>1219.9100000000001</v>
      </c>
      <c r="F2629" s="48"/>
      <c r="G2629" s="51"/>
      <c r="H2629" s="52"/>
      <c r="I2629" s="53">
        <v>45999</v>
      </c>
    </row>
    <row r="2630" spans="1:9">
      <c r="A2630" s="47">
        <v>480</v>
      </c>
      <c r="B2630" s="48" t="str">
        <f>IFERROR(VLOOKUP(A2630,CLIENTES!A:E,2,0),"CADASTRAR CLIENTE")</f>
        <v>LAB SAO LUCAS</v>
      </c>
      <c r="C2630" s="54" t="s">
        <v>3</v>
      </c>
      <c r="D2630" s="54">
        <v>92668</v>
      </c>
      <c r="E2630" s="51">
        <v>3626.1</v>
      </c>
      <c r="F2630" s="48"/>
      <c r="G2630" s="51"/>
      <c r="H2630" s="52"/>
      <c r="I2630" s="53">
        <v>45999</v>
      </c>
    </row>
    <row r="2631" spans="1:9">
      <c r="A2631" s="47">
        <v>2163</v>
      </c>
      <c r="B2631" s="48" t="str">
        <f>IFERROR(VLOOKUP(A2631,CLIENTES!A:E,2,0),"CADASTRAR CLIENTE")</f>
        <v>BIO-LAB SAO JUDAS TADEU S/C LTDA - ME</v>
      </c>
      <c r="C2631" s="54" t="s">
        <v>3</v>
      </c>
      <c r="D2631" s="54">
        <v>92701</v>
      </c>
      <c r="E2631" s="51">
        <v>1770</v>
      </c>
      <c r="F2631" s="48"/>
      <c r="G2631" s="51"/>
      <c r="H2631" s="52"/>
      <c r="I2631" s="53">
        <v>45999</v>
      </c>
    </row>
    <row r="2632" spans="1:9">
      <c r="A2632" s="47">
        <v>690</v>
      </c>
      <c r="B2632" s="48" t="str">
        <f>IFERROR(VLOOKUP(A2632,CLIENTES!A:E,2,0),"CADASTRAR CLIENTE")</f>
        <v>SAO ROQUE MEDICINA DIAGNOSTICA LTDA EPP</v>
      </c>
      <c r="C2632" s="54" t="s">
        <v>3</v>
      </c>
      <c r="D2632" s="54" t="s">
        <v>851</v>
      </c>
      <c r="E2632" s="51">
        <v>2896.78</v>
      </c>
      <c r="F2632" s="48"/>
      <c r="G2632" s="51"/>
      <c r="H2632" s="52"/>
      <c r="I2632" s="53">
        <v>45999</v>
      </c>
    </row>
    <row r="2633" spans="1:9">
      <c r="A2633" s="47">
        <v>2199</v>
      </c>
      <c r="B2633" s="48" t="str">
        <f>IFERROR(VLOOKUP(A2633,CLIENTES!A:E,2,0),"CADASTRAR CLIENTE")</f>
        <v>SOCIEDADE EDUCACIONAL UBERABENSE</v>
      </c>
      <c r="C2633" s="54" t="s">
        <v>3</v>
      </c>
      <c r="D2633" s="54">
        <v>102198</v>
      </c>
      <c r="E2633" s="51">
        <v>96.8</v>
      </c>
      <c r="F2633" s="48"/>
      <c r="G2633" s="51"/>
      <c r="H2633" s="52"/>
      <c r="I2633" s="53">
        <v>46000</v>
      </c>
    </row>
    <row r="2634" spans="1:9">
      <c r="A2634" s="47">
        <v>3018</v>
      </c>
      <c r="B2634" s="48" t="str">
        <f>IFERROR(VLOOKUP(A2634,CLIENTES!A:E,2,0),"CADASTRAR CLIENTE")</f>
        <v>NP- LABORATORIO DE ANALISES CLINICAS LTDA</v>
      </c>
      <c r="C2634" s="54" t="s">
        <v>3</v>
      </c>
      <c r="D2634" s="54">
        <v>92726</v>
      </c>
      <c r="E2634" s="51">
        <v>441.48</v>
      </c>
      <c r="F2634" s="48"/>
      <c r="G2634" s="51"/>
      <c r="H2634" s="52"/>
      <c r="I2634" s="53">
        <v>46000</v>
      </c>
    </row>
    <row r="2635" spans="1:9">
      <c r="A2635" s="47">
        <v>761</v>
      </c>
      <c r="B2635" s="48" t="str">
        <f>IFERROR(VLOOKUP(A2635,CLIENTES!A:E,2,0),"CADASTRAR CLIENTE")</f>
        <v>EXAME CENTRO DIAG.M.ARACATUBA SC LTDA.</v>
      </c>
      <c r="C2635" s="54" t="s">
        <v>3</v>
      </c>
      <c r="D2635" s="54" t="s">
        <v>852</v>
      </c>
      <c r="E2635" s="51">
        <v>776.13</v>
      </c>
      <c r="F2635" s="48"/>
      <c r="G2635" s="51"/>
      <c r="H2635" s="52"/>
      <c r="I2635" s="53">
        <v>46000</v>
      </c>
    </row>
    <row r="2636" spans="1:9">
      <c r="A2636" s="47">
        <v>50312</v>
      </c>
      <c r="B2636" s="48" t="str">
        <f>IFERROR(VLOOKUP(A2636,CLIENTES!A:E,2,0),"CADASTRAR CLIENTE")</f>
        <v>LAB-MED LAB.ANALISES CLINICAS</v>
      </c>
      <c r="C2636" s="54" t="s">
        <v>3</v>
      </c>
      <c r="D2636" s="54">
        <v>92532</v>
      </c>
      <c r="E2636" s="51">
        <v>485.25</v>
      </c>
      <c r="F2636" s="48"/>
      <c r="G2636" s="51"/>
      <c r="H2636" s="52"/>
      <c r="I2636" s="53">
        <v>46000</v>
      </c>
    </row>
    <row r="2637" spans="1:9">
      <c r="A2637" s="47">
        <v>50219</v>
      </c>
      <c r="B2637" s="48" t="str">
        <f>IFERROR(VLOOKUP(A2637,CLIENTES!A:E,2,0),"CADASTRAR CLIENTE")</f>
        <v>UNIPREV LAB DE ANALISES LOCACAO DE BENS E REPAROS LTDA EPP</v>
      </c>
      <c r="C2637" s="54" t="s">
        <v>3</v>
      </c>
      <c r="D2637" s="54" t="s">
        <v>853</v>
      </c>
      <c r="E2637" s="51">
        <v>1251.3</v>
      </c>
      <c r="F2637" s="48"/>
      <c r="G2637" s="51"/>
      <c r="H2637" s="52"/>
      <c r="I2637" s="53">
        <v>46000</v>
      </c>
    </row>
    <row r="2638" spans="1:9">
      <c r="A2638" s="47">
        <v>2198</v>
      </c>
      <c r="B2638" s="48" t="str">
        <f>IFERROR(VLOOKUP(A2638,CLIENTES!A:E,2,0),"CADASTRAR CLIENTE")</f>
        <v>LABORATORIO BIONALISES S.S. LTDA</v>
      </c>
      <c r="C2638" s="54" t="s">
        <v>3</v>
      </c>
      <c r="D2638" s="54">
        <v>92768</v>
      </c>
      <c r="E2638" s="51">
        <v>3273.4</v>
      </c>
      <c r="F2638" s="48"/>
      <c r="G2638" s="51"/>
      <c r="H2638" s="52"/>
      <c r="I2638" s="53">
        <v>46001</v>
      </c>
    </row>
    <row r="2639" spans="1:9">
      <c r="A2639" s="47">
        <v>2199</v>
      </c>
      <c r="B2639" s="48" t="str">
        <f>IFERROR(VLOOKUP(A2639,CLIENTES!A:E,2,0),"CADASTRAR CLIENTE")</f>
        <v>SOCIEDADE EDUCACIONAL UBERABENSE</v>
      </c>
      <c r="C2639" s="54" t="s">
        <v>738</v>
      </c>
      <c r="D2639" s="54">
        <v>92411</v>
      </c>
      <c r="E2639" s="51">
        <v>640</v>
      </c>
      <c r="F2639" s="48"/>
      <c r="G2639" s="51"/>
      <c r="H2639" s="52"/>
      <c r="I2639" s="53">
        <v>46001</v>
      </c>
    </row>
    <row r="2640" spans="1:9">
      <c r="A2640" s="47">
        <v>3475</v>
      </c>
      <c r="B2640" s="48" t="str">
        <f>IFERROR(VLOOKUP(A2640,CLIENTES!A:E,2,0),"CADASTRAR CLIENTE")</f>
        <v>LQF LABORATORIO QUIMICO FARMACEUTICO RIO PRETO EIRELI - ME</v>
      </c>
      <c r="C2640" s="54" t="s">
        <v>3</v>
      </c>
      <c r="D2640" s="54" t="s">
        <v>854</v>
      </c>
      <c r="E2640" s="51">
        <v>339.36</v>
      </c>
      <c r="F2640" s="48"/>
      <c r="G2640" s="51"/>
      <c r="H2640" s="52"/>
      <c r="I2640" s="53">
        <v>46001</v>
      </c>
    </row>
    <row r="2641" spans="1:9">
      <c r="A2641" s="47">
        <v>50558</v>
      </c>
      <c r="B2641" s="48" t="str">
        <f>IFERROR(VLOOKUP(A2641,CLIENTES!A:E,2,0),"CADASTRAR CLIENTE")</f>
        <v>FUNDACAO PAULISTA DE TECNOLOGIA E EDUCACAO</v>
      </c>
      <c r="C2641" s="54" t="s">
        <v>3</v>
      </c>
      <c r="D2641" s="54" t="s">
        <v>855</v>
      </c>
      <c r="E2641" s="51">
        <v>723.2</v>
      </c>
      <c r="F2641" s="48"/>
      <c r="G2641" s="51"/>
      <c r="H2641" s="52"/>
      <c r="I2641" s="53">
        <v>46002</v>
      </c>
    </row>
    <row r="2642" spans="1:9">
      <c r="A2642" s="47">
        <v>708</v>
      </c>
      <c r="B2642" s="48" t="str">
        <f>IFERROR(VLOOKUP(A2642,CLIENTES!A:E,2,0),"CADASTRAR CLIENTE")</f>
        <v>IMEDI INST.MEDICO DE PAT.E DIAGNOSTICO SC LTDA.</v>
      </c>
      <c r="C2642" s="54" t="s">
        <v>3</v>
      </c>
      <c r="D2642" s="54">
        <v>92787</v>
      </c>
      <c r="E2642" s="51">
        <v>2030</v>
      </c>
      <c r="F2642" s="48"/>
      <c r="G2642" s="51"/>
      <c r="H2642" s="52"/>
      <c r="I2642" s="53">
        <v>46001</v>
      </c>
    </row>
    <row r="2643" spans="1:9">
      <c r="A2643" s="47">
        <v>50558</v>
      </c>
      <c r="B2643" s="48" t="str">
        <f>IFERROR(VLOOKUP(A2643,CLIENTES!A:E,2,0),"CADASTRAR CLIENTE")</f>
        <v>FUNDACAO PAULISTA DE TECNOLOGIA E EDUCACAO</v>
      </c>
      <c r="C2643" s="54" t="s">
        <v>3</v>
      </c>
      <c r="D2643" s="54">
        <v>92797</v>
      </c>
      <c r="E2643" s="51">
        <v>6081</v>
      </c>
      <c r="F2643" s="48"/>
      <c r="G2643" s="51"/>
      <c r="H2643" s="52"/>
      <c r="I2643" s="53">
        <v>46002</v>
      </c>
    </row>
    <row r="2644" spans="1:9">
      <c r="A2644" s="47">
        <v>1842</v>
      </c>
      <c r="B2644" s="48" t="str">
        <f>IFERROR(VLOOKUP(A2644,CLIENTES!A:E,2,0),"CADASTRAR CLIENTE")</f>
        <v>LABORATORIO UNILABVET EIRELI</v>
      </c>
      <c r="C2644" s="54" t="s">
        <v>3</v>
      </c>
      <c r="D2644" s="54">
        <v>92165</v>
      </c>
      <c r="E2644" s="51">
        <v>120.13</v>
      </c>
      <c r="F2644" s="48"/>
      <c r="G2644" s="51"/>
      <c r="H2644" s="52"/>
      <c r="I2644" s="53">
        <v>46002</v>
      </c>
    </row>
    <row r="2645" spans="1:9">
      <c r="A2645" s="47">
        <v>762</v>
      </c>
      <c r="B2645" s="48" t="str">
        <f>IFERROR(VLOOKUP(A2645,CLIENTES!A:E,2,0),"CADASTRAR CLIENTE")</f>
        <v>STA. CASA MISERICORDIA DE ARACATUBA</v>
      </c>
      <c r="C2645" s="54" t="s">
        <v>3</v>
      </c>
      <c r="D2645" s="54">
        <v>92772</v>
      </c>
      <c r="E2645" s="51">
        <v>8180.18</v>
      </c>
      <c r="F2645" s="48"/>
      <c r="G2645" s="51"/>
      <c r="H2645" s="52"/>
      <c r="I2645" s="53">
        <v>46002</v>
      </c>
    </row>
    <row r="2646" spans="1:9">
      <c r="A2646" s="47">
        <v>874</v>
      </c>
      <c r="B2646" s="48" t="str">
        <f>IFERROR(VLOOKUP(A2646,CLIENTES!A:E,2,0),"CADASTRAR CLIENTE")</f>
        <v>LAB.ANAL.CLIN ABI JAUDI SC LTDA.</v>
      </c>
      <c r="C2646" s="54" t="s">
        <v>3</v>
      </c>
      <c r="D2646" s="54">
        <v>92815</v>
      </c>
      <c r="E2646" s="51">
        <v>7538.76</v>
      </c>
      <c r="F2646" s="48"/>
      <c r="G2646" s="51"/>
      <c r="H2646" s="52"/>
      <c r="I2646" s="53">
        <v>46002</v>
      </c>
    </row>
    <row r="2647" spans="1:9">
      <c r="A2647" s="47">
        <v>50418</v>
      </c>
      <c r="B2647" s="48" t="str">
        <f>IFERROR(VLOOKUP(A2647,CLIENTES!A:E,2,0),"CADASTRAR CLIENTE")</f>
        <v>LABORATORIO SAO LUCAS DE BROTAS SS LTDA</v>
      </c>
      <c r="C2647" s="54" t="s">
        <v>3</v>
      </c>
      <c r="D2647" s="54">
        <v>92828</v>
      </c>
      <c r="E2647" s="51">
        <v>927.9</v>
      </c>
      <c r="F2647" s="48"/>
      <c r="G2647" s="51"/>
      <c r="H2647" s="52"/>
      <c r="I2647" s="53">
        <v>46002</v>
      </c>
    </row>
    <row r="2648" spans="1:9">
      <c r="A2648" s="47">
        <v>500149</v>
      </c>
      <c r="B2648" s="48" t="str">
        <f>IFERROR(VLOOKUP(A2648,CLIENTES!A:E,2,0),"CADASTRAR CLIENTE")</f>
        <v>SAO ROQUE MEDICINA DIAGNOSTICA LTDA</v>
      </c>
      <c r="C2648" s="54" t="s">
        <v>3</v>
      </c>
      <c r="D2648" s="54" t="s">
        <v>856</v>
      </c>
      <c r="E2648" s="51">
        <v>1330.55</v>
      </c>
      <c r="F2648" s="48"/>
      <c r="G2648" s="51"/>
      <c r="H2648" s="52"/>
      <c r="I2648" s="53">
        <v>46002</v>
      </c>
    </row>
    <row r="2649" spans="1:9">
      <c r="A2649" s="47">
        <v>2022</v>
      </c>
      <c r="B2649" s="48" t="str">
        <f>IFERROR(VLOOKUP(A2649,CLIENTES!A:E,2,0),"CADASTRAR CLIENTE")</f>
        <v>LAB. MEDICO DR. MARICONDI S/C LTDA.</v>
      </c>
      <c r="C2649" s="54" t="s">
        <v>3</v>
      </c>
      <c r="D2649" s="54">
        <v>92841</v>
      </c>
      <c r="E2649" s="51">
        <v>990.06</v>
      </c>
      <c r="F2649" s="48"/>
      <c r="G2649" s="51"/>
      <c r="H2649" s="52"/>
      <c r="I2649" s="53">
        <v>46002</v>
      </c>
    </row>
    <row r="2650" spans="1:9">
      <c r="A2650" s="47">
        <v>51061</v>
      </c>
      <c r="B2650" s="48" t="str">
        <f>IFERROR(VLOOKUP(A2650,CLIENTES!A:E,2,0),"CADASTRAR CLIENTE")</f>
        <v>UNIMED AMPARO COOPERATIVA DE TRABALHO MEDICO</v>
      </c>
      <c r="C2650" s="54" t="s">
        <v>3</v>
      </c>
      <c r="D2650" s="54">
        <v>92842</v>
      </c>
      <c r="E2650" s="51">
        <v>250</v>
      </c>
      <c r="F2650" s="48"/>
      <c r="G2650" s="51"/>
      <c r="H2650" s="52"/>
      <c r="I2650" s="53">
        <v>46002</v>
      </c>
    </row>
    <row r="2651" spans="1:9">
      <c r="A2651" s="47">
        <v>3194</v>
      </c>
      <c r="B2651" s="48" t="str">
        <f>IFERROR(VLOOKUP(A2651,CLIENTES!A:E,2,0),"CADASTRAR CLIENTE")</f>
        <v>CENTRO DE DIAGNOSTICOS CONTROLE LTDA</v>
      </c>
      <c r="C2651" s="54" t="s">
        <v>3</v>
      </c>
      <c r="D2651" s="54">
        <v>92857</v>
      </c>
      <c r="E2651" s="51">
        <v>572.45000000000005</v>
      </c>
      <c r="F2651" s="48"/>
      <c r="G2651" s="51"/>
      <c r="H2651" s="52"/>
      <c r="I2651" s="53">
        <v>46003</v>
      </c>
    </row>
    <row r="2652" spans="1:9">
      <c r="A2652" s="47">
        <v>434</v>
      </c>
      <c r="B2652" s="48" t="str">
        <f>IFERROR(VLOOKUP(A2652,CLIENTES!A:E,2,0),"CADASTRAR CLIENTE")</f>
        <v>BIOLABOR LAB. ANAL. CLIN. SC LTDA.</v>
      </c>
      <c r="C2652" s="54" t="s">
        <v>3</v>
      </c>
      <c r="D2652" s="54">
        <v>102300</v>
      </c>
      <c r="E2652" s="51">
        <v>869.62</v>
      </c>
      <c r="F2652" s="48"/>
      <c r="G2652" s="51"/>
      <c r="H2652" s="52"/>
      <c r="I2652" s="53">
        <v>46003</v>
      </c>
    </row>
    <row r="2653" spans="1:9">
      <c r="A2653" s="47">
        <v>432</v>
      </c>
      <c r="B2653" s="48" t="str">
        <f>IFERROR(VLOOKUP(A2653,CLIENTES!A:E,2,0),"CADASTRAR CLIENTE")</f>
        <v>LABORATORIO PASTEUR HEMATOLOGIA E MICROBIOLOGIA S/S LTDA</v>
      </c>
      <c r="C2653" s="54" t="s">
        <v>3</v>
      </c>
      <c r="D2653" s="54" t="s">
        <v>857</v>
      </c>
      <c r="E2653" s="51">
        <v>2516.1</v>
      </c>
      <c r="F2653" s="48"/>
      <c r="G2653" s="51"/>
      <c r="H2653" s="52"/>
      <c r="I2653" s="53">
        <v>46003</v>
      </c>
    </row>
    <row r="2654" spans="1:9">
      <c r="A2654" s="47">
        <v>51182</v>
      </c>
      <c r="B2654" s="48" t="str">
        <f>IFERROR(VLOOKUP(A2654,CLIENTES!A:E,2,0),"CADASTRAR CLIENTE")</f>
        <v>GENNER FABRIS FLORENCIO OLIVO</v>
      </c>
      <c r="C2654" s="54" t="s">
        <v>3</v>
      </c>
      <c r="D2654" s="54">
        <v>92355</v>
      </c>
      <c r="E2654" s="51">
        <v>1372.78</v>
      </c>
      <c r="F2654" s="48"/>
      <c r="G2654" s="51"/>
      <c r="H2654" s="52"/>
      <c r="I2654" s="53">
        <v>46003</v>
      </c>
    </row>
    <row r="2655" spans="1:9">
      <c r="A2655" s="47">
        <v>500345</v>
      </c>
      <c r="B2655" s="48" t="str">
        <f>IFERROR(VLOOKUP(A2655,CLIENTES!A:E,2,0),"CADASTRAR CLIENTE")</f>
        <v>cliente claudia</v>
      </c>
      <c r="C2655" s="54" t="s">
        <v>738</v>
      </c>
      <c r="D2655" s="54">
        <v>92916</v>
      </c>
      <c r="E2655" s="51">
        <v>804</v>
      </c>
      <c r="F2655" s="48"/>
      <c r="G2655" s="51"/>
      <c r="H2655" s="52"/>
      <c r="I2655" s="53">
        <v>46003</v>
      </c>
    </row>
    <row r="2656" spans="1:9">
      <c r="A2656" s="47">
        <v>475</v>
      </c>
      <c r="B2656" s="48" t="str">
        <f>IFERROR(VLOOKUP(A2656,CLIENTES!A:E,2,0),"CADASTRAR CLIENTE")</f>
        <v>LABORATORIO DE ANALISES CLINICAS SRC LTDA</v>
      </c>
      <c r="C2656" s="54" t="s">
        <v>860</v>
      </c>
      <c r="D2656" s="54" t="s">
        <v>861</v>
      </c>
      <c r="E2656" s="51">
        <v>10207.620000000001</v>
      </c>
      <c r="F2656" s="48"/>
      <c r="G2656" s="51"/>
      <c r="H2656" s="52"/>
      <c r="I2656" s="53">
        <v>46003</v>
      </c>
    </row>
    <row r="2657" spans="1:9">
      <c r="A2657" s="47">
        <v>1206</v>
      </c>
      <c r="B2657" s="48" t="str">
        <f>IFERROR(VLOOKUP(A2657,CLIENTES!A:E,2,0),"CADASTRAR CLIENTE")</f>
        <v>LABORATORIO RIO NEGRO CENTER DE MARILIA  LTDA</v>
      </c>
      <c r="C2657" s="54" t="s">
        <v>3</v>
      </c>
      <c r="D2657" s="54">
        <v>92915</v>
      </c>
      <c r="E2657" s="51">
        <v>1268.8399999999999</v>
      </c>
      <c r="F2657" s="48"/>
      <c r="G2657" s="51"/>
      <c r="H2657" s="52"/>
      <c r="I2657" s="53">
        <v>46006</v>
      </c>
    </row>
    <row r="2658" spans="1:9">
      <c r="A2658" s="47">
        <v>3017</v>
      </c>
      <c r="B2658" s="48" t="str">
        <f>IFERROR(VLOOKUP(A2658,CLIENTES!A:E,2,0),"CADASTRAR CLIENTE")</f>
        <v>IMUNOLAB LABORATORIO DE ANALISES CLINICAS LTDA ME</v>
      </c>
      <c r="C2658" s="54" t="s">
        <v>3</v>
      </c>
      <c r="D2658" s="54">
        <v>92925</v>
      </c>
      <c r="E2658" s="51">
        <v>930.2</v>
      </c>
      <c r="F2658" s="48"/>
      <c r="G2658" s="51"/>
      <c r="H2658" s="52"/>
      <c r="I2658" s="53">
        <v>46006</v>
      </c>
    </row>
    <row r="2659" spans="1:9">
      <c r="A2659" s="47">
        <v>50185</v>
      </c>
      <c r="B2659" s="48" t="str">
        <f>IFERROR(VLOOKUP(A2659,CLIENTES!A:E,2,0),"CADASTRAR CLIENTE")</f>
        <v>ANIMALAB SS LTDA</v>
      </c>
      <c r="C2659" s="54" t="s">
        <v>3</v>
      </c>
      <c r="D2659" s="54">
        <v>92904</v>
      </c>
      <c r="E2659" s="51">
        <v>903.05</v>
      </c>
      <c r="F2659" s="48"/>
      <c r="G2659" s="51"/>
      <c r="H2659" s="52"/>
      <c r="I2659" s="53">
        <v>46006</v>
      </c>
    </row>
    <row r="2660" spans="1:9">
      <c r="A2660" s="47">
        <v>2955</v>
      </c>
      <c r="B2660" s="48" t="str">
        <f>IFERROR(VLOOKUP(A2660,CLIENTES!A:E,2,0),"CADASTRAR CLIENTE")</f>
        <v>ASSOCIACAO SANTA CASA SAUDE DE ARACATUBA</v>
      </c>
      <c r="C2660" s="54" t="s">
        <v>3</v>
      </c>
      <c r="D2660" s="54">
        <v>91833</v>
      </c>
      <c r="E2660" s="51">
        <v>2197.0500000000002</v>
      </c>
      <c r="F2660" s="48"/>
      <c r="G2660" s="51"/>
      <c r="H2660" s="52"/>
      <c r="I2660" s="53">
        <v>46006</v>
      </c>
    </row>
    <row r="2661" spans="1:9">
      <c r="A2661" s="47">
        <v>761</v>
      </c>
      <c r="B2661" s="48" t="str">
        <f>IFERROR(VLOOKUP(A2661,CLIENTES!A:E,2,0),"CADASTRAR CLIENTE")</f>
        <v>EXAME CENTRO DIAG.M.ARACATUBA SC LTDA.</v>
      </c>
      <c r="C2661" s="54" t="s">
        <v>3</v>
      </c>
      <c r="D2661" s="54">
        <v>92922</v>
      </c>
      <c r="E2661" s="51">
        <v>490</v>
      </c>
      <c r="F2661" s="48"/>
      <c r="G2661" s="51"/>
      <c r="H2661" s="52"/>
      <c r="I2661" s="53">
        <v>46006</v>
      </c>
    </row>
    <row r="2662" spans="1:9">
      <c r="A2662" s="47">
        <v>1164</v>
      </c>
      <c r="B2662" s="48" t="str">
        <f>IFERROR(VLOOKUP(A2662,CLIENTES!A:E,2,0),"CADASTRAR CLIENTE")</f>
        <v>LAB. ANAL. CLIN. SAO LOURENCO S/C LTDA</v>
      </c>
      <c r="C2662" s="54" t="s">
        <v>3</v>
      </c>
      <c r="D2662" s="54" t="s">
        <v>862</v>
      </c>
      <c r="E2662" s="51">
        <v>360.44</v>
      </c>
      <c r="F2662" s="48"/>
      <c r="G2662" s="51"/>
      <c r="H2662" s="52"/>
      <c r="I2662" s="53">
        <v>46006</v>
      </c>
    </row>
    <row r="2663" spans="1:9">
      <c r="A2663" s="47">
        <v>2980</v>
      </c>
      <c r="B2663" s="48" t="str">
        <f>IFERROR(VLOOKUP(A2663,CLIENTES!A:E,2,0),"CADASTRAR CLIENTE")</f>
        <v>ALMEIDA &amp; FLAITT LABORATORIOS DE ANALISES CLINICAS LTDA</v>
      </c>
      <c r="C2663" s="54" t="s">
        <v>3</v>
      </c>
      <c r="D2663" s="54" t="s">
        <v>863</v>
      </c>
      <c r="E2663" s="51">
        <v>517.03</v>
      </c>
      <c r="F2663" s="48"/>
      <c r="G2663" s="51"/>
      <c r="H2663" s="52"/>
      <c r="I2663" s="53">
        <v>46006</v>
      </c>
    </row>
    <row r="2664" spans="1:9">
      <c r="A2664" s="47">
        <v>1652</v>
      </c>
      <c r="B2664" s="48" t="str">
        <f>IFERROR(VLOOKUP(A2664,CLIENTES!A:E,2,0),"CADASTRAR CLIENTE")</f>
        <v>LAB. SANTA CLARA ANAL.CLIN.</v>
      </c>
      <c r="C2664" s="54" t="s">
        <v>3</v>
      </c>
      <c r="D2664" s="54">
        <v>92843</v>
      </c>
      <c r="E2664" s="51">
        <v>846.88</v>
      </c>
      <c r="F2664" s="48"/>
      <c r="G2664" s="51"/>
      <c r="H2664" s="52"/>
      <c r="I2664" s="53">
        <v>46006</v>
      </c>
    </row>
    <row r="2665" spans="1:9">
      <c r="A2665" s="47">
        <v>325</v>
      </c>
      <c r="B2665" s="48" t="str">
        <f>IFERROR(VLOOKUP(A2665,CLIENTES!A:E,2,0),"CADASTRAR CLIENTE")</f>
        <v>EXAME-LABORAT. DE ANAL. CLIN. CITODIAGNOSTICO S/S LTDA</v>
      </c>
      <c r="C2665" s="54" t="s">
        <v>3</v>
      </c>
      <c r="D2665" s="54" t="s">
        <v>864</v>
      </c>
      <c r="E2665" s="51">
        <v>867.86</v>
      </c>
      <c r="F2665" s="48"/>
      <c r="G2665" s="51"/>
      <c r="H2665" s="52"/>
      <c r="I2665" s="53">
        <v>46006</v>
      </c>
    </row>
    <row r="2666" spans="1:9">
      <c r="A2666" s="47">
        <v>1026</v>
      </c>
      <c r="B2666" s="48" t="str">
        <f>IFERROR(VLOOKUP(A2666,CLIENTES!A:E,2,0),"CADASTRAR CLIENTE")</f>
        <v>LABSC SERVICOS LABORATORIAIS LTDA</v>
      </c>
      <c r="C2666" s="54" t="s">
        <v>3</v>
      </c>
      <c r="D2666" s="54" t="s">
        <v>865</v>
      </c>
      <c r="E2666" s="51">
        <v>403</v>
      </c>
      <c r="F2666" s="48"/>
      <c r="G2666" s="51"/>
      <c r="H2666" s="52"/>
      <c r="I2666" s="53">
        <v>46007</v>
      </c>
    </row>
    <row r="2667" spans="1:9">
      <c r="A2667" s="47">
        <v>463</v>
      </c>
      <c r="B2667" s="48" t="str">
        <f>IFERROR(VLOOKUP(A2667,CLIENTES!A:E,2,0),"CADASTRAR CLIENTE")</f>
        <v>MASUDA &amp; MASUDA LABORATORIO CLINICO LTDA</v>
      </c>
      <c r="C2667" s="54" t="s">
        <v>3</v>
      </c>
      <c r="D2667" s="54">
        <v>92949</v>
      </c>
      <c r="E2667" s="51">
        <v>1220.6500000000001</v>
      </c>
      <c r="F2667" s="48"/>
      <c r="G2667" s="51"/>
      <c r="H2667" s="52"/>
      <c r="I2667" s="53">
        <v>46007</v>
      </c>
    </row>
    <row r="2668" spans="1:9">
      <c r="A2668" s="47">
        <v>500243</v>
      </c>
      <c r="B2668" s="48" t="str">
        <f>IFERROR(VLOOKUP(A2668,CLIENTES!A:E,2,0),"CADASTRAR CLIENTE")</f>
        <v>UNIMED DE IBITINGA COOPERATIVA DE TRABALHO MEDICO</v>
      </c>
      <c r="C2668" s="54" t="s">
        <v>3</v>
      </c>
      <c r="D2668" s="54">
        <v>92901</v>
      </c>
      <c r="E2668" s="51">
        <v>1121.47</v>
      </c>
      <c r="F2668" s="48"/>
      <c r="G2668" s="51"/>
      <c r="H2668" s="52"/>
      <c r="I2668" s="53">
        <v>46007</v>
      </c>
    </row>
    <row r="2669" spans="1:9">
      <c r="A2669" s="47">
        <v>2022</v>
      </c>
      <c r="B2669" s="48" t="str">
        <f>IFERROR(VLOOKUP(A2669,CLIENTES!A:E,2,0),"CADASTRAR CLIENTE")</f>
        <v>LAB. MEDICO DR. MARICONDI S/C LTDA.</v>
      </c>
      <c r="C2669" s="54" t="s">
        <v>3</v>
      </c>
      <c r="D2669" s="54">
        <v>92959</v>
      </c>
      <c r="E2669" s="51">
        <v>2027.06</v>
      </c>
      <c r="F2669" s="48"/>
      <c r="G2669" s="51"/>
      <c r="H2669" s="52"/>
      <c r="I2669" s="53">
        <v>46007</v>
      </c>
    </row>
    <row r="2670" spans="1:9">
      <c r="A2670" s="47">
        <v>575</v>
      </c>
      <c r="B2670" s="48" t="str">
        <f>IFERROR(VLOOKUP(A2670,CLIENTES!A:E,2,0),"CADASTRAR CLIENTE")</f>
        <v>DR MUNHOZ HOSPITAL VETERINARIO E PET SHOP</v>
      </c>
      <c r="C2670" s="54" t="s">
        <v>3</v>
      </c>
      <c r="D2670" s="54" t="s">
        <v>866</v>
      </c>
      <c r="E2670" s="51">
        <v>784.13</v>
      </c>
      <c r="F2670" s="48"/>
      <c r="G2670" s="51"/>
      <c r="H2670" s="52"/>
      <c r="I2670" s="53">
        <v>46007</v>
      </c>
    </row>
    <row r="2671" spans="1:9">
      <c r="A2671" s="47">
        <v>784</v>
      </c>
      <c r="B2671" s="48" t="str">
        <f>IFERROR(VLOOKUP(A2671,CLIENTES!A:E,2,0),"CADASTRAR CLIENTE")</f>
        <v>LAB.ANAL.CLIN. ALBERT SABIN SC LTDA.</v>
      </c>
      <c r="C2671" s="54" t="s">
        <v>3</v>
      </c>
      <c r="D2671" s="54" t="s">
        <v>867</v>
      </c>
      <c r="E2671" s="51">
        <v>2049.04</v>
      </c>
      <c r="F2671" s="48"/>
      <c r="G2671" s="51"/>
      <c r="H2671" s="52"/>
      <c r="I2671" s="53">
        <v>46007</v>
      </c>
    </row>
    <row r="2672" spans="1:9">
      <c r="A2672" s="47">
        <v>2199</v>
      </c>
      <c r="B2672" s="48" t="str">
        <f>IFERROR(VLOOKUP(A2672,CLIENTES!A:E,2,0),"CADASTRAR CLIENTE")</f>
        <v>SOCIEDADE EDUCACIONAL UBERABENSE</v>
      </c>
      <c r="C2672" s="54" t="s">
        <v>738</v>
      </c>
      <c r="D2672" s="54">
        <v>102242</v>
      </c>
      <c r="E2672" s="51">
        <v>138</v>
      </c>
      <c r="F2672" s="48"/>
      <c r="G2672" s="51"/>
      <c r="H2672" s="52"/>
      <c r="I2672" s="53">
        <v>46008</v>
      </c>
    </row>
    <row r="2673" spans="1:9">
      <c r="A2673" s="47">
        <v>3077</v>
      </c>
      <c r="B2673" s="48" t="str">
        <f>IFERROR(VLOOKUP(A2673,CLIENTES!A:E,2,0),"CADASTRAR CLIENTE")</f>
        <v>CBI ANALISES CLINICAS S/S LTDA</v>
      </c>
      <c r="C2673" s="54" t="s">
        <v>3</v>
      </c>
      <c r="D2673" s="54" t="s">
        <v>868</v>
      </c>
      <c r="E2673" s="51">
        <v>1055.7</v>
      </c>
      <c r="F2673" s="48"/>
      <c r="G2673" s="51"/>
      <c r="H2673" s="52"/>
      <c r="I2673" s="53">
        <v>46008</v>
      </c>
    </row>
    <row r="2674" spans="1:9">
      <c r="A2674" s="47">
        <v>50576</v>
      </c>
      <c r="B2674" s="48" t="str">
        <f>IFERROR(VLOOKUP(A2674,CLIENTES!A:E,2,0),"CADASTRAR CLIENTE")</f>
        <v>ANDRIAO CANEPPA E SILVA LTDA ME</v>
      </c>
      <c r="C2674" s="54" t="s">
        <v>3</v>
      </c>
      <c r="D2674" s="54" t="s">
        <v>869</v>
      </c>
      <c r="E2674" s="51">
        <v>1713.95</v>
      </c>
      <c r="F2674" s="48"/>
      <c r="G2674" s="51"/>
      <c r="H2674" s="52"/>
      <c r="I2674" s="53">
        <v>46008</v>
      </c>
    </row>
    <row r="2675" spans="1:9">
      <c r="A2675" s="47">
        <v>618</v>
      </c>
      <c r="B2675" s="48" t="str">
        <f>IFERROR(VLOOKUP(A2675,CLIENTES!A:E,2,0),"CADASTRAR CLIENTE")</f>
        <v>LAB. ANAL. CLIN. POMPEIA</v>
      </c>
      <c r="C2675" s="54" t="s">
        <v>3</v>
      </c>
      <c r="D2675" s="54" t="s">
        <v>870</v>
      </c>
      <c r="E2675" s="51">
        <v>2241</v>
      </c>
      <c r="F2675" s="48"/>
      <c r="G2675" s="51"/>
      <c r="H2675" s="52"/>
      <c r="I2675" s="53">
        <v>46008</v>
      </c>
    </row>
    <row r="2676" spans="1:9">
      <c r="A2676" s="47">
        <v>3557</v>
      </c>
      <c r="B2676" s="48" t="str">
        <f>IFERROR(VLOOKUP(A2676,CLIENTES!A:E,2,0),"CADASTRAR CLIENTE")</f>
        <v>ASSOCIACAO BENEFICIENTE NOSSA SENHORA DE NAZARE</v>
      </c>
      <c r="C2676" s="54" t="s">
        <v>738</v>
      </c>
      <c r="D2676" s="54">
        <v>92993</v>
      </c>
      <c r="E2676" s="51">
        <v>4851.99</v>
      </c>
      <c r="F2676" s="48"/>
      <c r="G2676" s="51"/>
      <c r="H2676" s="52"/>
      <c r="I2676" s="53">
        <v>46008</v>
      </c>
    </row>
    <row r="2677" spans="1:9">
      <c r="A2677" s="47">
        <v>434</v>
      </c>
      <c r="B2677" s="48" t="str">
        <f>IFERROR(VLOOKUP(A2677,CLIENTES!A:E,2,0),"CADASTRAR CLIENTE")</f>
        <v>BIOLABOR LAB. ANAL. CLIN. SC LTDA.</v>
      </c>
      <c r="C2677" s="54" t="s">
        <v>3</v>
      </c>
      <c r="D2677" s="54" t="s">
        <v>871</v>
      </c>
      <c r="E2677" s="51">
        <v>3681.28</v>
      </c>
      <c r="F2677" s="48"/>
      <c r="G2677" s="51"/>
      <c r="H2677" s="52"/>
      <c r="I2677" s="53">
        <v>46008</v>
      </c>
    </row>
    <row r="2678" spans="1:9">
      <c r="A2678" s="47">
        <v>144</v>
      </c>
      <c r="B2678" s="48" t="str">
        <f>IFERROR(VLOOKUP(A2678,CLIENTES!A:E,2,0),"CADASTRAR CLIENTE")</f>
        <v>CADASTRAR CLIENTE</v>
      </c>
      <c r="C2678" s="54" t="s">
        <v>816</v>
      </c>
      <c r="D2678" s="54">
        <v>92999</v>
      </c>
      <c r="E2678" s="51">
        <v>320</v>
      </c>
      <c r="F2678" s="48"/>
      <c r="G2678" s="51"/>
      <c r="H2678" s="52"/>
      <c r="I2678" s="53">
        <v>46008</v>
      </c>
    </row>
    <row r="2679" spans="1:9">
      <c r="A2679" s="47">
        <v>2199</v>
      </c>
      <c r="B2679" s="48" t="str">
        <f>IFERROR(VLOOKUP(A2679,CLIENTES!A:E,2,0),"CADASTRAR CLIENTE")</f>
        <v>SOCIEDADE EDUCACIONAL UBERABENSE</v>
      </c>
      <c r="C2679" s="54" t="s">
        <v>3</v>
      </c>
      <c r="D2679" s="59" t="s">
        <v>872</v>
      </c>
      <c r="E2679" s="51">
        <v>1371.75</v>
      </c>
      <c r="F2679" s="48"/>
      <c r="G2679" s="51"/>
      <c r="H2679" s="52"/>
      <c r="I2679" s="53">
        <v>46008</v>
      </c>
    </row>
    <row r="2680" spans="1:9">
      <c r="A2680" s="47">
        <v>516</v>
      </c>
      <c r="B2680" s="48" t="str">
        <f>IFERROR(VLOOKUP(A2680,CLIENTES!A:E,2,0),"CADASTRAR CLIENTE")</f>
        <v>TECNOLAB PATOLOGIA CLINICA S/C LTDA</v>
      </c>
      <c r="C2680" s="54" t="s">
        <v>3</v>
      </c>
      <c r="D2680" s="54">
        <v>92675</v>
      </c>
      <c r="E2680" s="51">
        <v>8353.02</v>
      </c>
      <c r="F2680" s="48"/>
      <c r="G2680" s="51"/>
      <c r="H2680" s="52"/>
      <c r="I2680" s="53">
        <v>46009</v>
      </c>
    </row>
    <row r="2681" spans="1:9">
      <c r="A2681" s="47">
        <v>2415</v>
      </c>
      <c r="B2681" s="48" t="str">
        <f>IFERROR(VLOOKUP(A2681,CLIENTES!A:E,2,0),"CADASTRAR CLIENTE")</f>
        <v>ROSSETTO E BARROS LABORATORIO DE ANALISES CLINICAS LTDA</v>
      </c>
      <c r="C2681" s="54" t="s">
        <v>3</v>
      </c>
      <c r="D2681" s="54" t="s">
        <v>873</v>
      </c>
      <c r="E2681" s="51">
        <v>1154.01</v>
      </c>
      <c r="F2681" s="48"/>
      <c r="G2681" s="51"/>
      <c r="H2681" s="52"/>
      <c r="I2681" s="53">
        <v>46009</v>
      </c>
    </row>
    <row r="2682" spans="1:9">
      <c r="A2682" s="47">
        <v>1493</v>
      </c>
      <c r="B2682" s="48" t="str">
        <f>IFERROR(VLOOKUP(A2682,CLIENTES!A:E,2,0),"CADASTRAR CLIENTE")</f>
        <v>CEDIMA  CENTRO DE DIAG MONTE AZUL ANAL CLIN E CIT</v>
      </c>
      <c r="C2682" s="54" t="s">
        <v>3</v>
      </c>
      <c r="D2682" s="54" t="s">
        <v>874</v>
      </c>
      <c r="E2682" s="51">
        <v>857.35</v>
      </c>
      <c r="F2682" s="48"/>
      <c r="G2682" s="51"/>
      <c r="H2682" s="52"/>
      <c r="I2682" s="53">
        <v>46009</v>
      </c>
    </row>
    <row r="2683" spans="1:9">
      <c r="A2683" s="47">
        <v>822</v>
      </c>
      <c r="B2683" s="48" t="str">
        <f>IFERROR(VLOOKUP(A2683,CLIENTES!A:E,2,0),"CADASTRAR CLIENTE")</f>
        <v>SAO LUCAS LABORATORIO ANAL. CLIN. S/C LTDA</v>
      </c>
      <c r="C2683" s="54" t="s">
        <v>3</v>
      </c>
      <c r="D2683" s="54" t="s">
        <v>875</v>
      </c>
      <c r="E2683" s="51">
        <v>1698.65</v>
      </c>
      <c r="F2683" s="48"/>
      <c r="G2683" s="51"/>
      <c r="H2683" s="52"/>
      <c r="I2683" s="53">
        <v>46009</v>
      </c>
    </row>
    <row r="2684" spans="1:9">
      <c r="A2684" s="47">
        <v>51061</v>
      </c>
      <c r="B2684" s="48" t="str">
        <f>IFERROR(VLOOKUP(A2684,CLIENTES!A:E,2,0),"CADASTRAR CLIENTE")</f>
        <v>UNIMED AMPARO COOPERATIVA DE TRABALHO MEDICO</v>
      </c>
      <c r="C2684" s="54" t="s">
        <v>3</v>
      </c>
      <c r="D2684" s="54">
        <v>93039</v>
      </c>
      <c r="E2684" s="51">
        <v>316</v>
      </c>
      <c r="F2684" s="48"/>
      <c r="G2684" s="51"/>
      <c r="H2684" s="52"/>
      <c r="I2684" s="53">
        <v>46009</v>
      </c>
    </row>
    <row r="2685" spans="1:9">
      <c r="A2685" s="47">
        <v>1813</v>
      </c>
      <c r="B2685" s="48" t="str">
        <f>IFERROR(VLOOKUP(A2685,CLIENTES!A:E,2,0),"CADASTRAR CLIENTE")</f>
        <v>BIOMED LAB.ANAL.CLIN. SC  LTDA</v>
      </c>
      <c r="C2685" s="54" t="s">
        <v>3</v>
      </c>
      <c r="D2685" s="54">
        <v>92483</v>
      </c>
      <c r="E2685" s="51">
        <v>488</v>
      </c>
      <c r="F2685" s="48"/>
      <c r="G2685" s="51"/>
      <c r="H2685" s="52"/>
      <c r="I2685" s="53">
        <v>46009</v>
      </c>
    </row>
    <row r="2686" spans="1:9">
      <c r="A2686" s="47">
        <v>690</v>
      </c>
      <c r="B2686" s="48" t="str">
        <f>IFERROR(VLOOKUP(A2686,CLIENTES!A:E,2,0),"CADASTRAR CLIENTE")</f>
        <v>SAO ROQUE MEDICINA DIAGNOSTICA LTDA EPP</v>
      </c>
      <c r="C2686" s="54" t="s">
        <v>3</v>
      </c>
      <c r="D2686" s="54">
        <v>92733</v>
      </c>
      <c r="E2686" s="51">
        <v>2020.8</v>
      </c>
      <c r="F2686" s="48"/>
      <c r="G2686" s="51"/>
      <c r="H2686" s="52"/>
      <c r="I2686" s="53">
        <v>46009</v>
      </c>
    </row>
    <row r="2687" spans="1:9">
      <c r="A2687" s="47">
        <v>50554</v>
      </c>
      <c r="B2687" s="48" t="str">
        <f>IFERROR(VLOOKUP(A2687,CLIENTES!A:E,2,0),"CADASTRAR CLIENTE")</f>
        <v>SAO ROQUE MEDICINA DIAGNOSTICA</v>
      </c>
      <c r="C2687" s="54" t="s">
        <v>3</v>
      </c>
      <c r="D2687" s="54">
        <v>92873</v>
      </c>
      <c r="E2687" s="51">
        <v>2111</v>
      </c>
      <c r="F2687" s="48"/>
      <c r="G2687" s="51"/>
      <c r="H2687" s="52"/>
      <c r="I2687" s="53">
        <v>46009</v>
      </c>
    </row>
    <row r="2688" spans="1:9">
      <c r="A2688" s="47">
        <v>311</v>
      </c>
      <c r="B2688" s="48" t="str">
        <f>IFERROR(VLOOKUP(A2688,CLIENTES!A:E,2,0),"CADASTRAR CLIENTE")</f>
        <v>CENTRO DE ANAL.CLIN. UNILAB  SC LTDA.</v>
      </c>
      <c r="C2688" s="54" t="s">
        <v>3</v>
      </c>
      <c r="D2688" s="54" t="s">
        <v>876</v>
      </c>
      <c r="E2688" s="51">
        <v>1214.95</v>
      </c>
      <c r="F2688" s="48"/>
      <c r="G2688" s="51"/>
      <c r="H2688" s="52"/>
      <c r="I2688" s="53">
        <v>46009</v>
      </c>
    </row>
    <row r="2689" spans="1:9">
      <c r="A2689" s="47">
        <v>772</v>
      </c>
      <c r="B2689" s="48" t="str">
        <f>IFERROR(VLOOKUP(A2689,CLIENTES!A:E,2,0),"CADASTRAR CLIENTE")</f>
        <v>MEGARON LABORATORIO ANAL.CLIN.SC LTDA.</v>
      </c>
      <c r="C2689" s="54" t="s">
        <v>3</v>
      </c>
      <c r="D2689" s="54" t="s">
        <v>877</v>
      </c>
      <c r="E2689" s="51">
        <v>502.1</v>
      </c>
      <c r="F2689" s="48"/>
      <c r="G2689" s="51"/>
      <c r="H2689" s="52"/>
      <c r="I2689" s="53">
        <v>46009</v>
      </c>
    </row>
    <row r="2690" spans="1:9">
      <c r="A2690" s="47">
        <v>1989</v>
      </c>
      <c r="B2690" s="48" t="str">
        <f>IFERROR(VLOOKUP(A2690,CLIENTES!A:E,2,0),"CADASTRAR CLIENTE")</f>
        <v>SAO FRANCISCO ANAL. CLIN.</v>
      </c>
      <c r="C2690" s="54" t="s">
        <v>3</v>
      </c>
      <c r="D2690" s="54">
        <v>93097</v>
      </c>
      <c r="E2690" s="51">
        <v>616.03</v>
      </c>
      <c r="F2690" s="48"/>
      <c r="G2690" s="51"/>
      <c r="H2690" s="52"/>
      <c r="I2690" s="53">
        <v>46027</v>
      </c>
    </row>
    <row r="2691" spans="1:9">
      <c r="A2691" s="47">
        <v>50554</v>
      </c>
      <c r="B2691" s="48" t="str">
        <f>IFERROR(VLOOKUP(A2691,CLIENTES!A:E,2,0),"CADASTRAR CLIENTE")</f>
        <v>SAO ROQUE MEDICINA DIAGNOSTICA</v>
      </c>
      <c r="C2691" s="54" t="s">
        <v>3</v>
      </c>
      <c r="D2691" s="54">
        <v>93099</v>
      </c>
      <c r="E2691" s="51">
        <v>189</v>
      </c>
      <c r="F2691" s="48"/>
      <c r="G2691" s="51"/>
      <c r="H2691" s="52"/>
      <c r="I2691" s="53">
        <v>46027</v>
      </c>
    </row>
    <row r="2692" spans="1:9">
      <c r="A2692" s="47">
        <v>620</v>
      </c>
      <c r="B2692" s="48" t="str">
        <f>IFERROR(VLOOKUP(A2692,CLIENTES!A:E,2,0),"CADASTRAR CLIENTE")</f>
        <v>LAB.SAO PAULO DE ANAL.CLIN.SC LTDA.</v>
      </c>
      <c r="C2692" s="54" t="s">
        <v>3</v>
      </c>
      <c r="D2692" s="54">
        <v>93120</v>
      </c>
      <c r="E2692" s="51">
        <v>1433.26</v>
      </c>
      <c r="F2692" s="48"/>
      <c r="G2692" s="51"/>
      <c r="H2692" s="52"/>
      <c r="I2692" s="53">
        <v>46027</v>
      </c>
    </row>
    <row r="2693" spans="1:9">
      <c r="A2693" s="47">
        <v>2702</v>
      </c>
      <c r="B2693" s="48" t="str">
        <f>IFERROR(VLOOKUP(A2693,CLIENTES!A:E,2,0),"CADASTRAR CLIENTE")</f>
        <v>SANTA CASA DE MISER. DE TAQUARITUBA</v>
      </c>
      <c r="C2693" s="54" t="s">
        <v>3</v>
      </c>
      <c r="D2693" s="54">
        <v>92869</v>
      </c>
      <c r="E2693" s="51">
        <v>3215.9</v>
      </c>
      <c r="F2693" s="48"/>
      <c r="G2693" s="51"/>
      <c r="H2693" s="52"/>
      <c r="I2693" s="53">
        <v>46027</v>
      </c>
    </row>
    <row r="2694" spans="1:9">
      <c r="A2694" s="47">
        <v>51061</v>
      </c>
      <c r="B2694" s="48" t="str">
        <f>IFERROR(VLOOKUP(A2694,CLIENTES!A:E,2,0),"CADASTRAR CLIENTE")</f>
        <v>UNIMED AMPARO COOPERATIVA DE TRABALHO MEDICO</v>
      </c>
      <c r="C2694" s="54" t="s">
        <v>3</v>
      </c>
      <c r="D2694" s="54">
        <v>93164</v>
      </c>
      <c r="E2694" s="51">
        <v>390</v>
      </c>
      <c r="F2694" s="48"/>
      <c r="G2694" s="51"/>
      <c r="H2694" s="52"/>
      <c r="I2694" s="53">
        <v>46027</v>
      </c>
    </row>
    <row r="2695" spans="1:9">
      <c r="A2695" s="47">
        <v>1842</v>
      </c>
      <c r="B2695" s="48" t="str">
        <f>IFERROR(VLOOKUP(A2695,CLIENTES!A:E,2,0),"CADASTRAR CLIENTE")</f>
        <v>LABORATORIO UNILABVET EIRELI</v>
      </c>
      <c r="C2695" s="54" t="s">
        <v>3</v>
      </c>
      <c r="D2695" s="54">
        <v>93171</v>
      </c>
      <c r="E2695" s="51">
        <v>136</v>
      </c>
      <c r="F2695" s="48"/>
      <c r="G2695" s="51"/>
      <c r="H2695" s="52"/>
      <c r="I2695" s="53">
        <v>46027</v>
      </c>
    </row>
    <row r="2696" spans="1:9">
      <c r="A2696" s="47">
        <v>3475</v>
      </c>
      <c r="B2696" s="48" t="str">
        <f>IFERROR(VLOOKUP(A2696,CLIENTES!A:E,2,0),"CADASTRAR CLIENTE")</f>
        <v>LQF LABORATORIO QUIMICO FARMACEUTICO RIO PRETO EIRELI - ME</v>
      </c>
      <c r="C2696" s="54" t="s">
        <v>3</v>
      </c>
      <c r="D2696" s="54">
        <v>93174</v>
      </c>
      <c r="E2696" s="51">
        <v>1407.6</v>
      </c>
      <c r="F2696" s="48"/>
      <c r="G2696" s="51"/>
      <c r="H2696" s="52"/>
      <c r="I2696" s="53">
        <v>46028</v>
      </c>
    </row>
    <row r="2697" spans="1:9">
      <c r="A2697" s="47">
        <v>434</v>
      </c>
      <c r="B2697" s="48" t="str">
        <f>IFERROR(VLOOKUP(A2697,CLIENTES!A:E,2,0),"CADASTRAR CLIENTE")</f>
        <v>BIOLABOR LAB. ANAL. CLIN. SC LTDA.</v>
      </c>
      <c r="C2697" s="54" t="s">
        <v>3</v>
      </c>
      <c r="D2697" s="54">
        <v>93236</v>
      </c>
      <c r="E2697" s="51">
        <v>128.80000000000001</v>
      </c>
      <c r="F2697" s="48"/>
      <c r="G2697" s="51"/>
      <c r="H2697" s="52"/>
      <c r="I2697" s="53">
        <v>46028</v>
      </c>
    </row>
    <row r="2698" spans="1:9">
      <c r="A2698" s="47">
        <v>905</v>
      </c>
      <c r="B2698" s="48" t="str">
        <f>IFERROR(VLOOKUP(A2698,CLIENTES!A:E,2,0),"CADASTRAR CLIENTE")</f>
        <v>LAB AN CLIN DR NESTOR FERRAREZZI FILHO  SC LTDA</v>
      </c>
      <c r="C2698" s="54" t="s">
        <v>3</v>
      </c>
      <c r="D2698" s="54" t="s">
        <v>878</v>
      </c>
      <c r="E2698" s="51">
        <v>1976.87</v>
      </c>
      <c r="F2698" s="48"/>
      <c r="G2698" s="51"/>
      <c r="H2698" s="52"/>
      <c r="I2698" s="53">
        <v>46029</v>
      </c>
    </row>
    <row r="2699" spans="1:9">
      <c r="A2699" s="47">
        <v>1164</v>
      </c>
      <c r="B2699" s="48" t="str">
        <f>IFERROR(VLOOKUP(A2699,CLIENTES!A:E,2,0),"CADASTRAR CLIENTE")</f>
        <v>LAB. ANAL. CLIN. SAO LOURENCO S/C LTDA</v>
      </c>
      <c r="C2699" s="54" t="s">
        <v>3</v>
      </c>
      <c r="D2699" s="54" t="s">
        <v>879</v>
      </c>
      <c r="E2699" s="51">
        <v>1875.1</v>
      </c>
      <c r="F2699" s="48"/>
      <c r="G2699" s="51"/>
      <c r="H2699" s="52"/>
      <c r="I2699" s="53">
        <v>46029</v>
      </c>
    </row>
    <row r="2700" spans="1:9">
      <c r="A2700" s="47">
        <v>500752</v>
      </c>
      <c r="B2700" s="48" t="str">
        <f>IFERROR(VLOOKUP(A2700,CLIENTES!A:E,2,0),"CADASTRAR CLIENTE")</f>
        <v>LABORATORIO SAO LUCAS DE BROTAS SS LTDA</v>
      </c>
      <c r="C2700" s="54" t="s">
        <v>3</v>
      </c>
      <c r="D2700" s="54">
        <v>93259</v>
      </c>
      <c r="E2700" s="51">
        <v>1278.0999999999999</v>
      </c>
      <c r="F2700" s="48"/>
      <c r="G2700" s="51"/>
      <c r="H2700" s="52"/>
      <c r="I2700" s="53">
        <v>46029</v>
      </c>
    </row>
    <row r="2701" spans="1:9">
      <c r="A2701" s="47">
        <v>2415</v>
      </c>
      <c r="B2701" s="48" t="str">
        <f>IFERROR(VLOOKUP(A2701,CLIENTES!A:E,2,0),"CADASTRAR CLIENTE")</f>
        <v>ROSSETTO E BARROS LABORATORIO DE ANALISES CLINICAS LTDA</v>
      </c>
      <c r="C2701" s="54" t="s">
        <v>3</v>
      </c>
      <c r="D2701" s="54" t="s">
        <v>880</v>
      </c>
      <c r="E2701" s="51">
        <v>589.51</v>
      </c>
      <c r="F2701" s="48"/>
      <c r="G2701" s="51"/>
      <c r="H2701" s="52"/>
      <c r="I2701" s="53">
        <v>46029</v>
      </c>
    </row>
    <row r="2702" spans="1:9">
      <c r="A2702" s="47">
        <v>480</v>
      </c>
      <c r="B2702" s="48" t="str">
        <f>IFERROR(VLOOKUP(A2702,CLIENTES!A:E,2,0),"CADASTRAR CLIENTE")</f>
        <v>LAB SAO LUCAS</v>
      </c>
      <c r="C2702" s="54" t="s">
        <v>3</v>
      </c>
      <c r="D2702" s="54" t="s">
        <v>881</v>
      </c>
      <c r="E2702" s="51">
        <v>475.6</v>
      </c>
      <c r="F2702" s="48"/>
      <c r="G2702" s="51"/>
      <c r="H2702" s="52"/>
      <c r="I2702" s="53">
        <v>46030</v>
      </c>
    </row>
    <row r="2703" spans="1:9">
      <c r="A2703" s="47">
        <v>2199</v>
      </c>
      <c r="B2703" s="48" t="str">
        <f>IFERROR(VLOOKUP(A2703,CLIENTES!A:E,2,0),"CADASTRAR CLIENTE")</f>
        <v>SOCIEDADE EDUCACIONAL UBERABENSE</v>
      </c>
      <c r="C2703" s="54" t="s">
        <v>3</v>
      </c>
      <c r="D2703" s="54">
        <v>93183</v>
      </c>
      <c r="E2703" s="51">
        <v>475.75</v>
      </c>
      <c r="F2703" s="48"/>
      <c r="G2703" s="51"/>
      <c r="H2703" s="52"/>
      <c r="I2703" s="53">
        <v>46030</v>
      </c>
    </row>
    <row r="2704" spans="1:9">
      <c r="A2704" s="47">
        <v>412</v>
      </c>
      <c r="B2704" s="48" t="str">
        <f>IFERROR(VLOOKUP(A2704,CLIENTES!A:E,2,0),"CADASTRAR CLIENTE")</f>
        <v>LAB.ANAL.CLIN.SAO MANUEL SC LTDA.</v>
      </c>
      <c r="C2704" s="54" t="s">
        <v>3</v>
      </c>
      <c r="D2704" s="54">
        <v>93350</v>
      </c>
      <c r="E2704" s="51">
        <v>283.5</v>
      </c>
      <c r="F2704" s="48"/>
      <c r="G2704" s="51"/>
      <c r="H2704" s="52"/>
      <c r="I2704" s="53">
        <v>46030</v>
      </c>
    </row>
    <row r="2705" spans="1:17">
      <c r="A2705" s="47">
        <v>50465</v>
      </c>
      <c r="B2705" s="48" t="str">
        <f>IFERROR(VLOOKUP(A2705,CLIENTES!A:E,2,0),"CADASTRAR CLIENTE")</f>
        <v>LABORATORIO DE ANALISES CLINICAS VIDA BIRIGUI LTDA</v>
      </c>
      <c r="C2705" s="54" t="s">
        <v>3</v>
      </c>
      <c r="D2705" s="54">
        <v>93321</v>
      </c>
      <c r="E2705" s="51">
        <v>2005.52</v>
      </c>
      <c r="F2705" s="48"/>
      <c r="G2705" s="51"/>
      <c r="H2705" s="52"/>
      <c r="I2705" s="53">
        <v>46030</v>
      </c>
    </row>
    <row r="2706" spans="1:17">
      <c r="A2706" s="47">
        <v>708</v>
      </c>
      <c r="B2706" s="48" t="str">
        <f>IFERROR(VLOOKUP(A2706,CLIENTES!A:E,2,0),"CADASTRAR CLIENTE")</f>
        <v>IMEDI INST.MEDICO DE PAT.E DIAGNOSTICO SC LTDA.</v>
      </c>
      <c r="C2706" s="54" t="s">
        <v>3</v>
      </c>
      <c r="D2706" s="54">
        <v>93372</v>
      </c>
      <c r="E2706" s="51">
        <v>2030</v>
      </c>
      <c r="F2706" s="48"/>
      <c r="G2706" s="51"/>
      <c r="H2706" s="52"/>
      <c r="I2706" s="53">
        <v>46030</v>
      </c>
    </row>
    <row r="2707" spans="1:17">
      <c r="A2707" s="47">
        <v>3153</v>
      </c>
      <c r="B2707" s="48" t="str">
        <f>IFERROR(VLOOKUP(A2707,CLIENTES!A:E,2,0),"CADASTRAR CLIENTE")</f>
        <v>UNIMED DE TUPA COOPERATIVA DE TRABALHO MEDICO</v>
      </c>
      <c r="C2707" s="54" t="s">
        <v>3</v>
      </c>
      <c r="D2707" s="54">
        <v>93356</v>
      </c>
      <c r="E2707" s="51">
        <v>1241.2</v>
      </c>
      <c r="F2707" s="48"/>
      <c r="G2707" s="51"/>
      <c r="H2707" s="52"/>
      <c r="I2707" s="53">
        <v>46030</v>
      </c>
    </row>
    <row r="2708" spans="1:17">
      <c r="A2708" s="47">
        <v>663</v>
      </c>
      <c r="B2708" s="48" t="str">
        <f>IFERROR(VLOOKUP(A2708,CLIENTES!A:E,2,0),"CADASTRAR CLIENTE")</f>
        <v>LAB. MEDICO GUIMARAES</v>
      </c>
      <c r="C2708" s="54" t="s">
        <v>3</v>
      </c>
      <c r="D2708" s="54">
        <v>93170</v>
      </c>
      <c r="E2708" s="51">
        <v>1888</v>
      </c>
      <c r="F2708" s="48"/>
      <c r="G2708" s="51"/>
      <c r="H2708" s="52"/>
      <c r="I2708" s="53">
        <v>46031</v>
      </c>
    </row>
    <row r="2709" spans="1:17">
      <c r="A2709" s="47">
        <v>1905</v>
      </c>
      <c r="B2709" s="48" t="str">
        <f>IFERROR(VLOOKUP(A2709,CLIENTES!A:E,2,0),"CADASTRAR CLIENTE")</f>
        <v>A.C. CORREA DE OLIVEIRA LABORATORIO CLÍNICO</v>
      </c>
      <c r="C2709" s="54" t="s">
        <v>3</v>
      </c>
      <c r="D2709" s="54">
        <v>93387</v>
      </c>
      <c r="E2709" s="51">
        <v>330</v>
      </c>
      <c r="F2709" s="48"/>
      <c r="G2709" s="51"/>
      <c r="H2709" s="52"/>
      <c r="I2709" s="53">
        <v>46031</v>
      </c>
    </row>
    <row r="2710" spans="1:17">
      <c r="A2710" s="47">
        <v>3153</v>
      </c>
      <c r="B2710" s="48" t="str">
        <f>IFERROR(VLOOKUP(A2710,CLIENTES!A:E,2,0),"CADASTRAR CLIENTE")</f>
        <v>UNIMED DE TUPA COOPERATIVA DE TRABALHO MEDICO</v>
      </c>
      <c r="C2710" s="54" t="s">
        <v>3</v>
      </c>
      <c r="D2710" s="54">
        <v>93403</v>
      </c>
      <c r="E2710" s="51">
        <v>482</v>
      </c>
      <c r="F2710" s="48"/>
      <c r="G2710" s="51"/>
      <c r="H2710" s="52"/>
      <c r="I2710" s="53">
        <v>46031</v>
      </c>
    </row>
    <row r="2711" spans="1:17">
      <c r="A2711" s="47">
        <v>3017</v>
      </c>
      <c r="B2711" s="48" t="str">
        <f>IFERROR(VLOOKUP(A2711,CLIENTES!A:E,2,0),"CADASTRAR CLIENTE")</f>
        <v>IMUNOLAB LABORATORIO DE ANALISES CLINICAS LTDA ME</v>
      </c>
      <c r="C2711" s="54" t="s">
        <v>3</v>
      </c>
      <c r="D2711" s="54">
        <v>93405</v>
      </c>
      <c r="E2711" s="51">
        <v>1542.34</v>
      </c>
      <c r="F2711" s="48"/>
      <c r="G2711" s="51"/>
      <c r="H2711" s="52"/>
      <c r="I2711" s="53">
        <v>46031</v>
      </c>
    </row>
    <row r="2712" spans="1:17">
      <c r="A2712" s="47">
        <v>50861</v>
      </c>
      <c r="B2712" s="48" t="str">
        <f>IFERROR(VLOOKUP(A2712,CLIENTES!A:E,2,0),"CADASTRAR CLIENTE")</f>
        <v>JAQUELINE MARTINS RUIZ LAB DE ANALISES CLINICAS</v>
      </c>
      <c r="C2712" s="54" t="s">
        <v>3</v>
      </c>
      <c r="D2712" s="54">
        <v>50861</v>
      </c>
      <c r="E2712" s="51">
        <v>1422</v>
      </c>
      <c r="F2712" s="48"/>
      <c r="G2712" s="51"/>
      <c r="H2712" s="52"/>
      <c r="I2712" s="53">
        <v>46031</v>
      </c>
    </row>
    <row r="2713" spans="1:17">
      <c r="A2713" s="47">
        <v>2415</v>
      </c>
      <c r="B2713" s="48" t="str">
        <f>IFERROR(VLOOKUP(A2713,CLIENTES!A:E,2,0),"CADASTRAR CLIENTE")</f>
        <v>ROSSETTO E BARROS LABORATORIO DE ANALISES CLINICAS LTDA</v>
      </c>
      <c r="C2713" s="54" t="s">
        <v>3</v>
      </c>
      <c r="D2713" s="54">
        <v>93383</v>
      </c>
      <c r="E2713" s="51">
        <v>2730.16</v>
      </c>
      <c r="F2713" s="48"/>
      <c r="G2713" s="51"/>
      <c r="H2713" s="52"/>
      <c r="I2713" s="53">
        <v>46034</v>
      </c>
    </row>
    <row r="2714" spans="1:17">
      <c r="A2714" s="47">
        <v>2911</v>
      </c>
      <c r="B2714" s="48" t="str">
        <f>IFERROR(VLOOKUP(A2714,CLIENTES!A:E,2,0),"CADASTRAR CLIENTE")</f>
        <v>BIOLIFE-LABORATORIO DE ANALISES CLINICAS LTDA</v>
      </c>
      <c r="C2714" s="54" t="s">
        <v>795</v>
      </c>
      <c r="D2714" s="54" t="s">
        <v>882</v>
      </c>
      <c r="E2714" s="51">
        <v>1784.3</v>
      </c>
      <c r="F2714" s="48"/>
      <c r="G2714" s="51"/>
      <c r="H2714" s="52"/>
      <c r="I2714" s="53">
        <v>46034</v>
      </c>
    </row>
    <row r="2715" spans="1:17">
      <c r="A2715" s="47">
        <v>475</v>
      </c>
      <c r="B2715" s="48" t="str">
        <f>IFERROR(VLOOKUP(A2715,CLIENTES!A:E,2,0),"CADASTRAR CLIENTE")</f>
        <v>LABORATORIO DE ANALISES CLINICAS SRC LTDA</v>
      </c>
      <c r="C2715" s="54" t="s">
        <v>2</v>
      </c>
      <c r="D2715" s="54" t="s">
        <v>883</v>
      </c>
      <c r="E2715" s="51">
        <v>12665.9</v>
      </c>
      <c r="F2715" s="48"/>
      <c r="G2715" s="51"/>
      <c r="H2715" s="52"/>
      <c r="I2715" s="53">
        <v>46034</v>
      </c>
    </row>
    <row r="2716" spans="1:17">
      <c r="A2716" s="47">
        <v>408</v>
      </c>
      <c r="B2716" s="48" t="str">
        <f>IFERROR(VLOOKUP(A2716,CLIENTES!A:E,2,0),"CADASTRAR CLIENTE")</f>
        <v>FUND.DESENV.DE CIENCIAS FARMACEUTICAS</v>
      </c>
      <c r="C2716" s="54" t="s">
        <v>2</v>
      </c>
      <c r="D2716" s="54" t="s">
        <v>891</v>
      </c>
      <c r="E2716" s="88">
        <v>3649.5</v>
      </c>
      <c r="F2716" s="48"/>
      <c r="G2716" s="51"/>
      <c r="H2716" s="52"/>
      <c r="I2716" s="53">
        <v>46035</v>
      </c>
    </row>
    <row r="2717" spans="1:17" s="96" customFormat="1">
      <c r="A2717" s="90">
        <v>762</v>
      </c>
      <c r="B2717" s="91" t="str">
        <f>IFERROR(VLOOKUP(A2717,CLIENTES!A:E,2,0),"CADASTRAR CLIENTE")</f>
        <v>STA. CASA MISERICORDIA DE ARACATUBA</v>
      </c>
      <c r="C2717" s="92" t="s">
        <v>738</v>
      </c>
      <c r="D2717" s="92">
        <v>93506</v>
      </c>
      <c r="E2717" s="93">
        <v>7562.65</v>
      </c>
      <c r="F2717" s="91"/>
      <c r="G2717" s="105"/>
      <c r="H2717" s="94"/>
      <c r="I2717" s="95">
        <v>46035</v>
      </c>
    </row>
    <row r="2718" spans="1:17" ht="15.75" customHeight="1">
      <c r="A2718" s="47">
        <v>823</v>
      </c>
      <c r="B2718" s="48" t="str">
        <f>IFERROR(VLOOKUP(A2718,CLIENTES!A:E,2,0),"CADASTRAR CLIENTE")</f>
        <v>SANCHES x SANCHES S/C LTDA</v>
      </c>
      <c r="C2718" s="54" t="s">
        <v>3</v>
      </c>
      <c r="D2718" s="54" t="s">
        <v>884</v>
      </c>
      <c r="E2718" s="88">
        <v>4448.55</v>
      </c>
      <c r="F2718" s="48"/>
      <c r="G2718" s="51"/>
      <c r="H2718" s="52"/>
      <c r="I2718" s="53">
        <v>46035</v>
      </c>
      <c r="J2718" s="89"/>
      <c r="K2718" s="89"/>
      <c r="L2718" s="89"/>
      <c r="M2718" s="89"/>
      <c r="N2718" s="89"/>
      <c r="O2718" s="89"/>
      <c r="P2718" s="89"/>
      <c r="Q2718" s="89"/>
    </row>
    <row r="2719" spans="1:17">
      <c r="A2719" s="47">
        <v>761</v>
      </c>
      <c r="B2719" s="48" t="str">
        <f>IFERROR(VLOOKUP(A2719,CLIENTES!A:E,2,0),"CADASTRAR CLIENTE")</f>
        <v>EXAME CENTRO DIAG.M.ARACATUBA SC LTDA.</v>
      </c>
      <c r="C2719" s="54" t="s">
        <v>3</v>
      </c>
      <c r="D2719" s="54">
        <v>93481</v>
      </c>
      <c r="E2719" s="88">
        <v>16801.060000000001</v>
      </c>
      <c r="F2719" s="48"/>
      <c r="G2719" s="51"/>
      <c r="H2719" s="52"/>
      <c r="I2719" s="53">
        <v>46035</v>
      </c>
      <c r="J2719" s="89"/>
      <c r="K2719" s="89"/>
      <c r="L2719" s="89"/>
      <c r="M2719" s="89"/>
      <c r="N2719" s="89"/>
      <c r="O2719" s="89"/>
      <c r="P2719" s="89"/>
      <c r="Q2719" s="89"/>
    </row>
    <row r="2720" spans="1:17">
      <c r="A2720" s="47">
        <v>784</v>
      </c>
      <c r="B2720" s="48" t="str">
        <f>IFERROR(VLOOKUP(A2720,CLIENTES!A:E,2,0),"CADASTRAR CLIENTE")</f>
        <v>LAB.ANAL.CLIN. ALBERT SABIN SC LTDA.</v>
      </c>
      <c r="C2720" s="54" t="s">
        <v>3</v>
      </c>
      <c r="D2720" s="54">
        <v>93469</v>
      </c>
      <c r="E2720" s="88">
        <v>8172</v>
      </c>
      <c r="F2720" s="48"/>
      <c r="G2720" s="51"/>
      <c r="H2720" s="52"/>
      <c r="I2720" s="53">
        <v>46035</v>
      </c>
    </row>
    <row r="2721" spans="1:17">
      <c r="A2721" s="47">
        <v>690</v>
      </c>
      <c r="B2721" s="48" t="str">
        <f>IFERROR(VLOOKUP(A2721,CLIENTES!A:E,2,0),"CADASTRAR CLIENTE")</f>
        <v>SAO ROQUE MEDICINA DIAGNOSTICA LTDA EPP</v>
      </c>
      <c r="C2721" s="54" t="s">
        <v>3</v>
      </c>
      <c r="D2721" s="54" t="s">
        <v>885</v>
      </c>
      <c r="E2721" s="51">
        <v>1177.0999999999999</v>
      </c>
      <c r="F2721" s="48"/>
      <c r="G2721" s="51"/>
      <c r="H2721" s="52"/>
      <c r="I2721" s="53">
        <v>46035</v>
      </c>
      <c r="J2721" s="89"/>
      <c r="K2721" s="89"/>
      <c r="L2721" s="89"/>
      <c r="M2721" s="89"/>
      <c r="N2721" s="89"/>
      <c r="O2721" s="89"/>
      <c r="P2721" s="89"/>
      <c r="Q2721" s="89"/>
    </row>
    <row r="2722" spans="1:17">
      <c r="A2722" s="47">
        <v>1240</v>
      </c>
      <c r="B2722" s="48" t="str">
        <f>IFERROR(VLOOKUP(A2722,CLIENTES!A:E,2,0),"CADASTRAR CLIENTE")</f>
        <v>MONICA VIEIRA DE CAMPOS REBELO-ME</v>
      </c>
      <c r="C2722" s="54" t="s">
        <v>3</v>
      </c>
      <c r="D2722" s="54">
        <v>93517</v>
      </c>
      <c r="E2722" s="51">
        <v>1943.25</v>
      </c>
      <c r="F2722" s="48"/>
      <c r="G2722" s="51"/>
      <c r="H2722" s="52"/>
      <c r="I2722" s="53">
        <v>46035</v>
      </c>
      <c r="J2722" s="89"/>
      <c r="K2722" s="89"/>
      <c r="L2722" s="89"/>
      <c r="M2722" s="89"/>
      <c r="N2722" s="89"/>
      <c r="O2722" s="89"/>
      <c r="P2722" s="89"/>
      <c r="Q2722" s="89"/>
    </row>
    <row r="2723" spans="1:17">
      <c r="A2723" s="47">
        <v>50554</v>
      </c>
      <c r="B2723" s="48" t="str">
        <f>IFERROR(VLOOKUP(A2723,CLIENTES!A:E,2,0),"CADASTRAR CLIENTE")</f>
        <v>SAO ROQUE MEDICINA DIAGNOSTICA</v>
      </c>
      <c r="C2723" s="54" t="s">
        <v>3</v>
      </c>
      <c r="D2723" s="54" t="s">
        <v>886</v>
      </c>
      <c r="E2723" s="51">
        <v>5625.85</v>
      </c>
      <c r="F2723" s="48"/>
      <c r="G2723" s="51"/>
      <c r="H2723" s="52"/>
      <c r="I2723" s="53">
        <v>46035</v>
      </c>
      <c r="J2723" s="89"/>
      <c r="K2723" s="89"/>
      <c r="L2723" s="89"/>
      <c r="M2723" s="89"/>
      <c r="N2723" s="89"/>
      <c r="O2723" s="89"/>
      <c r="P2723" s="89"/>
      <c r="Q2723" s="89"/>
    </row>
    <row r="2724" spans="1:17">
      <c r="A2724" s="47">
        <v>2022</v>
      </c>
      <c r="B2724" s="48" t="str">
        <f>IFERROR(VLOOKUP(A2724,CLIENTES!A:E,2,0),"CADASTRAR CLIENTE")</f>
        <v>LAB. MEDICO DR. MARICONDI S/C LTDA.</v>
      </c>
      <c r="C2724" s="54" t="s">
        <v>3</v>
      </c>
      <c r="D2724" s="54">
        <v>93496</v>
      </c>
      <c r="E2724" s="88">
        <v>310.89999999999998</v>
      </c>
      <c r="F2724" s="48"/>
      <c r="G2724" s="51"/>
      <c r="H2724" s="52"/>
      <c r="I2724" s="53">
        <v>46036</v>
      </c>
    </row>
    <row r="2725" spans="1:17">
      <c r="A2725" s="47">
        <v>51182</v>
      </c>
      <c r="B2725" s="48" t="str">
        <f>IFERROR(VLOOKUP(A2725,CLIENTES!A:E,2,0),"CADASTRAR CLIENTE")</f>
        <v>GENNER FABRIS FLORENCIO OLIVO</v>
      </c>
      <c r="C2725" s="54" t="s">
        <v>3</v>
      </c>
      <c r="D2725" s="54">
        <v>93408</v>
      </c>
      <c r="E2725" s="51">
        <v>1152.4000000000001</v>
      </c>
      <c r="F2725" s="48"/>
      <c r="G2725" s="51"/>
      <c r="H2725" s="52"/>
      <c r="I2725" s="53">
        <v>46036</v>
      </c>
      <c r="J2725" s="89"/>
      <c r="K2725" s="89"/>
      <c r="L2725" s="89"/>
      <c r="M2725" s="89"/>
      <c r="N2725" s="89"/>
      <c r="O2725" s="89"/>
      <c r="P2725" s="89"/>
      <c r="Q2725" s="89"/>
    </row>
    <row r="2726" spans="1:17">
      <c r="A2726" s="47">
        <v>761</v>
      </c>
      <c r="B2726" s="48" t="str">
        <f>IFERROR(VLOOKUP(A2726,CLIENTES!A:E,2,0),"CADASTRAR CLIENTE")</f>
        <v>EXAME CENTRO DIAG.M.ARACATUBA SC LTDA.</v>
      </c>
      <c r="C2726" s="54" t="s">
        <v>3</v>
      </c>
      <c r="D2726" s="54" t="s">
        <v>887</v>
      </c>
      <c r="E2726" s="51">
        <v>1676.35</v>
      </c>
      <c r="F2726" s="48"/>
      <c r="G2726" s="51"/>
      <c r="H2726" s="52"/>
      <c r="I2726" s="53">
        <v>46036</v>
      </c>
    </row>
    <row r="2727" spans="1:17">
      <c r="A2727" s="47">
        <v>500873</v>
      </c>
      <c r="B2727" s="48" t="str">
        <f>IFERROR(VLOOKUP(A2727,CLIENTES!A:E,2,0),"CADASTRAR CLIENTE")</f>
        <v>HOUPILLARD SERVICOS VETERINARIOS LTDA.</v>
      </c>
      <c r="C2727" s="54" t="s">
        <v>3</v>
      </c>
      <c r="D2727" s="54" t="s">
        <v>888</v>
      </c>
      <c r="E2727" s="51">
        <v>760.89</v>
      </c>
      <c r="F2727" s="48"/>
      <c r="G2727" s="51"/>
      <c r="H2727" s="52"/>
      <c r="I2727" s="53">
        <v>46036</v>
      </c>
    </row>
    <row r="2728" spans="1:17">
      <c r="A2728" s="47">
        <v>500507</v>
      </c>
      <c r="B2728" s="48" t="str">
        <f>IFERROR(VLOOKUP(A2728,CLIENTES!A:E,2,0),"CADASTRAR CLIENTE")</f>
        <v>LABORATORIOS DOCTOR</v>
      </c>
      <c r="C2728" s="54" t="s">
        <v>3</v>
      </c>
      <c r="D2728" s="54" t="s">
        <v>913</v>
      </c>
      <c r="E2728" s="88">
        <v>6491.28</v>
      </c>
      <c r="F2728" s="48"/>
      <c r="G2728" s="51"/>
      <c r="H2728" s="52"/>
      <c r="I2728" s="53">
        <v>46052</v>
      </c>
    </row>
    <row r="2729" spans="1:17">
      <c r="A2729" s="47">
        <v>500243</v>
      </c>
      <c r="B2729" s="48" t="str">
        <f>IFERROR(VLOOKUP(A2729,CLIENTES!A:E,2,0),"CADASTRAR CLIENTE")</f>
        <v>UNIMED DE IBITINGA COOPERATIVA DE TRABALHO MEDICO</v>
      </c>
      <c r="C2729" s="54" t="s">
        <v>3</v>
      </c>
      <c r="D2729" s="54">
        <v>93545</v>
      </c>
      <c r="E2729" s="51">
        <v>2070.0300000000002</v>
      </c>
      <c r="F2729" s="48"/>
      <c r="G2729" s="51"/>
      <c r="H2729" s="52"/>
      <c r="I2729" s="53">
        <v>46036</v>
      </c>
    </row>
    <row r="2730" spans="1:17">
      <c r="A2730" s="47">
        <v>51061</v>
      </c>
      <c r="B2730" s="48" t="str">
        <f>IFERROR(VLOOKUP(A2730,CLIENTES!A:E,2,0),"CADASTRAR CLIENTE")</f>
        <v>UNIMED AMPARO COOPERATIVA DE TRABALHO MEDICO</v>
      </c>
      <c r="C2730" s="54" t="s">
        <v>3</v>
      </c>
      <c r="D2730" s="54">
        <v>93576</v>
      </c>
      <c r="E2730" s="51">
        <v>923</v>
      </c>
      <c r="F2730" s="48"/>
      <c r="G2730" s="51"/>
      <c r="H2730" s="52"/>
      <c r="I2730" s="53">
        <v>46036</v>
      </c>
    </row>
    <row r="2731" spans="1:17">
      <c r="A2731" s="80">
        <v>50936</v>
      </c>
      <c r="B2731" s="81" t="str">
        <f>IFERROR(VLOOKUP(A2731,CLIENTES!A:E,2,0),"CADASTRAR CLIENTE")</f>
        <v>LABORATORIO DE ANALISES CLINICAS SAO JOSE LTDA</v>
      </c>
      <c r="C2731" s="85" t="s">
        <v>3</v>
      </c>
      <c r="D2731" s="85">
        <v>93579</v>
      </c>
      <c r="E2731" s="82">
        <v>850</v>
      </c>
      <c r="F2731" s="81"/>
      <c r="G2731" s="82"/>
      <c r="H2731" s="83"/>
      <c r="I2731" s="84">
        <v>46037</v>
      </c>
    </row>
    <row r="2732" spans="1:17">
      <c r="A2732" s="47">
        <v>500949</v>
      </c>
      <c r="B2732" s="48" t="str">
        <f>IFERROR(VLOOKUP(A2732,CLIENTES!A:E,2,0),"CADASTRAR CLIENTE")</f>
        <v>CLIN KIDS SERVICOS MEDICOS S/A</v>
      </c>
      <c r="C2732" s="54" t="s">
        <v>738</v>
      </c>
      <c r="D2732" s="54">
        <v>93601</v>
      </c>
      <c r="E2732" s="51">
        <v>5544.8</v>
      </c>
      <c r="F2732" s="48"/>
      <c r="G2732" s="51"/>
      <c r="H2732" s="52"/>
      <c r="I2732" s="53">
        <v>46037</v>
      </c>
    </row>
    <row r="2733" spans="1:17">
      <c r="A2733" s="47">
        <v>784</v>
      </c>
      <c r="B2733" s="48" t="str">
        <f>IFERROR(VLOOKUP(A2733,CLIENTES!A:E,2,0),"CADASTRAR CLIENTE")</f>
        <v>LAB.ANAL.CLIN. ALBERT SABIN SC LTDA.</v>
      </c>
      <c r="C2733" s="54" t="s">
        <v>3</v>
      </c>
      <c r="D2733" s="54">
        <v>93605</v>
      </c>
      <c r="E2733" s="51">
        <v>1469.96</v>
      </c>
      <c r="F2733" s="48"/>
      <c r="G2733" s="51"/>
      <c r="H2733" s="52"/>
      <c r="I2733" s="53">
        <v>46037</v>
      </c>
    </row>
    <row r="2734" spans="1:17">
      <c r="A2734" s="47">
        <v>1493</v>
      </c>
      <c r="B2734" s="48" t="str">
        <f>IFERROR(VLOOKUP(A2734,CLIENTES!A:E,2,0),"CADASTRAR CLIENTE")</f>
        <v>CEDIMA  CENTRO DE DIAG MONTE AZUL ANAL CLIN E CIT</v>
      </c>
      <c r="C2734" s="54" t="s">
        <v>3</v>
      </c>
      <c r="D2734" s="54">
        <v>93585</v>
      </c>
      <c r="E2734" s="51">
        <v>582</v>
      </c>
      <c r="F2734" s="48"/>
      <c r="G2734" s="51"/>
      <c r="H2734" s="52"/>
      <c r="I2734" s="53">
        <v>46037</v>
      </c>
    </row>
    <row r="2735" spans="1:17">
      <c r="A2735" s="47">
        <v>1971</v>
      </c>
      <c r="B2735" s="48" t="str">
        <f>IFERROR(VLOOKUP(A2735,CLIENTES!A:E,2,0),"CADASTRAR CLIENTE")</f>
        <v>LABORATORIO POPULAR LAB 7 LTDA</v>
      </c>
      <c r="C2735" s="54" t="s">
        <v>3</v>
      </c>
      <c r="D2735" s="54">
        <v>93612</v>
      </c>
      <c r="E2735" s="51">
        <v>95.2</v>
      </c>
      <c r="F2735" s="48"/>
      <c r="G2735" s="51"/>
      <c r="H2735" s="52"/>
      <c r="I2735" s="53">
        <v>46037</v>
      </c>
    </row>
    <row r="2736" spans="1:17">
      <c r="A2736" s="47">
        <v>906</v>
      </c>
      <c r="B2736" s="48" t="str">
        <f>IFERROR(VLOOKUP(A2736,CLIENTES!A:E,2,0),"CADASTRAR CLIENTE")</f>
        <v>LABORATORIO ANAL. CLIN. DESCALVADO LTDA</v>
      </c>
      <c r="C2736" s="54" t="s">
        <v>3</v>
      </c>
      <c r="D2736" s="54">
        <v>93624</v>
      </c>
      <c r="E2736" s="51">
        <v>1266</v>
      </c>
      <c r="F2736" s="48"/>
      <c r="G2736" s="51"/>
      <c r="H2736" s="52"/>
      <c r="I2736" s="53">
        <v>46037</v>
      </c>
    </row>
    <row r="2737" spans="1:9">
      <c r="A2737" s="47">
        <v>3194</v>
      </c>
      <c r="B2737" s="48" t="str">
        <f>IFERROR(VLOOKUP(A2737,CLIENTES!A:E,2,0),"CADASTRAR CLIENTE")</f>
        <v>CENTRO DE DIAGNOSTICOS CONTROLE LTDA</v>
      </c>
      <c r="C2737" s="54" t="s">
        <v>3</v>
      </c>
      <c r="D2737" s="54">
        <v>93539</v>
      </c>
      <c r="E2737" s="51">
        <v>461.5</v>
      </c>
      <c r="F2737" s="48"/>
      <c r="G2737" s="51"/>
      <c r="H2737" s="52"/>
      <c r="I2737" s="53">
        <v>46038</v>
      </c>
    </row>
    <row r="2738" spans="1:9">
      <c r="A2738" s="47">
        <v>500149</v>
      </c>
      <c r="B2738" s="48" t="str">
        <f>IFERROR(VLOOKUP(A2738,CLIENTES!A:E,2,0),"CADASTRAR CLIENTE")</f>
        <v>SAO ROQUE MEDICINA DIAGNOSTICA LTDA</v>
      </c>
      <c r="C2738" s="54" t="s">
        <v>3</v>
      </c>
      <c r="D2738" s="54" t="s">
        <v>893</v>
      </c>
      <c r="E2738" s="51">
        <v>2149.6</v>
      </c>
      <c r="F2738" s="48"/>
      <c r="G2738" s="51"/>
      <c r="H2738" s="52"/>
      <c r="I2738" s="53">
        <v>46041</v>
      </c>
    </row>
    <row r="2739" spans="1:9">
      <c r="A2739" s="47">
        <v>9063</v>
      </c>
      <c r="B2739" s="48" t="str">
        <f>IFERROR(VLOOKUP(A2739,CLIENTES!A:E,2,0),"CADASTRAR CLIENTE")</f>
        <v>LABORATORIO SAMIA LTDA</v>
      </c>
      <c r="C2739" s="54" t="s">
        <v>3</v>
      </c>
      <c r="D2739" s="54">
        <v>93292</v>
      </c>
      <c r="E2739" s="51">
        <v>611</v>
      </c>
      <c r="F2739" s="48"/>
      <c r="G2739" s="51"/>
      <c r="H2739" s="52"/>
      <c r="I2739" s="53">
        <v>46041</v>
      </c>
    </row>
    <row r="2740" spans="1:9">
      <c r="A2740" s="47">
        <v>1164</v>
      </c>
      <c r="B2740" s="48" t="str">
        <f>IFERROR(VLOOKUP(A2740,CLIENTES!A:E,2,0),"CADASTRAR CLIENTE")</f>
        <v>LAB. ANAL. CLIN. SAO LOURENCO S/C LTDA</v>
      </c>
      <c r="C2740" s="54" t="s">
        <v>3</v>
      </c>
      <c r="D2740" s="54" t="s">
        <v>894</v>
      </c>
      <c r="E2740" s="51">
        <v>1512.63</v>
      </c>
      <c r="F2740" s="48"/>
      <c r="G2740" s="51"/>
      <c r="H2740" s="52"/>
      <c r="I2740" s="53">
        <v>46041</v>
      </c>
    </row>
    <row r="2741" spans="1:9">
      <c r="A2741" s="47">
        <v>50418</v>
      </c>
      <c r="B2741" s="48" t="str">
        <f>IFERROR(VLOOKUP(A2741,CLIENTES!A:E,2,0),"CADASTRAR CLIENTE")</f>
        <v>LABORATORIO SAO LUCAS DE BROTAS SS LTDA</v>
      </c>
      <c r="C2741" s="54" t="s">
        <v>3</v>
      </c>
      <c r="D2741" s="54">
        <v>93716</v>
      </c>
      <c r="E2741" s="51">
        <v>3499.57</v>
      </c>
      <c r="F2741" s="48"/>
      <c r="G2741" s="51"/>
      <c r="H2741" s="52"/>
      <c r="I2741" s="53">
        <v>46041</v>
      </c>
    </row>
    <row r="2742" spans="1:9">
      <c r="A2742" s="47">
        <v>432</v>
      </c>
      <c r="B2742" s="48" t="str">
        <f>IFERROR(VLOOKUP(A2742,CLIENTES!A:E,2,0),"CADASTRAR CLIENTE")</f>
        <v>LABORATORIO PASTEUR HEMATOLOGIA E MICROBIOLOGIA S/S LTDA</v>
      </c>
      <c r="C2742" s="54" t="s">
        <v>3</v>
      </c>
      <c r="D2742" s="54" t="s">
        <v>895</v>
      </c>
      <c r="E2742" s="51">
        <v>6885.72</v>
      </c>
      <c r="F2742" s="48"/>
      <c r="G2742" s="51"/>
      <c r="H2742" s="52"/>
      <c r="I2742" s="53">
        <v>46042</v>
      </c>
    </row>
    <row r="2743" spans="1:9">
      <c r="A2743" s="47">
        <v>1788</v>
      </c>
      <c r="B2743" s="48" t="str">
        <f>IFERROR(VLOOKUP(A2743,CLIENTES!A:E,2,0),"CADASTRAR CLIENTE")</f>
        <v>ZANATA &amp; REIS LABORCLINICA LTDA</v>
      </c>
      <c r="C2743" s="54" t="s">
        <v>3</v>
      </c>
      <c r="D2743" s="54">
        <v>93770</v>
      </c>
      <c r="E2743" s="51">
        <v>392</v>
      </c>
      <c r="F2743" s="48"/>
      <c r="G2743" s="51"/>
      <c r="H2743" s="52"/>
      <c r="I2743" s="53">
        <v>46042</v>
      </c>
    </row>
    <row r="2744" spans="1:9">
      <c r="A2744" s="47">
        <v>761</v>
      </c>
      <c r="B2744" s="48" t="str">
        <f>IFERROR(VLOOKUP(A2744,CLIENTES!A:E,2,0),"CADASTRAR CLIENTE")</f>
        <v>EXAME CENTRO DIAG.M.ARACATUBA SC LTDA.</v>
      </c>
      <c r="C2744" s="54" t="s">
        <v>3</v>
      </c>
      <c r="D2744" s="54" t="s">
        <v>896</v>
      </c>
      <c r="E2744" s="51">
        <v>409.37</v>
      </c>
      <c r="F2744" s="48"/>
      <c r="G2744" s="51"/>
      <c r="H2744" s="52"/>
      <c r="I2744" s="53">
        <v>46042</v>
      </c>
    </row>
    <row r="2745" spans="1:9">
      <c r="A2745" s="47">
        <v>687</v>
      </c>
      <c r="B2745" s="48" t="str">
        <f>IFERROR(VLOOKUP(A2745,CLIENTES!A:E,2,0),"CADASTRAR CLIENTE")</f>
        <v>LAB ANAL CLIN VENDRAMINI S/S LTDA</v>
      </c>
      <c r="C2745" s="54" t="s">
        <v>3</v>
      </c>
      <c r="D2745" s="54">
        <v>93797</v>
      </c>
      <c r="E2745" s="51">
        <v>334.8</v>
      </c>
      <c r="F2745" s="48"/>
      <c r="G2745" s="51"/>
      <c r="H2745" s="52"/>
      <c r="I2745" s="53">
        <v>46043</v>
      </c>
    </row>
    <row r="2746" spans="1:9">
      <c r="A2746" s="47">
        <v>618</v>
      </c>
      <c r="B2746" s="48" t="str">
        <f>IFERROR(VLOOKUP(A2746,CLIENTES!A:E,2,0),"CADASTRAR CLIENTE")</f>
        <v>LAB. ANAL. CLIN. POMPEIA</v>
      </c>
      <c r="C2746" s="54" t="s">
        <v>3</v>
      </c>
      <c r="D2746" s="54" t="s">
        <v>897</v>
      </c>
      <c r="E2746" s="51">
        <v>950.88</v>
      </c>
      <c r="F2746" s="48"/>
      <c r="G2746" s="51"/>
      <c r="H2746" s="52"/>
      <c r="I2746" s="53">
        <v>46043</v>
      </c>
    </row>
    <row r="2747" spans="1:9">
      <c r="A2747" s="47">
        <v>1122</v>
      </c>
      <c r="B2747" s="48" t="str">
        <f>IFERROR(VLOOKUP(A2747,CLIENTES!A:E,2,0),"CADASTRAR CLIENTE")</f>
        <v>FUNDEPAG</v>
      </c>
      <c r="C2747" s="54" t="s">
        <v>860</v>
      </c>
      <c r="D2747" s="54">
        <v>93807</v>
      </c>
      <c r="E2747" s="51">
        <v>3739.35</v>
      </c>
      <c r="F2747" s="48"/>
      <c r="G2747" s="51"/>
      <c r="H2747" s="52"/>
      <c r="I2747" s="53">
        <v>46043</v>
      </c>
    </row>
    <row r="2748" spans="1:9">
      <c r="A2748" s="47">
        <v>311</v>
      </c>
      <c r="B2748" s="48" t="str">
        <f>IFERROR(VLOOKUP(A2748,CLIENTES!A:E,2,0),"CADASTRAR CLIENTE")</f>
        <v>CENTRO DE ANAL.CLIN. UNILAB  SC LTDA.</v>
      </c>
      <c r="C2748" s="54" t="s">
        <v>3</v>
      </c>
      <c r="D2748" s="54" t="s">
        <v>898</v>
      </c>
      <c r="E2748" s="51">
        <v>1756.26</v>
      </c>
      <c r="F2748" s="48"/>
      <c r="G2748" s="51"/>
      <c r="H2748" s="52"/>
      <c r="I2748" s="53">
        <v>46043</v>
      </c>
    </row>
    <row r="2749" spans="1:9">
      <c r="A2749" s="47">
        <v>960</v>
      </c>
      <c r="B2749" s="48" t="str">
        <f>IFERROR(VLOOKUP(A2749,CLIENTES!A:E,2,0),"CADASTRAR CLIENTE")</f>
        <v>LUIS VALERIO FILHO-ME</v>
      </c>
      <c r="C2749" s="54" t="s">
        <v>3</v>
      </c>
      <c r="D2749" s="54" t="s">
        <v>899</v>
      </c>
      <c r="E2749" s="51">
        <v>816</v>
      </c>
      <c r="F2749" s="48"/>
      <c r="G2749" s="51"/>
      <c r="H2749" s="52"/>
      <c r="I2749" s="53">
        <v>46043</v>
      </c>
    </row>
    <row r="2750" spans="1:9">
      <c r="A2750" s="47">
        <v>2980</v>
      </c>
      <c r="B2750" s="48" t="str">
        <f>IFERROR(VLOOKUP(A2750,CLIENTES!A:E,2,0),"CADASTRAR CLIENTE")</f>
        <v>ALMEIDA &amp; FLAITT LABORATORIOS DE ANALISES CLINICAS LTDA</v>
      </c>
      <c r="C2750" s="54" t="s">
        <v>3</v>
      </c>
      <c r="D2750" s="54" t="s">
        <v>900</v>
      </c>
      <c r="E2750" s="88">
        <v>4670.99</v>
      </c>
      <c r="F2750" s="48"/>
      <c r="G2750" s="51"/>
      <c r="H2750" s="52"/>
      <c r="I2750" s="53">
        <v>46050</v>
      </c>
    </row>
    <row r="2751" spans="1:9">
      <c r="A2751" s="47">
        <v>516</v>
      </c>
      <c r="B2751" s="48" t="str">
        <f>IFERROR(VLOOKUP(A2751,CLIENTES!A:E,2,0),"CADASTRAR CLIENTE")</f>
        <v>TECNOLAB PATOLOGIA CLINICA S/C LTDA</v>
      </c>
      <c r="C2751" s="54" t="s">
        <v>3</v>
      </c>
      <c r="D2751" s="54">
        <v>93864</v>
      </c>
      <c r="E2751" s="51">
        <v>12091.79</v>
      </c>
      <c r="F2751" s="48"/>
      <c r="G2751" s="51"/>
      <c r="H2751" s="52"/>
      <c r="I2751" s="53">
        <v>46044</v>
      </c>
    </row>
    <row r="2752" spans="1:9">
      <c r="A2752" s="90">
        <v>500854</v>
      </c>
      <c r="B2752" s="91" t="str">
        <f>IFERROR(VLOOKUP(A2752,CLIENTES!A:E,2,0),"CADASTRAR CLIENTE")</f>
        <v>SOLUCOES FARMA DISTRIBUIDORA E IMPORTADORA DE MEDICAMENTOS E PRODUTOS PARA SAUDE LTDA.</v>
      </c>
      <c r="C2752" s="92" t="s">
        <v>3</v>
      </c>
      <c r="D2752" s="92">
        <v>93654</v>
      </c>
      <c r="E2752" s="93">
        <v>14808.08</v>
      </c>
      <c r="F2752" s="91"/>
      <c r="G2752" s="105"/>
      <c r="H2752" s="94"/>
      <c r="I2752" s="95">
        <v>46048</v>
      </c>
    </row>
    <row r="2753" spans="1:9">
      <c r="A2753" s="47">
        <v>412</v>
      </c>
      <c r="B2753" s="48" t="str">
        <f>IFERROR(VLOOKUP(A2753,CLIENTES!A:E,2,0),"CADASTRAR CLIENTE")</f>
        <v>LAB.ANAL.CLIN.SAO MANUEL SC LTDA.</v>
      </c>
      <c r="C2753" s="54" t="s">
        <v>3</v>
      </c>
      <c r="D2753" s="54">
        <v>93892</v>
      </c>
      <c r="E2753" s="51">
        <v>235.6</v>
      </c>
      <c r="F2753" s="48"/>
      <c r="G2753" s="51"/>
      <c r="H2753" s="52"/>
      <c r="I2753" s="53">
        <v>46045</v>
      </c>
    </row>
    <row r="2754" spans="1:9">
      <c r="A2754" s="47">
        <v>2199</v>
      </c>
      <c r="B2754" s="48" t="str">
        <f>IFERROR(VLOOKUP(A2754,CLIENTES!A:E,2,0),"CADASTRAR CLIENTE")</f>
        <v>SOCIEDADE EDUCACIONAL UBERABENSE</v>
      </c>
      <c r="C2754" s="54" t="s">
        <v>738</v>
      </c>
      <c r="D2754" s="54">
        <v>93902</v>
      </c>
      <c r="E2754" s="51">
        <v>968.9</v>
      </c>
      <c r="F2754" s="48"/>
      <c r="G2754" s="51"/>
      <c r="H2754" s="52"/>
      <c r="I2754" s="53">
        <v>46048</v>
      </c>
    </row>
    <row r="2755" spans="1:9">
      <c r="A2755" s="47">
        <v>708</v>
      </c>
      <c r="B2755" s="48" t="str">
        <f>IFERROR(VLOOKUP(A2755,CLIENTES!A:E,2,0),"CADASTRAR CLIENTE")</f>
        <v>IMEDI INST.MEDICO DE PAT.E DIAGNOSTICO SC LTDA.</v>
      </c>
      <c r="C2755" s="54" t="s">
        <v>3</v>
      </c>
      <c r="D2755" s="54">
        <v>93916</v>
      </c>
      <c r="E2755" s="51">
        <v>2069.9</v>
      </c>
      <c r="F2755" s="48"/>
      <c r="G2755" s="51"/>
      <c r="H2755" s="52"/>
      <c r="I2755" s="53">
        <v>46048</v>
      </c>
    </row>
    <row r="2756" spans="1:9">
      <c r="A2756" s="47">
        <v>2163</v>
      </c>
      <c r="B2756" s="48" t="str">
        <f>IFERROR(VLOOKUP(A2756,CLIENTES!A:E,2,0),"CADASTRAR CLIENTE")</f>
        <v>BIO-LAB SAO JUDAS TADEU S/C LTDA - ME</v>
      </c>
      <c r="C2756" s="54" t="s">
        <v>3</v>
      </c>
      <c r="D2756" s="54">
        <v>93942</v>
      </c>
      <c r="E2756" s="51">
        <v>1264.5999999999999</v>
      </c>
      <c r="F2756" s="48"/>
      <c r="G2756" s="51"/>
      <c r="H2756" s="52"/>
      <c r="I2756" s="53">
        <v>46048</v>
      </c>
    </row>
    <row r="2757" spans="1:9">
      <c r="A2757" s="47">
        <v>761</v>
      </c>
      <c r="B2757" s="48" t="str">
        <f>IFERROR(VLOOKUP(A2757,CLIENTES!A:E,2,0),"CADASTRAR CLIENTE")</f>
        <v>EXAME CENTRO DIAG.M.ARACATUBA SC LTDA.</v>
      </c>
      <c r="C2757" s="54" t="s">
        <v>3</v>
      </c>
      <c r="D2757" s="54" t="s">
        <v>903</v>
      </c>
      <c r="E2757" s="88">
        <v>13757.527400000001</v>
      </c>
      <c r="F2757" s="48"/>
      <c r="G2757" s="51"/>
      <c r="H2757" s="52"/>
      <c r="I2757" s="53">
        <v>46048</v>
      </c>
    </row>
    <row r="2758" spans="1:9">
      <c r="A2758" s="47">
        <v>20</v>
      </c>
      <c r="B2758" s="48" t="str">
        <f>IFERROR(VLOOKUP(A2758,CLIENTES!A:E,2,0),"CADASTRAR CLIENTE")</f>
        <v>DR BACCILI SERVICOS MEDICO HOSPITALARES S/S</v>
      </c>
      <c r="C2758" s="54" t="s">
        <v>3</v>
      </c>
      <c r="D2758" s="54">
        <v>93912</v>
      </c>
      <c r="E2758" s="51">
        <v>213.05</v>
      </c>
      <c r="F2758" s="48"/>
      <c r="G2758" s="51"/>
      <c r="H2758" s="52"/>
      <c r="I2758" s="53">
        <v>46049</v>
      </c>
    </row>
    <row r="2759" spans="1:9">
      <c r="A2759" s="47">
        <v>2572</v>
      </c>
      <c r="B2759" s="48" t="str">
        <f>IFERROR(VLOOKUP(A2759,CLIENTES!A:E,2,0),"CADASTRAR CLIENTE")</f>
        <v>LAB. ANAL. CLIN. COFFERS S/C LTDA</v>
      </c>
      <c r="C2759" s="54" t="s">
        <v>3</v>
      </c>
      <c r="D2759" s="54">
        <v>93945</v>
      </c>
      <c r="E2759" s="51">
        <v>840</v>
      </c>
      <c r="F2759" s="48"/>
      <c r="G2759" s="51"/>
      <c r="H2759" s="52"/>
      <c r="I2759" s="53">
        <v>46049</v>
      </c>
    </row>
    <row r="2760" spans="1:9">
      <c r="A2760" s="47">
        <v>475</v>
      </c>
      <c r="B2760" s="48" t="str">
        <f>IFERROR(VLOOKUP(A2760,CLIENTES!A:E,2,0),"CADASTRAR CLIENTE")</f>
        <v>LABORATORIO DE ANALISES CLINICAS SRC LTDA</v>
      </c>
      <c r="C2760" s="54" t="s">
        <v>3</v>
      </c>
      <c r="D2760" s="54">
        <v>102493</v>
      </c>
      <c r="E2760" s="51">
        <v>10981.48</v>
      </c>
      <c r="F2760" s="48"/>
      <c r="G2760" s="51"/>
      <c r="H2760" s="52"/>
      <c r="I2760" s="53">
        <v>46049</v>
      </c>
    </row>
    <row r="2761" spans="1:9">
      <c r="A2761" s="97">
        <v>50312</v>
      </c>
      <c r="B2761" s="48" t="str">
        <f>IFERROR(VLOOKUP(A2761,CLIENTES!A:E,2,0),"CADASTRAR CLIENTE")</f>
        <v>LAB-MED LAB.ANALISES CLINICAS</v>
      </c>
      <c r="C2761" s="54" t="s">
        <v>3</v>
      </c>
      <c r="D2761" s="54" t="s">
        <v>905</v>
      </c>
      <c r="E2761" s="51">
        <v>1188.76</v>
      </c>
      <c r="F2761" s="48"/>
      <c r="G2761" s="51"/>
      <c r="H2761" s="52"/>
      <c r="I2761" s="53">
        <v>46049</v>
      </c>
    </row>
    <row r="2762" spans="1:9">
      <c r="A2762" s="47">
        <v>50554</v>
      </c>
      <c r="B2762" s="48" t="str">
        <f>IFERROR(VLOOKUP(A2762,CLIENTES!A:E,2,0),"CADASTRAR CLIENTE")</f>
        <v>SAO ROQUE MEDICINA DIAGNOSTICA</v>
      </c>
      <c r="C2762" s="54" t="s">
        <v>3</v>
      </c>
      <c r="D2762" s="54">
        <v>93988</v>
      </c>
      <c r="E2762" s="51">
        <v>277</v>
      </c>
      <c r="F2762" s="48"/>
      <c r="G2762" s="51"/>
      <c r="H2762" s="52"/>
      <c r="I2762" s="53">
        <v>46049</v>
      </c>
    </row>
    <row r="2763" spans="1:9">
      <c r="A2763" s="47">
        <v>2415</v>
      </c>
      <c r="B2763" s="48" t="str">
        <f>IFERROR(VLOOKUP(A2763,CLIENTES!A:E,2,0),"CADASTRAR CLIENTE")</f>
        <v>ROSSETTO E BARROS LABORATORIO DE ANALISES CLINICAS LTDA</v>
      </c>
      <c r="C2763" s="54" t="s">
        <v>3</v>
      </c>
      <c r="D2763" s="54">
        <v>102499</v>
      </c>
      <c r="E2763" s="51">
        <v>672</v>
      </c>
      <c r="F2763" s="48"/>
      <c r="G2763" s="51"/>
      <c r="H2763" s="52"/>
      <c r="I2763" s="53">
        <v>46049</v>
      </c>
    </row>
    <row r="2764" spans="1:9">
      <c r="A2764" s="47">
        <v>1616</v>
      </c>
      <c r="B2764" s="48" t="str">
        <f>IFERROR(VLOOKUP(A2764,CLIENTES!A:E,2,0),"CADASTRAR CLIENTE")</f>
        <v>NOVO HORIZONTE LAB.ANAL.CLIN.S/C LTDA.</v>
      </c>
      <c r="C2764" s="54" t="s">
        <v>3</v>
      </c>
      <c r="D2764" s="54">
        <v>94004</v>
      </c>
      <c r="E2764" s="51">
        <v>154.97999999999999</v>
      </c>
      <c r="F2764" s="48"/>
      <c r="G2764" s="51"/>
      <c r="H2764" s="52"/>
      <c r="I2764" s="53">
        <v>46050</v>
      </c>
    </row>
    <row r="2765" spans="1:9">
      <c r="A2765" s="47">
        <v>325</v>
      </c>
      <c r="B2765" s="48" t="str">
        <f>IFERROR(VLOOKUP(A2765,CLIENTES!A:E,2,0),"CADASTRAR CLIENTE")</f>
        <v>EXAME-LABORAT. DE ANAL. CLIN. CITODIAGNOSTICO S/S LTDA</v>
      </c>
      <c r="C2765" s="54" t="s">
        <v>3</v>
      </c>
      <c r="D2765" s="54" t="s">
        <v>906</v>
      </c>
      <c r="E2765" s="51">
        <v>1351.65</v>
      </c>
      <c r="F2765" s="48"/>
      <c r="G2765" s="51"/>
      <c r="H2765" s="52"/>
      <c r="I2765" s="53">
        <v>46050</v>
      </c>
    </row>
    <row r="2766" spans="1:9">
      <c r="A2766" s="47">
        <v>434</v>
      </c>
      <c r="B2766" s="48" t="str">
        <f>IFERROR(VLOOKUP(A2766,CLIENTES!A:E,2,0),"CADASTRAR CLIENTE")</f>
        <v>BIOLABOR LAB. ANAL. CLIN. SC LTDA.</v>
      </c>
      <c r="C2766" s="54" t="s">
        <v>3</v>
      </c>
      <c r="D2766" s="54" t="s">
        <v>907</v>
      </c>
      <c r="E2766" s="51">
        <v>1432.36</v>
      </c>
      <c r="F2766" s="48"/>
      <c r="G2766" s="51"/>
      <c r="H2766" s="52"/>
      <c r="I2766" s="53">
        <v>46050</v>
      </c>
    </row>
    <row r="2767" spans="1:9">
      <c r="A2767" s="47">
        <v>1989</v>
      </c>
      <c r="B2767" s="48" t="str">
        <f>IFERROR(VLOOKUP(A2767,CLIENTES!A:E,2,0),"CADASTRAR CLIENTE")</f>
        <v>SAO FRANCISCO ANAL. CLIN.</v>
      </c>
      <c r="C2767" s="54" t="s">
        <v>3</v>
      </c>
      <c r="D2767" s="54">
        <v>93541</v>
      </c>
      <c r="E2767" s="51">
        <v>790.83</v>
      </c>
      <c r="F2767" s="48"/>
      <c r="G2767" s="51"/>
      <c r="H2767" s="52"/>
      <c r="I2767" s="53">
        <v>46050</v>
      </c>
    </row>
    <row r="2768" spans="1:9">
      <c r="A2768" s="47">
        <v>50576</v>
      </c>
      <c r="B2768" s="48" t="str">
        <f>IFERROR(VLOOKUP(A2768,CLIENTES!A:E,2,0),"CADASTRAR CLIENTE")</f>
        <v>ANDRIAO CANEPPA E SILVA LTDA ME</v>
      </c>
      <c r="C2768" s="54" t="s">
        <v>3</v>
      </c>
      <c r="D2768" s="54">
        <v>93976</v>
      </c>
      <c r="E2768" s="51">
        <v>1102.3499999999999</v>
      </c>
      <c r="F2768" s="48"/>
      <c r="G2768" s="51"/>
      <c r="H2768" s="52"/>
      <c r="I2768" s="53">
        <v>46050</v>
      </c>
    </row>
    <row r="2769" spans="1:9">
      <c r="A2769" s="47">
        <v>480</v>
      </c>
      <c r="B2769" s="48" t="str">
        <f>IFERROR(VLOOKUP(A2769,CLIENTES!A:E,2,0),"CADASTRAR CLIENTE")</f>
        <v>LAB SAO LUCAS</v>
      </c>
      <c r="C2769" s="54" t="s">
        <v>3</v>
      </c>
      <c r="D2769" s="54" t="s">
        <v>908</v>
      </c>
      <c r="E2769" s="51">
        <v>1114</v>
      </c>
      <c r="F2769" s="48"/>
      <c r="G2769" s="51"/>
      <c r="H2769" s="52"/>
      <c r="I2769" s="53">
        <v>46050</v>
      </c>
    </row>
    <row r="2770" spans="1:9">
      <c r="A2770" s="47">
        <v>311</v>
      </c>
      <c r="B2770" s="48" t="str">
        <f>IFERROR(VLOOKUP(A2770,CLIENTES!A:E,2,0),"CADASTRAR CLIENTE")</f>
        <v>CENTRO DE ANAL.CLIN. UNILAB  SC LTDA.</v>
      </c>
      <c r="C2770" s="54" t="s">
        <v>3</v>
      </c>
      <c r="D2770" s="54">
        <v>102484</v>
      </c>
      <c r="E2770" s="51">
        <v>398.39</v>
      </c>
      <c r="F2770" s="48"/>
      <c r="G2770" s="51"/>
      <c r="H2770" s="52"/>
      <c r="I2770" s="53">
        <v>46050</v>
      </c>
    </row>
    <row r="2771" spans="1:9">
      <c r="A2771" s="47">
        <v>500873</v>
      </c>
      <c r="B2771" s="48" t="str">
        <f>IFERROR(VLOOKUP(A2771,CLIENTES!A:E,2,0),"CADASTRAR CLIENTE")</f>
        <v>HOUPILLARD SERVICOS VETERINARIOS LTDA.</v>
      </c>
      <c r="C2771" s="54" t="s">
        <v>3</v>
      </c>
      <c r="D2771" s="54" t="s">
        <v>909</v>
      </c>
      <c r="E2771" s="51">
        <v>863.99</v>
      </c>
      <c r="F2771" s="48"/>
      <c r="G2771" s="51"/>
      <c r="H2771" s="52"/>
      <c r="I2771" s="53">
        <v>46050</v>
      </c>
    </row>
    <row r="2772" spans="1:9">
      <c r="A2772" s="47">
        <v>905</v>
      </c>
      <c r="B2772" s="48" t="str">
        <f>IFERROR(VLOOKUP(A2772,CLIENTES!A:E,2,0),"CADASTRAR CLIENTE")</f>
        <v>LAB AN CLIN DR NESTOR FERRAREZZI FILHO  SC LTDA</v>
      </c>
      <c r="C2772" s="54" t="s">
        <v>3</v>
      </c>
      <c r="D2772" s="54" t="s">
        <v>910</v>
      </c>
      <c r="E2772" s="51">
        <v>1066.1400000000001</v>
      </c>
      <c r="F2772" s="48"/>
      <c r="G2772" s="51"/>
      <c r="H2772" s="52"/>
      <c r="I2772" s="53">
        <v>46050</v>
      </c>
    </row>
    <row r="2773" spans="1:9">
      <c r="A2773" s="47">
        <v>822</v>
      </c>
      <c r="B2773" s="48" t="str">
        <f>IFERROR(VLOOKUP(A2773,CLIENTES!A:E,2,0),"CADASTRAR CLIENTE")</f>
        <v>SAO LUCAS LABORATORIO ANAL. CLIN. S/C LTDA</v>
      </c>
      <c r="C2773" s="54" t="s">
        <v>3</v>
      </c>
      <c r="D2773" s="54" t="s">
        <v>911</v>
      </c>
      <c r="E2773" s="88">
        <v>1813.27</v>
      </c>
      <c r="F2773" s="48"/>
      <c r="G2773" s="51"/>
      <c r="H2773" s="52"/>
      <c r="I2773" s="53">
        <v>46050</v>
      </c>
    </row>
    <row r="2774" spans="1:9">
      <c r="A2774" s="47">
        <v>1813</v>
      </c>
      <c r="B2774" s="48" t="str">
        <f>IFERROR(VLOOKUP(A2774,CLIENTES!A:E,2,0),"CADASTRAR CLIENTE")</f>
        <v>BIOMED LAB.ANAL.CLIN. SC  LTDA</v>
      </c>
      <c r="C2774" s="54" t="s">
        <v>3</v>
      </c>
      <c r="D2774" s="54">
        <v>94032</v>
      </c>
      <c r="E2774" s="88">
        <v>1653.75</v>
      </c>
      <c r="F2774" s="48"/>
      <c r="G2774" s="51"/>
      <c r="H2774" s="52"/>
      <c r="I2774" s="53">
        <v>46050</v>
      </c>
    </row>
    <row r="2775" spans="1:9">
      <c r="A2775" s="47">
        <v>2203</v>
      </c>
      <c r="B2775" s="48" t="str">
        <f>IFERROR(VLOOKUP(A2775,CLIENTES!A:E,2,0),"CADASTRAR CLIENTE")</f>
        <v>FUNDACAO EDUCACIONAL DE ANDRADINA-FEA</v>
      </c>
      <c r="C2775" s="54" t="s">
        <v>2</v>
      </c>
      <c r="D2775" s="54">
        <v>94013</v>
      </c>
      <c r="E2775" s="88">
        <v>845</v>
      </c>
      <c r="F2775" s="48"/>
      <c r="G2775" s="51"/>
      <c r="H2775" s="52"/>
      <c r="I2775" s="53">
        <v>46050</v>
      </c>
    </row>
    <row r="2776" spans="1:9">
      <c r="A2776" s="62">
        <v>50576</v>
      </c>
      <c r="B2776" s="48" t="str">
        <f>IFERROR(VLOOKUP(A2776,CLIENTES!A:E,2,0),"CADASTRAR CLIENTE")</f>
        <v>ANDRIAO CANEPPA E SILVA LTDA ME</v>
      </c>
      <c r="C2776" s="54" t="s">
        <v>3</v>
      </c>
      <c r="D2776" s="54">
        <v>93976</v>
      </c>
      <c r="E2776" s="51">
        <v>1267.1500000000001</v>
      </c>
      <c r="F2776" s="48"/>
      <c r="G2776" s="51"/>
      <c r="H2776" s="52"/>
      <c r="I2776" s="53">
        <v>46050</v>
      </c>
    </row>
    <row r="2777" spans="1:9">
      <c r="A2777" s="47">
        <v>784</v>
      </c>
      <c r="B2777" s="48" t="str">
        <f>IFERROR(VLOOKUP(A2777,CLIENTES!A:E,2,0),"CADASTRAR CLIENTE")</f>
        <v>LAB.ANAL.CLIN. ALBERT SABIN SC LTDA.</v>
      </c>
      <c r="C2777" s="54" t="s">
        <v>3</v>
      </c>
      <c r="D2777" s="54">
        <v>94043</v>
      </c>
      <c r="E2777" s="51">
        <v>640</v>
      </c>
      <c r="F2777" s="48"/>
      <c r="G2777" s="51"/>
      <c r="H2777" s="52"/>
      <c r="I2777" s="53">
        <v>46051</v>
      </c>
    </row>
    <row r="2778" spans="1:9">
      <c r="A2778" s="47">
        <v>3190</v>
      </c>
      <c r="B2778" s="48" t="str">
        <f>IFERROR(VLOOKUP(A2778,CLIENTES!A:E,2,0),"CADASTRAR CLIENTE")</f>
        <v>C D A CENTRO DE DIAGNOSTICO VETERINARIO</v>
      </c>
      <c r="C2778" s="54" t="s">
        <v>3</v>
      </c>
      <c r="D2778" s="54" t="s">
        <v>912</v>
      </c>
      <c r="E2778" s="51">
        <v>1455.15</v>
      </c>
      <c r="F2778" s="48"/>
      <c r="G2778" s="51"/>
      <c r="H2778" s="52"/>
      <c r="I2778" s="53">
        <v>46051</v>
      </c>
    </row>
    <row r="2779" spans="1:9">
      <c r="A2779" s="47">
        <v>1206</v>
      </c>
      <c r="B2779" s="48" t="str">
        <f>IFERROR(VLOOKUP(A2779,CLIENTES!A:E,2,0),"CADASTRAR CLIENTE")</f>
        <v>LABORATORIO RIO NEGRO CENTER DE MARILIA  LTDA</v>
      </c>
      <c r="C2779" s="54" t="s">
        <v>3</v>
      </c>
      <c r="D2779" s="54">
        <v>94051</v>
      </c>
      <c r="E2779" s="51">
        <v>1097.8399999999999</v>
      </c>
      <c r="F2779" s="48"/>
      <c r="G2779" s="51"/>
      <c r="H2779" s="52"/>
      <c r="I2779" s="53">
        <v>46051</v>
      </c>
    </row>
    <row r="2780" spans="1:9">
      <c r="A2780" s="47">
        <v>500949</v>
      </c>
      <c r="B2780" s="48" t="str">
        <f>IFERROR(VLOOKUP(A2780,CLIENTES!A:E,2,0),"CADASTRAR CLIENTE")</f>
        <v>CLIN KIDS SERVICOS MEDICOS S/A</v>
      </c>
      <c r="C2780" s="54" t="s">
        <v>738</v>
      </c>
      <c r="D2780" s="54">
        <v>94038</v>
      </c>
      <c r="E2780" s="88">
        <v>1074.5999999999999</v>
      </c>
      <c r="F2780" s="48"/>
      <c r="G2780" s="51"/>
      <c r="H2780" s="52"/>
      <c r="I2780" s="53">
        <v>46051</v>
      </c>
    </row>
    <row r="2781" spans="1:9">
      <c r="A2781" s="47">
        <v>408</v>
      </c>
      <c r="B2781" s="48" t="str">
        <f>IFERROR(VLOOKUP(A2781,CLIENTES!A:E,2,0),"CADASTRAR CLIENTE")</f>
        <v>FUND.DESENV.DE CIENCIAS FARMACEUTICAS</v>
      </c>
      <c r="C2781" s="54" t="s">
        <v>2</v>
      </c>
      <c r="D2781" s="54">
        <v>94061</v>
      </c>
      <c r="E2781" s="88">
        <v>1702.75</v>
      </c>
      <c r="F2781" s="48"/>
      <c r="G2781" s="51"/>
      <c r="H2781" s="52"/>
      <c r="I2781" s="53">
        <v>46051</v>
      </c>
    </row>
    <row r="2782" spans="1:9">
      <c r="A2782" s="47">
        <v>463</v>
      </c>
      <c r="B2782" s="48" t="str">
        <f>IFERROR(VLOOKUP(A2782,CLIENTES!A:E,2,0),"CADASTRAR CLIENTE")</f>
        <v>MASUDA &amp; MASUDA LABORATORIO CLINICO LTDA</v>
      </c>
      <c r="C2782" s="54" t="s">
        <v>3</v>
      </c>
      <c r="D2782" s="54">
        <v>94078</v>
      </c>
      <c r="E2782" s="51">
        <v>346</v>
      </c>
      <c r="F2782" s="48"/>
      <c r="G2782" s="51"/>
      <c r="H2782" s="52"/>
      <c r="I2782" s="53">
        <v>46052</v>
      </c>
    </row>
    <row r="2783" spans="1:9">
      <c r="A2783" s="47">
        <v>572</v>
      </c>
      <c r="B2783" s="48" t="str">
        <f>IFERROR(VLOOKUP(A2783,CLIENTES!A:E,2,0),"CADASTRAR CLIENTE")</f>
        <v>LABORATORIO MULTIANALISES LTDA-ME</v>
      </c>
      <c r="C2783" s="54" t="s">
        <v>3</v>
      </c>
      <c r="D2783" s="54">
        <v>94088</v>
      </c>
      <c r="E2783" s="51">
        <v>447.29</v>
      </c>
      <c r="F2783" s="48"/>
      <c r="G2783" s="51"/>
      <c r="H2783" s="52"/>
      <c r="I2783" s="53">
        <v>46052</v>
      </c>
    </row>
    <row r="2784" spans="1:9">
      <c r="A2784" s="47">
        <v>1652</v>
      </c>
      <c r="B2784" s="48" t="str">
        <f>IFERROR(VLOOKUP(A2784,CLIENTES!A:E,2,0),"CADASTRAR CLIENTE")</f>
        <v>LAB. SANTA CLARA ANAL.CLIN.</v>
      </c>
      <c r="C2784" s="54" t="s">
        <v>816</v>
      </c>
      <c r="D2784" s="54" t="s">
        <v>914</v>
      </c>
      <c r="E2784" s="51">
        <v>363.25</v>
      </c>
      <c r="F2784" s="48"/>
      <c r="G2784" s="51"/>
      <c r="H2784" s="52"/>
      <c r="I2784" s="53">
        <v>46055</v>
      </c>
    </row>
    <row r="2785" spans="1:9">
      <c r="A2785" s="47">
        <v>475</v>
      </c>
      <c r="B2785" s="48" t="str">
        <f>IFERROR(VLOOKUP(A2785,CLIENTES!A:E,2,0),"CADASTRAR CLIENTE")</f>
        <v>LABORATORIO DE ANALISES CLINICAS SRC LTDA</v>
      </c>
      <c r="C2785" s="54" t="s">
        <v>3</v>
      </c>
      <c r="D2785" s="54">
        <v>94104</v>
      </c>
      <c r="E2785" s="51">
        <v>6037.9</v>
      </c>
      <c r="F2785" s="48"/>
      <c r="G2785" s="51"/>
      <c r="H2785" s="52"/>
      <c r="I2785" s="53">
        <v>46055</v>
      </c>
    </row>
    <row r="2786" spans="1:9">
      <c r="A2786" s="47">
        <v>50465</v>
      </c>
      <c r="B2786" s="48" t="str">
        <f>IFERROR(VLOOKUP(A2786,CLIENTES!A:E,2,0),"CADASTRAR CLIENTE")</f>
        <v>LABORATORIO DE ANALISES CLINICAS VIDA BIRIGUI LTDA</v>
      </c>
      <c r="C2786" s="54" t="s">
        <v>3</v>
      </c>
      <c r="D2786" s="54">
        <v>93169</v>
      </c>
      <c r="E2786" s="51">
        <v>3562</v>
      </c>
      <c r="F2786" s="48"/>
      <c r="G2786" s="51"/>
      <c r="H2786" s="52"/>
      <c r="I2786" s="53">
        <v>46055</v>
      </c>
    </row>
    <row r="2787" spans="1:9">
      <c r="A2787" s="47">
        <v>704</v>
      </c>
      <c r="B2787" s="48" t="str">
        <f>IFERROR(VLOOKUP(A2787,CLIENTES!A:E,2,0),"CADASTRAR CLIENTE")</f>
        <v>LAB. ONUMA E BASILIO S/C LTDA</v>
      </c>
      <c r="C2787" s="54" t="s">
        <v>816</v>
      </c>
      <c r="D2787" s="54" t="s">
        <v>915</v>
      </c>
      <c r="E2787" s="51">
        <v>1516.23</v>
      </c>
      <c r="F2787" s="48"/>
      <c r="G2787" s="51"/>
      <c r="H2787" s="52"/>
      <c r="I2787" s="53">
        <v>46056</v>
      </c>
    </row>
    <row r="2788" spans="1:9">
      <c r="A2788" s="47">
        <v>1164</v>
      </c>
      <c r="B2788" s="48" t="str">
        <f>IFERROR(VLOOKUP(A2788,CLIENTES!A:E,2,0),"CADASTRAR CLIENTE")</f>
        <v>LAB. ANAL. CLIN. SAO LOURENCO S/C LTDA</v>
      </c>
      <c r="C2788" s="54" t="s">
        <v>3</v>
      </c>
      <c r="D2788" s="54">
        <v>94167</v>
      </c>
      <c r="E2788" s="51">
        <v>1036.5</v>
      </c>
      <c r="F2788" s="48"/>
      <c r="G2788" s="51"/>
      <c r="H2788" s="52"/>
      <c r="I2788" s="53">
        <v>46056</v>
      </c>
    </row>
    <row r="2789" spans="1:9">
      <c r="A2789" s="18">
        <v>832</v>
      </c>
      <c r="B2789" s="19" t="str">
        <f>IFERROR(VLOOKUP(A2789,CLIENTES!A:E,2,0),"CADASTRAR CLIENTE")</f>
        <v>ASSOCIACAO DE ENSINO E CULTURA DE MATO GROSSO</v>
      </c>
      <c r="C2789" s="60" t="s">
        <v>3</v>
      </c>
      <c r="D2789" s="60">
        <v>93953</v>
      </c>
      <c r="E2789" s="99">
        <v>7950.85</v>
      </c>
      <c r="F2789" s="19"/>
      <c r="G2789" s="21"/>
      <c r="H2789" s="22"/>
      <c r="I2789" s="20">
        <v>46080</v>
      </c>
    </row>
    <row r="2790" spans="1:9">
      <c r="A2790" s="18">
        <v>500005</v>
      </c>
      <c r="B2790" s="19" t="str">
        <f>IFERROR(VLOOKUP(A2790,CLIENTES!A:E,2,0),"CADASTRAR CLIENTE")</f>
        <v>ASSOCIACAO EDUCACIONAL DE ENSINO SUPERIOR</v>
      </c>
      <c r="C2790" s="60" t="s">
        <v>3</v>
      </c>
      <c r="D2790" s="60">
        <v>94478</v>
      </c>
      <c r="E2790" s="99">
        <v>260.39999999999998</v>
      </c>
      <c r="F2790" s="19"/>
      <c r="G2790" s="99"/>
      <c r="H2790" s="22"/>
      <c r="I2790" s="20">
        <v>46080</v>
      </c>
    </row>
    <row r="2791" spans="1:9">
      <c r="A2791" s="18">
        <v>500005</v>
      </c>
      <c r="B2791" s="19" t="str">
        <f>IFERROR(VLOOKUP(A2791,CLIENTES!A:E,2,0),"CADASTRAR CLIENTE")</f>
        <v>ASSOCIACAO EDUCACIONAL DE ENSINO SUPERIOR</v>
      </c>
      <c r="C2791" s="60" t="s">
        <v>3</v>
      </c>
      <c r="D2791" s="60" t="s">
        <v>938</v>
      </c>
      <c r="E2791" s="99">
        <v>3030</v>
      </c>
      <c r="F2791" s="19"/>
      <c r="G2791" s="99"/>
      <c r="H2791" s="22"/>
      <c r="I2791" s="20">
        <v>46069</v>
      </c>
    </row>
    <row r="2792" spans="1:9">
      <c r="A2792" s="47">
        <v>500005</v>
      </c>
      <c r="B2792" s="48" t="str">
        <f>IFERROR(VLOOKUP(A2792,CLIENTES!A:E,2,0),"CADASTRAR CLIENTE")</f>
        <v>ASSOCIACAO EDUCACIONAL DE ENSINO SUPERIOR</v>
      </c>
      <c r="C2792" s="54" t="s">
        <v>3</v>
      </c>
      <c r="D2792" s="54">
        <v>94125</v>
      </c>
      <c r="E2792" s="88"/>
      <c r="F2792" s="48"/>
      <c r="G2792" s="88">
        <v>16430.5</v>
      </c>
      <c r="H2792" s="52"/>
      <c r="I2792" s="53">
        <v>46080</v>
      </c>
    </row>
    <row r="2793" spans="1:9">
      <c r="A2793" s="47">
        <v>50558</v>
      </c>
      <c r="B2793" s="48" t="str">
        <f>IFERROR(VLOOKUP(A2793,CLIENTES!A:E,2,0),"CADASTRAR CLIENTE")</f>
        <v>FUNDACAO PAULISTA DE TECNOLOGIA E EDUCACAO</v>
      </c>
      <c r="C2793" s="54" t="s">
        <v>3</v>
      </c>
      <c r="D2793" s="54">
        <v>93898</v>
      </c>
      <c r="E2793" s="88">
        <v>1868</v>
      </c>
      <c r="F2793" s="48"/>
      <c r="G2793" s="51"/>
      <c r="H2793" s="52"/>
      <c r="I2793" s="53">
        <v>46057</v>
      </c>
    </row>
    <row r="2794" spans="1:9">
      <c r="A2794" s="47">
        <v>3018</v>
      </c>
      <c r="B2794" s="48" t="str">
        <f>IFERROR(VLOOKUP(A2794,CLIENTES!A:E,2,0),"CADASTRAR CLIENTE")</f>
        <v>NP- LABORATORIO DE ANALISES CLINICAS LTDA</v>
      </c>
      <c r="C2794" s="54" t="s">
        <v>3</v>
      </c>
      <c r="D2794" s="54" t="s">
        <v>916</v>
      </c>
      <c r="E2794" s="88">
        <v>399.65</v>
      </c>
      <c r="F2794" s="48"/>
      <c r="G2794" s="51"/>
      <c r="H2794" s="52"/>
      <c r="I2794" s="53">
        <v>46057</v>
      </c>
    </row>
    <row r="2795" spans="1:9">
      <c r="A2795" s="47">
        <v>3557</v>
      </c>
      <c r="B2795" s="48" t="str">
        <f>IFERROR(VLOOKUP(A2795,CLIENTES!A:E,2,0),"CADASTRAR CLIENTE")</f>
        <v>ASSOCIACAO BENEFICIENTE NOSSA SENHORA DE NAZARE</v>
      </c>
      <c r="C2795" s="54" t="s">
        <v>738</v>
      </c>
      <c r="D2795" s="54">
        <v>93105</v>
      </c>
      <c r="E2795" s="88">
        <v>2609.6</v>
      </c>
      <c r="F2795" s="48"/>
      <c r="G2795" s="51"/>
      <c r="H2795" s="52"/>
      <c r="I2795" s="53">
        <v>46057</v>
      </c>
    </row>
    <row r="2796" spans="1:9">
      <c r="A2796" s="47">
        <v>500969</v>
      </c>
      <c r="B2796" s="48" t="str">
        <f>IFERROR(VLOOKUP(A2796,CLIENTES!A:E,2,0),"CADASTRAR CLIENTE")</f>
        <v>HOSPITAL BDW SP LTDA</v>
      </c>
      <c r="C2796" s="54" t="s">
        <v>738</v>
      </c>
      <c r="D2796" s="54">
        <v>94238</v>
      </c>
      <c r="E2796" s="88">
        <v>96</v>
      </c>
      <c r="F2796" s="48"/>
      <c r="G2796" s="51"/>
      <c r="H2796" s="52"/>
      <c r="I2796" s="53">
        <v>46057</v>
      </c>
    </row>
    <row r="2797" spans="1:9">
      <c r="A2797" s="47">
        <v>3017</v>
      </c>
      <c r="B2797" s="48" t="str">
        <f>IFERROR(VLOOKUP(A2797,CLIENTES!A:E,2,0),"CADASTRAR CLIENTE")</f>
        <v>IMUNOLAB LABORATORIO DE ANALISES CLINICAS LTDA ME</v>
      </c>
      <c r="C2797" s="54" t="s">
        <v>3</v>
      </c>
      <c r="D2797" s="54">
        <v>94251</v>
      </c>
      <c r="E2797" s="51">
        <v>656.32</v>
      </c>
      <c r="F2797" s="48"/>
      <c r="G2797" s="51"/>
      <c r="H2797" s="52"/>
      <c r="I2797" s="53">
        <v>46058</v>
      </c>
    </row>
    <row r="2798" spans="1:9">
      <c r="A2798" s="47">
        <v>1240</v>
      </c>
      <c r="B2798" s="48" t="str">
        <f>IFERROR(VLOOKUP(A2798,CLIENTES!A:E,2,0),"CADASTRAR CLIENTE")</f>
        <v>MONICA VIEIRA DE CAMPOS REBELO-ME</v>
      </c>
      <c r="C2798" s="54" t="s">
        <v>3</v>
      </c>
      <c r="D2798" s="54">
        <v>93518</v>
      </c>
      <c r="E2798" s="51">
        <v>816.05</v>
      </c>
      <c r="F2798" s="48"/>
      <c r="G2798" s="51"/>
      <c r="H2798" s="52"/>
      <c r="I2798" s="53">
        <v>46058</v>
      </c>
    </row>
    <row r="2799" spans="1:9">
      <c r="A2799" s="47">
        <v>3153</v>
      </c>
      <c r="B2799" s="48" t="str">
        <f>IFERROR(VLOOKUP(A2799,CLIENTES!A:E,2,0),"CADASTRAR CLIENTE")</f>
        <v>UNIMED DE TUPA COOPERATIVA DE TRABALHO MEDICO</v>
      </c>
      <c r="C2799" s="54" t="s">
        <v>3</v>
      </c>
      <c r="D2799" s="54">
        <v>94278</v>
      </c>
      <c r="E2799" s="51">
        <v>1506.4</v>
      </c>
      <c r="F2799" s="48"/>
      <c r="G2799" s="51"/>
      <c r="H2799" s="52"/>
      <c r="I2799" s="53">
        <v>46058</v>
      </c>
    </row>
    <row r="2800" spans="1:9">
      <c r="A2800" s="47">
        <v>412</v>
      </c>
      <c r="B2800" s="48" t="str">
        <f>IFERROR(VLOOKUP(A2800,CLIENTES!A:E,2,0),"CADASTRAR CLIENTE")</f>
        <v>LAB.ANAL.CLIN.SAO MANUEL SC LTDA.</v>
      </c>
      <c r="C2800" s="54" t="s">
        <v>3</v>
      </c>
      <c r="D2800" s="54">
        <v>94282</v>
      </c>
      <c r="E2800" s="51">
        <v>627</v>
      </c>
      <c r="F2800" s="48"/>
      <c r="G2800" s="51"/>
      <c r="H2800" s="52"/>
      <c r="I2800" s="53">
        <v>46058</v>
      </c>
    </row>
    <row r="2801" spans="1:9">
      <c r="A2801" s="47">
        <v>500507</v>
      </c>
      <c r="B2801" s="48" t="str">
        <f>IFERROR(VLOOKUP(A2801,CLIENTES!A:E,2,0),"CADASTRAR CLIENTE")</f>
        <v>LABORATORIOS DOCTOR</v>
      </c>
      <c r="C2801" s="54" t="s">
        <v>3</v>
      </c>
      <c r="D2801" s="49" t="s">
        <v>918</v>
      </c>
      <c r="E2801" s="51">
        <v>4278.79</v>
      </c>
      <c r="F2801" s="48"/>
      <c r="G2801" s="51"/>
      <c r="H2801" s="52"/>
      <c r="I2801" s="53">
        <v>46058</v>
      </c>
    </row>
    <row r="2802" spans="1:9">
      <c r="A2802" s="47">
        <v>784</v>
      </c>
      <c r="B2802" s="48" t="str">
        <f>IFERROR(VLOOKUP(A2802,CLIENTES!A:E,2,0),"CADASTRAR CLIENTE")</f>
        <v>LAB.ANAL.CLIN. ALBERT SABIN SC LTDA.</v>
      </c>
      <c r="C2802" s="54" t="s">
        <v>3</v>
      </c>
      <c r="D2802" s="54">
        <v>94172</v>
      </c>
      <c r="E2802" s="51">
        <v>3889.68</v>
      </c>
      <c r="F2802" s="48"/>
      <c r="G2802" s="51"/>
      <c r="H2802" s="52"/>
      <c r="I2802" s="53">
        <v>46058</v>
      </c>
    </row>
    <row r="2803" spans="1:9">
      <c r="A2803" s="47">
        <v>50219</v>
      </c>
      <c r="B2803" s="48" t="str">
        <f>IFERROR(VLOOKUP(A2803,CLIENTES!A:E,2,0),"CADASTRAR CLIENTE")</f>
        <v>UNIPREV LAB DE ANALISES LOCACAO DE BENS E REPAROS LTDA EPP</v>
      </c>
      <c r="C2803" s="54" t="s">
        <v>3</v>
      </c>
      <c r="D2803" s="54" t="s">
        <v>919</v>
      </c>
      <c r="E2803" s="51">
        <v>1188.2</v>
      </c>
      <c r="F2803" s="48"/>
      <c r="G2803" s="51"/>
      <c r="H2803" s="52"/>
      <c r="I2803" s="53">
        <v>46059</v>
      </c>
    </row>
    <row r="2804" spans="1:9">
      <c r="A2804" s="47">
        <v>2022</v>
      </c>
      <c r="B2804" s="48" t="str">
        <f>IFERROR(VLOOKUP(A2804,CLIENTES!A:E,2,0),"CADASTRAR CLIENTE")</f>
        <v>LAB. MEDICO DR. MARICONDI S/C LTDA.</v>
      </c>
      <c r="C2804" s="54" t="s">
        <v>3</v>
      </c>
      <c r="D2804" s="54">
        <v>93525</v>
      </c>
      <c r="E2804" s="51">
        <v>783.33</v>
      </c>
      <c r="F2804" s="48"/>
      <c r="G2804" s="51"/>
      <c r="H2804" s="52"/>
      <c r="I2804" s="53">
        <v>46059</v>
      </c>
    </row>
    <row r="2805" spans="1:9">
      <c r="A2805" s="47">
        <v>475</v>
      </c>
      <c r="B2805" s="48" t="str">
        <f>IFERROR(VLOOKUP(A2805,CLIENTES!A:E,2,0),"CADASTRAR CLIENTE")</f>
        <v>LABORATORIO DE ANALISES CLINICAS SRC LTDA</v>
      </c>
      <c r="C2805" s="54" t="s">
        <v>3</v>
      </c>
      <c r="D2805" s="54">
        <v>94329</v>
      </c>
      <c r="E2805" s="51">
        <v>432</v>
      </c>
      <c r="F2805" s="48"/>
      <c r="G2805" s="51"/>
      <c r="H2805" s="52"/>
      <c r="I2805" s="53">
        <v>46059</v>
      </c>
    </row>
    <row r="2806" spans="1:9">
      <c r="A2806" s="47">
        <v>663</v>
      </c>
      <c r="B2806" s="48" t="str">
        <f>IFERROR(VLOOKUP(A2806,CLIENTES!A:E,2,0),"CADASTRAR CLIENTE")</f>
        <v>LAB. MEDICO GUIMARAES</v>
      </c>
      <c r="C2806" s="54" t="s">
        <v>3</v>
      </c>
      <c r="D2806" s="54" t="s">
        <v>920</v>
      </c>
      <c r="E2806" s="51">
        <v>1629.25</v>
      </c>
      <c r="F2806" s="48"/>
      <c r="G2806" s="51"/>
      <c r="H2806" s="52"/>
      <c r="I2806" s="53">
        <v>46062</v>
      </c>
    </row>
    <row r="2807" spans="1:9">
      <c r="A2807" s="47">
        <v>823</v>
      </c>
      <c r="B2807" s="48" t="str">
        <f>IFERROR(VLOOKUP(A2807,CLIENTES!A:E,2,0),"CADASTRAR CLIENTE")</f>
        <v>SANCHES x SANCHES S/C LTDA</v>
      </c>
      <c r="C2807" s="54" t="s">
        <v>3</v>
      </c>
      <c r="D2807" s="54">
        <v>93503</v>
      </c>
      <c r="E2807" s="51">
        <v>3239.35</v>
      </c>
      <c r="F2807" s="48"/>
      <c r="G2807" s="51"/>
      <c r="H2807" s="52"/>
      <c r="I2807" s="53">
        <v>46062</v>
      </c>
    </row>
    <row r="2808" spans="1:9">
      <c r="A2808" s="47">
        <v>2911</v>
      </c>
      <c r="B2808" s="48" t="str">
        <f>IFERROR(VLOOKUP(A2808,CLIENTES!A:E,2,0),"CADASTRAR CLIENTE")</f>
        <v>BIOLIFE-LABORATORIO DE ANALISES CLINICAS LTDA</v>
      </c>
      <c r="C2808" s="54" t="s">
        <v>3</v>
      </c>
      <c r="D2808" s="54" t="s">
        <v>921</v>
      </c>
      <c r="E2808" s="51">
        <v>1509.75</v>
      </c>
      <c r="F2808" s="48"/>
      <c r="G2808" s="51"/>
      <c r="H2808" s="52"/>
      <c r="I2808" s="53">
        <v>46062</v>
      </c>
    </row>
    <row r="2809" spans="1:9">
      <c r="A2809" s="47">
        <v>432</v>
      </c>
      <c r="B2809" s="48" t="str">
        <f>IFERROR(VLOOKUP(A2809,CLIENTES!A:E,2,0),"CADASTRAR CLIENTE")</f>
        <v>LABORATORIO PASTEUR HEMATOLOGIA E MICROBIOLOGIA S/S LTDA</v>
      </c>
      <c r="C2809" s="54" t="s">
        <v>3</v>
      </c>
      <c r="D2809" s="54" t="s">
        <v>922</v>
      </c>
      <c r="E2809" s="51">
        <v>1086.8</v>
      </c>
      <c r="F2809" s="48"/>
      <c r="G2809" s="51"/>
      <c r="H2809" s="52"/>
      <c r="I2809" s="53">
        <v>46062</v>
      </c>
    </row>
    <row r="2810" spans="1:9">
      <c r="A2810" s="47">
        <v>2163</v>
      </c>
      <c r="B2810" s="48" t="str">
        <f>IFERROR(VLOOKUP(A2810,CLIENTES!A:E,2,0),"CADASTRAR CLIENTE")</f>
        <v>BIO-LAB SAO JUDAS TADEU S/C LTDA - ME</v>
      </c>
      <c r="C2810" s="54" t="s">
        <v>816</v>
      </c>
      <c r="D2810" s="54" t="s">
        <v>923</v>
      </c>
      <c r="E2810" s="88">
        <v>1636.95</v>
      </c>
      <c r="F2810" s="48"/>
      <c r="G2810" s="51"/>
      <c r="H2810" s="52"/>
      <c r="I2810" s="53">
        <v>46062</v>
      </c>
    </row>
    <row r="2811" spans="1:9">
      <c r="A2811" s="47">
        <v>1652</v>
      </c>
      <c r="B2811" s="48" t="str">
        <f>IFERROR(VLOOKUP(A2811,CLIENTES!A:E,2,0),"CADASTRAR CLIENTE")</f>
        <v>LAB. SANTA CLARA ANAL.CLIN.</v>
      </c>
      <c r="C2811" s="54" t="s">
        <v>816</v>
      </c>
      <c r="D2811" s="54" t="s">
        <v>924</v>
      </c>
      <c r="E2811" s="88">
        <v>196.98</v>
      </c>
      <c r="F2811" s="48"/>
      <c r="G2811" s="51"/>
      <c r="H2811" s="52"/>
      <c r="I2811" s="53">
        <v>46063</v>
      </c>
    </row>
    <row r="2812" spans="1:9">
      <c r="A2812" s="98">
        <v>575</v>
      </c>
      <c r="B2812" s="48" t="str">
        <f>IFERROR(VLOOKUP(A2812,CLIENTES!A:E,2,0),"CADASTRAR CLIENTE")</f>
        <v>DR MUNHOZ HOSPITAL VETERINARIO E PET SHOP</v>
      </c>
      <c r="C2812" s="54" t="s">
        <v>3</v>
      </c>
      <c r="D2812" s="54">
        <v>94156</v>
      </c>
      <c r="E2812" s="88">
        <v>456.74</v>
      </c>
      <c r="F2812" s="48"/>
      <c r="G2812" s="51"/>
      <c r="H2812" s="52"/>
      <c r="I2812" s="53">
        <v>46063</v>
      </c>
    </row>
    <row r="2813" spans="1:9">
      <c r="A2813" s="47">
        <v>761</v>
      </c>
      <c r="B2813" s="48" t="str">
        <f>IFERROR(VLOOKUP(A2813,CLIENTES!A:E,2,0),"CADASTRAR CLIENTE")</f>
        <v>EXAME CENTRO DIAG.M.ARACATUBA SC LTDA.</v>
      </c>
      <c r="C2813" s="54" t="s">
        <v>3</v>
      </c>
      <c r="D2813" s="54" t="s">
        <v>925</v>
      </c>
      <c r="E2813" s="51">
        <v>1513.62</v>
      </c>
      <c r="F2813" s="48"/>
      <c r="G2813" s="51"/>
      <c r="H2813" s="52"/>
      <c r="I2813" s="53">
        <v>46063</v>
      </c>
    </row>
    <row r="2814" spans="1:9">
      <c r="A2814" s="47">
        <v>746</v>
      </c>
      <c r="B2814" s="48" t="str">
        <f>IFERROR(VLOOKUP(A2814,CLIENTES!A:E,2,0),"CADASTRAR CLIENTE")</f>
        <v>LAB.ANAL.CLIN.BIOCLIN SC LTDA.</v>
      </c>
      <c r="C2814" s="54" t="s">
        <v>3</v>
      </c>
      <c r="D2814" s="54" t="s">
        <v>926</v>
      </c>
      <c r="E2814" s="51">
        <v>1439.58</v>
      </c>
      <c r="F2814" s="48"/>
      <c r="G2814" s="51"/>
      <c r="H2814" s="52"/>
      <c r="I2814" s="53">
        <v>46063</v>
      </c>
    </row>
    <row r="2815" spans="1:9">
      <c r="A2815" s="47">
        <v>874</v>
      </c>
      <c r="B2815" s="48" t="str">
        <f>IFERROR(VLOOKUP(A2815,CLIENTES!A:E,2,0),"CADASTRAR CLIENTE")</f>
        <v>LAB.ANAL.CLIN ABI JAUDI SC LTDA.</v>
      </c>
      <c r="C2815" s="54" t="s">
        <v>3</v>
      </c>
      <c r="D2815" s="54">
        <v>94410</v>
      </c>
      <c r="E2815" s="51">
        <v>1649.94</v>
      </c>
      <c r="F2815" s="48"/>
      <c r="G2815" s="51"/>
      <c r="H2815" s="52"/>
      <c r="I2815" s="53">
        <v>46063</v>
      </c>
    </row>
    <row r="2816" spans="1:9">
      <c r="A2816" s="47">
        <v>784</v>
      </c>
      <c r="B2816" s="48" t="str">
        <f>IFERROR(VLOOKUP(A2816,CLIENTES!A:E,2,0),"CADASTRAR CLIENTE")</f>
        <v>LAB.ANAL.CLIN. ALBERT SABIN SC LTDA.</v>
      </c>
      <c r="C2816" s="54" t="s">
        <v>3</v>
      </c>
      <c r="D2816" s="54">
        <v>94172</v>
      </c>
      <c r="E2816" s="51">
        <v>1831.83</v>
      </c>
      <c r="F2816" s="48"/>
      <c r="G2816" s="51"/>
      <c r="H2816" s="52"/>
      <c r="I2816" s="53">
        <v>46063</v>
      </c>
    </row>
    <row r="2817" spans="1:9">
      <c r="A2817" s="47">
        <v>50554</v>
      </c>
      <c r="B2817" s="48" t="str">
        <f>IFERROR(VLOOKUP(A2817,CLIENTES!A:E,2,0),"CADASTRAR CLIENTE")</f>
        <v>SAO ROQUE MEDICINA DIAGNOSTICA</v>
      </c>
      <c r="C2817" s="54" t="s">
        <v>3</v>
      </c>
      <c r="D2817" s="54" t="s">
        <v>927</v>
      </c>
      <c r="E2817" s="88">
        <v>7002.86</v>
      </c>
      <c r="F2817" s="48"/>
      <c r="G2817" s="51"/>
      <c r="H2817" s="52"/>
      <c r="I2817" s="53">
        <v>46063</v>
      </c>
    </row>
    <row r="2818" spans="1:9">
      <c r="A2818" s="47">
        <v>2955</v>
      </c>
      <c r="B2818" s="48" t="str">
        <f>IFERROR(VLOOKUP(A2818,CLIENTES!A:E,2,0),"CADASTRAR CLIENTE")</f>
        <v>ASSOCIACAO SANTA CASA SAUDE DE ARACATUBA</v>
      </c>
      <c r="C2818" s="54" t="s">
        <v>3</v>
      </c>
      <c r="D2818" s="54">
        <v>94429</v>
      </c>
      <c r="E2818" s="88">
        <v>3301.5</v>
      </c>
      <c r="F2818" s="48"/>
      <c r="G2818" s="51"/>
      <c r="H2818" s="52"/>
      <c r="I2818" s="53">
        <v>46063</v>
      </c>
    </row>
    <row r="2819" spans="1:9">
      <c r="A2819" s="47">
        <v>690</v>
      </c>
      <c r="B2819" s="48" t="str">
        <f>IFERROR(VLOOKUP(A2819,CLIENTES!A:E,2,0),"CADASTRAR CLIENTE")</f>
        <v>SAO ROQUE MEDICINA DIAGNOSTICA LTDA EPP</v>
      </c>
      <c r="C2819" s="54" t="s">
        <v>3</v>
      </c>
      <c r="D2819" s="49" t="s">
        <v>928</v>
      </c>
      <c r="E2819" s="88">
        <v>2226.4499999999998</v>
      </c>
      <c r="F2819" s="48"/>
      <c r="G2819" s="51"/>
      <c r="H2819" s="52"/>
      <c r="I2819" s="53">
        <v>46064</v>
      </c>
    </row>
    <row r="2820" spans="1:9">
      <c r="A2820" s="47">
        <v>3194</v>
      </c>
      <c r="B2820" s="48" t="str">
        <f>IFERROR(VLOOKUP(A2820,CLIENTES!A:E,2,0),"CADASTRAR CLIENTE")</f>
        <v>CENTRO DE DIAGNOSTICOS CONTROLE LTDA</v>
      </c>
      <c r="C2820" s="54" t="s">
        <v>3</v>
      </c>
      <c r="D2820" s="54">
        <v>94446</v>
      </c>
      <c r="E2820" s="51">
        <v>830.2</v>
      </c>
      <c r="F2820" s="48"/>
      <c r="G2820" s="51"/>
      <c r="H2820" s="52"/>
      <c r="I2820" s="53">
        <v>46064</v>
      </c>
    </row>
    <row r="2821" spans="1:9">
      <c r="A2821" s="47">
        <v>761</v>
      </c>
      <c r="B2821" s="48" t="str">
        <f>IFERROR(VLOOKUP(A2821,CLIENTES!A:E,2,0),"CADASTRAR CLIENTE")</f>
        <v>EXAME CENTRO DIAG.M.ARACATUBA SC LTDA.</v>
      </c>
      <c r="C2821" s="54" t="s">
        <v>3</v>
      </c>
      <c r="D2821" s="54">
        <v>94053</v>
      </c>
      <c r="E2821" s="88"/>
      <c r="F2821" s="48"/>
      <c r="G2821" s="88">
        <v>4250</v>
      </c>
      <c r="H2821" s="52"/>
      <c r="I2821" s="53">
        <v>46064</v>
      </c>
    </row>
    <row r="2822" spans="1:9">
      <c r="A2822" s="47">
        <v>761</v>
      </c>
      <c r="B2822" s="48" t="str">
        <f>IFERROR(VLOOKUP(A2822,CLIENTES!A:E,2,0),"CADASTRAR CLIENTE")</f>
        <v>EXAME CENTRO DIAG.M.ARACATUBA SC LTDA.</v>
      </c>
      <c r="C2822" s="54" t="s">
        <v>3</v>
      </c>
      <c r="D2822" s="54">
        <v>94458</v>
      </c>
      <c r="E2822" s="88">
        <v>24158.15</v>
      </c>
      <c r="F2822" s="48"/>
      <c r="G2822" s="88"/>
      <c r="H2822" s="52"/>
      <c r="I2822" s="53">
        <v>46064</v>
      </c>
    </row>
    <row r="2823" spans="1:9">
      <c r="A2823" s="47">
        <v>2199</v>
      </c>
      <c r="B2823" s="48" t="str">
        <f>IFERROR(VLOOKUP(A2823,CLIENTES!A:E,2,0),"CADASTRAR CLIENTE")</f>
        <v>SOCIEDADE EDUCACIONAL UBERABENSE</v>
      </c>
      <c r="C2823" s="54" t="s">
        <v>738</v>
      </c>
      <c r="D2823" s="54">
        <v>94462</v>
      </c>
      <c r="E2823" s="51"/>
      <c r="F2823" s="48"/>
      <c r="G2823" s="51">
        <v>1450</v>
      </c>
      <c r="H2823" s="52"/>
      <c r="I2823" s="53">
        <v>46064</v>
      </c>
    </row>
    <row r="2824" spans="1:9">
      <c r="A2824" s="47">
        <v>50861</v>
      </c>
      <c r="B2824" s="48" t="str">
        <f>IFERROR(VLOOKUP(A2824,CLIENTES!A:E,2,0),"CADASTRAR CLIENTE")</f>
        <v>JAQUELINE MARTINS RUIZ LAB DE ANALISES CLINICAS</v>
      </c>
      <c r="C2824" s="54" t="s">
        <v>3</v>
      </c>
      <c r="D2824" s="54">
        <v>50861</v>
      </c>
      <c r="E2824" s="51">
        <v>644</v>
      </c>
      <c r="F2824" s="48"/>
      <c r="G2824" s="51"/>
      <c r="H2824" s="52"/>
      <c r="I2824" s="53">
        <v>46064</v>
      </c>
    </row>
    <row r="2825" spans="1:9">
      <c r="A2825" s="47">
        <v>618</v>
      </c>
      <c r="B2825" s="48" t="str">
        <f>IFERROR(VLOOKUP(A2825,CLIENTES!A:E,2,0),"CADASTRAR CLIENTE")</f>
        <v>LAB. ANAL. CLIN. POMPEIA</v>
      </c>
      <c r="C2825" s="54" t="s">
        <v>3</v>
      </c>
      <c r="D2825" s="54" t="s">
        <v>929</v>
      </c>
      <c r="E2825" s="51">
        <v>1727.9</v>
      </c>
      <c r="F2825" s="48"/>
      <c r="G2825" s="51"/>
      <c r="H2825" s="52"/>
      <c r="I2825" s="53">
        <v>46064</v>
      </c>
    </row>
    <row r="2826" spans="1:9">
      <c r="A2826" s="47">
        <v>746</v>
      </c>
      <c r="B2826" s="48" t="str">
        <f>IFERROR(VLOOKUP(A2826,CLIENTES!A:E,2,0),"CADASTRAR CLIENTE")</f>
        <v>LAB.ANAL.CLIN.BIOCLIN SC LTDA.</v>
      </c>
      <c r="C2826" s="54" t="s">
        <v>3</v>
      </c>
      <c r="D2826" s="54">
        <v>94484</v>
      </c>
      <c r="E2826" s="51">
        <v>418</v>
      </c>
      <c r="F2826" s="48"/>
      <c r="G2826" s="51"/>
      <c r="H2826" s="52"/>
      <c r="I2826" s="53">
        <v>46065</v>
      </c>
    </row>
    <row r="2827" spans="1:9">
      <c r="A2827" s="47">
        <v>832</v>
      </c>
      <c r="B2827" s="48" t="str">
        <f>IFERROR(VLOOKUP(A2827,CLIENTES!A:E,2,0),"CADASTRAR CLIENTE")</f>
        <v>ASSOCIACAO DE ENSINO E CULTURA DE MATO GROSSO</v>
      </c>
      <c r="C2827" s="54" t="s">
        <v>3</v>
      </c>
      <c r="D2827" s="54">
        <v>93950</v>
      </c>
      <c r="E2827" s="51">
        <v>14285.67</v>
      </c>
      <c r="F2827" s="48"/>
      <c r="G2827" s="51"/>
      <c r="H2827" s="52"/>
      <c r="I2827" s="53">
        <v>46065</v>
      </c>
    </row>
    <row r="2828" spans="1:9">
      <c r="A2828" s="47">
        <v>311</v>
      </c>
      <c r="B2828" s="48" t="str">
        <f>IFERROR(VLOOKUP(A2828,CLIENTES!A:E,2,0),"CADASTRAR CLIENTE")</f>
        <v>CENTRO DE ANAL.CLIN. UNILAB  SC LTDA.</v>
      </c>
      <c r="C2828" s="54" t="s">
        <v>3</v>
      </c>
      <c r="D2828" s="54">
        <v>94461</v>
      </c>
      <c r="E2828" s="51">
        <v>699</v>
      </c>
      <c r="F2828" s="48"/>
      <c r="G2828" s="51"/>
      <c r="H2828" s="52"/>
      <c r="I2828" s="53">
        <v>46065</v>
      </c>
    </row>
    <row r="2829" spans="1:9">
      <c r="A2829" s="47">
        <v>705</v>
      </c>
      <c r="B2829" s="48" t="str">
        <f>IFERROR(VLOOKUP(A2829,CLIENTES!A:E,2,0),"CADASTRAR CLIENTE")</f>
        <v>JOAO JOSE SCHIAVUZZO ME</v>
      </c>
      <c r="C2829" s="54" t="s">
        <v>816</v>
      </c>
      <c r="D2829" s="54">
        <v>102571</v>
      </c>
      <c r="E2829" s="51">
        <v>1018.06</v>
      </c>
      <c r="F2829" s="48"/>
      <c r="G2829" s="51"/>
      <c r="H2829" s="52"/>
      <c r="I2829" s="53">
        <v>46065</v>
      </c>
    </row>
    <row r="2830" spans="1:9">
      <c r="A2830" s="47">
        <v>1533</v>
      </c>
      <c r="B2830" s="48" t="str">
        <f>IFERROR(VLOOKUP(A2830,CLIENTES!A:E,2,0),"CADASTRAR CLIENTE")</f>
        <v>LABORATORIO BIOANALISE DIAGNOSTICO LTDA</v>
      </c>
      <c r="C2830" s="54" t="s">
        <v>3</v>
      </c>
      <c r="D2830" s="54" t="s">
        <v>930</v>
      </c>
      <c r="E2830" s="51">
        <v>506.4</v>
      </c>
      <c r="F2830" s="48"/>
      <c r="G2830" s="51"/>
      <c r="H2830" s="52"/>
      <c r="I2830" s="53">
        <v>46065</v>
      </c>
    </row>
    <row r="2831" spans="1:9">
      <c r="A2831" s="47">
        <v>690</v>
      </c>
      <c r="B2831" s="48" t="str">
        <f>IFERROR(VLOOKUP(A2831,CLIENTES!A:E,2,0),"CADASTRAR CLIENTE")</f>
        <v>SAO ROQUE MEDICINA DIAGNOSTICA LTDA EPP</v>
      </c>
      <c r="C2831" s="54" t="s">
        <v>3</v>
      </c>
      <c r="D2831" s="54">
        <v>102603</v>
      </c>
      <c r="E2831" s="88">
        <v>215.6</v>
      </c>
      <c r="F2831" s="48"/>
      <c r="G2831" s="51"/>
      <c r="H2831" s="52"/>
      <c r="I2831" s="53">
        <v>46065</v>
      </c>
    </row>
    <row r="2832" spans="1:9">
      <c r="A2832" s="47">
        <v>50554</v>
      </c>
      <c r="B2832" s="48" t="str">
        <f>IFERROR(VLOOKUP(A2832,CLIENTES!A:E,2,0),"CADASTRAR CLIENTE")</f>
        <v>SAO ROQUE MEDICINA DIAGNOSTICA</v>
      </c>
      <c r="C2832" s="54" t="s">
        <v>3</v>
      </c>
      <c r="D2832" s="54">
        <v>102600</v>
      </c>
      <c r="E2832" s="88">
        <v>236.2</v>
      </c>
      <c r="F2832" s="48"/>
      <c r="G2832" s="51"/>
      <c r="H2832" s="52"/>
      <c r="I2832" s="53">
        <v>46065</v>
      </c>
    </row>
    <row r="2833" spans="1:9">
      <c r="A2833" s="47">
        <v>761</v>
      </c>
      <c r="B2833" s="48" t="str">
        <f>IFERROR(VLOOKUP(A2833,CLIENTES!A:E,2,0),"CADASTRAR CLIENTE")</f>
        <v>EXAME CENTRO DIAG.M.ARACATUBA SC LTDA.</v>
      </c>
      <c r="C2833" s="54" t="s">
        <v>3</v>
      </c>
      <c r="D2833" s="54" t="s">
        <v>932</v>
      </c>
      <c r="E2833" s="88">
        <v>6026</v>
      </c>
      <c r="F2833" s="48"/>
      <c r="G2833" s="51"/>
      <c r="H2833" s="52"/>
      <c r="I2833" s="53">
        <v>46065</v>
      </c>
    </row>
    <row r="2834" spans="1:9">
      <c r="A2834" s="47">
        <v>50961</v>
      </c>
      <c r="B2834" s="48" t="str">
        <f>IFERROR(VLOOKUP(A2834,CLIENTES!A:E,2,0),"CADASTRAR CLIENTE")</f>
        <v>SOLUTE MEDICAL GROUP BRAZIL LTDA</v>
      </c>
      <c r="C2834" s="54" t="s">
        <v>3</v>
      </c>
      <c r="D2834" s="54">
        <v>93600</v>
      </c>
      <c r="E2834" s="51">
        <v>2006</v>
      </c>
      <c r="F2834" s="48"/>
      <c r="G2834" s="51"/>
      <c r="H2834" s="52"/>
      <c r="I2834" s="53">
        <v>46066</v>
      </c>
    </row>
    <row r="2835" spans="1:9">
      <c r="A2835" s="47">
        <v>475</v>
      </c>
      <c r="B2835" s="48" t="str">
        <f>IFERROR(VLOOKUP(A2835,CLIENTES!A:E,2,0),"CADASTRAR CLIENTE")</f>
        <v>LABORATORIO DE ANALISES CLINICAS SRC LTDA</v>
      </c>
      <c r="C2835" s="54" t="s">
        <v>3</v>
      </c>
      <c r="D2835" s="54" t="s">
        <v>933</v>
      </c>
      <c r="E2835" s="88">
        <v>5522.87</v>
      </c>
      <c r="F2835" s="48"/>
      <c r="G2835" s="51"/>
      <c r="H2835" s="52"/>
      <c r="I2835" s="53">
        <v>46069</v>
      </c>
    </row>
    <row r="2836" spans="1:9">
      <c r="A2836" s="47">
        <v>2415</v>
      </c>
      <c r="B2836" s="48" t="str">
        <f>IFERROR(VLOOKUP(A2836,CLIENTES!A:E,2,0),"CADASTRAR CLIENTE")</f>
        <v>ROSSETTO E BARROS LABORATORIO DE ANALISES CLINICAS LTDA</v>
      </c>
      <c r="C2836" s="54" t="s">
        <v>3</v>
      </c>
      <c r="D2836" s="54">
        <v>94561</v>
      </c>
      <c r="E2836" s="88">
        <v>649.79</v>
      </c>
      <c r="F2836" s="48"/>
      <c r="G2836" s="51"/>
      <c r="H2836" s="52"/>
      <c r="I2836" s="53">
        <v>46066</v>
      </c>
    </row>
    <row r="2837" spans="1:9">
      <c r="A2837" s="47">
        <v>784</v>
      </c>
      <c r="B2837" s="48" t="str">
        <f>IFERROR(VLOOKUP(A2837,CLIENTES!A:E,2,0),"CADASTRAR CLIENTE")</f>
        <v>LAB.ANAL.CLIN. ALBERT SABIN SC LTDA.</v>
      </c>
      <c r="C2837" s="54" t="s">
        <v>3</v>
      </c>
      <c r="D2837" s="54">
        <v>94576</v>
      </c>
      <c r="E2837" s="88">
        <v>7318</v>
      </c>
      <c r="F2837" s="48"/>
      <c r="G2837" s="51"/>
      <c r="H2837" s="52"/>
      <c r="I2837" s="53">
        <v>46069</v>
      </c>
    </row>
    <row r="2838" spans="1:9">
      <c r="A2838" s="62">
        <v>500149</v>
      </c>
      <c r="B2838" s="48" t="str">
        <f>IFERROR(VLOOKUP(A2838,CLIENTES!A:E,2,0),"CADASTRAR CLIENTE")</f>
        <v>SAO ROQUE MEDICINA DIAGNOSTICA LTDA</v>
      </c>
      <c r="C2838" s="54" t="s">
        <v>3</v>
      </c>
      <c r="D2838" s="54" t="s">
        <v>934</v>
      </c>
      <c r="E2838" s="88">
        <v>2730.7</v>
      </c>
      <c r="F2838" s="48"/>
      <c r="G2838" s="51"/>
      <c r="H2838" s="52"/>
      <c r="I2838" s="53">
        <v>46069</v>
      </c>
    </row>
    <row r="2839" spans="1:9">
      <c r="A2839" s="47">
        <v>311</v>
      </c>
      <c r="B2839" s="48" t="str">
        <f>IFERROR(VLOOKUP(A2839,CLIENTES!A:E,2,0),"CADASTRAR CLIENTE")</f>
        <v>CENTRO DE ANAL.CLIN. UNILAB  SC LTDA.</v>
      </c>
      <c r="C2839" s="54" t="s">
        <v>3</v>
      </c>
      <c r="D2839" s="54">
        <v>94461</v>
      </c>
      <c r="E2839" s="51">
        <v>699</v>
      </c>
      <c r="F2839" s="48"/>
      <c r="G2839" s="51"/>
      <c r="H2839" s="52"/>
      <c r="I2839" s="53">
        <v>46069</v>
      </c>
    </row>
    <row r="2840" spans="1:9">
      <c r="A2840" s="47">
        <v>784</v>
      </c>
      <c r="B2840" s="48" t="str">
        <f>IFERROR(VLOOKUP(A2840,CLIENTES!A:E,2,0),"CADASTRAR CLIENTE")</f>
        <v>LAB.ANAL.CLIN. ALBERT SABIN SC LTDA.</v>
      </c>
      <c r="C2840" s="54" t="s">
        <v>3</v>
      </c>
      <c r="D2840" s="54">
        <v>94413</v>
      </c>
      <c r="E2840" s="88">
        <v>2134.85</v>
      </c>
      <c r="F2840" s="48"/>
      <c r="G2840" s="51"/>
      <c r="H2840" s="52"/>
      <c r="I2840" s="53">
        <v>46069</v>
      </c>
    </row>
    <row r="2841" spans="1:9">
      <c r="A2841" s="47">
        <v>1533</v>
      </c>
      <c r="B2841" s="48" t="str">
        <f>IFERROR(VLOOKUP(A2841,CLIENTES!A:E,2,0),"CADASTRAR CLIENTE")</f>
        <v>LABORATORIO BIOANALISE DIAGNOSTICO LTDA</v>
      </c>
      <c r="C2841" s="54" t="s">
        <v>3</v>
      </c>
      <c r="D2841" s="54">
        <v>94598</v>
      </c>
      <c r="E2841" s="51">
        <v>144</v>
      </c>
      <c r="F2841" s="48"/>
      <c r="G2841" s="51"/>
      <c r="H2841" s="52"/>
      <c r="I2841" s="53">
        <v>46069</v>
      </c>
    </row>
    <row r="2842" spans="1:9">
      <c r="A2842" s="47">
        <v>434</v>
      </c>
      <c r="B2842" s="48" t="str">
        <f>IFERROR(VLOOKUP(A2842,CLIENTES!A:E,2,0),"CADASTRAR CLIENTE")</f>
        <v>BIOLABOR LAB. ANAL. CLIN. SC LTDA.</v>
      </c>
      <c r="C2842" s="54" t="s">
        <v>3</v>
      </c>
      <c r="D2842" s="54">
        <v>94606</v>
      </c>
      <c r="E2842" s="88">
        <v>1674.12</v>
      </c>
      <c r="F2842" s="48"/>
      <c r="G2842" s="51"/>
      <c r="H2842" s="52"/>
      <c r="I2842" s="53">
        <v>46069</v>
      </c>
    </row>
    <row r="2843" spans="1:9">
      <c r="A2843" s="47">
        <v>50465</v>
      </c>
      <c r="B2843" s="48" t="str">
        <f>IFERROR(VLOOKUP(A2843,CLIENTES!A:E,2,0),"CADASTRAR CLIENTE")</f>
        <v>LABORATORIO DE ANALISES CLINICAS VIDA BIRIGUI LTDA</v>
      </c>
      <c r="C2843" s="54" t="s">
        <v>3</v>
      </c>
      <c r="D2843" s="54">
        <v>94138</v>
      </c>
      <c r="E2843" s="51">
        <v>1888.49</v>
      </c>
      <c r="F2843" s="48"/>
      <c r="G2843" s="51"/>
      <c r="H2843" s="52"/>
      <c r="I2843" s="53">
        <v>46071</v>
      </c>
    </row>
    <row r="2844" spans="1:9">
      <c r="A2844" s="47">
        <v>516</v>
      </c>
      <c r="B2844" s="48" t="str">
        <f>IFERROR(VLOOKUP(A2844,CLIENTES!A:E,2,0),"CADASTRAR CLIENTE")</f>
        <v>TECNOLAB PATOLOGIA CLINICA S/C LTDA</v>
      </c>
      <c r="C2844" s="54" t="s">
        <v>3</v>
      </c>
      <c r="D2844" s="54">
        <v>94622</v>
      </c>
      <c r="E2844" s="51">
        <v>13154.59</v>
      </c>
      <c r="F2844" s="48"/>
      <c r="G2844" s="51"/>
      <c r="H2844" s="52"/>
      <c r="I2844" s="53">
        <v>46071</v>
      </c>
    </row>
    <row r="2845" spans="1:9">
      <c r="A2845" s="47">
        <v>761</v>
      </c>
      <c r="B2845" s="48" t="str">
        <f>IFERROR(VLOOKUP(A2845,CLIENTES!A:E,2,0),"CADASTRAR CLIENTE")</f>
        <v>EXAME CENTRO DIAG.M.ARACATUBA SC LTDA.</v>
      </c>
      <c r="C2845" s="54" t="s">
        <v>3</v>
      </c>
      <c r="D2845" s="54">
        <v>94628</v>
      </c>
      <c r="E2845" s="51">
        <v>1267.75</v>
      </c>
      <c r="F2845" s="48"/>
      <c r="G2845" s="51"/>
      <c r="H2845" s="52"/>
      <c r="I2845" s="53">
        <v>46071</v>
      </c>
    </row>
    <row r="2846" spans="1:9">
      <c r="A2846" s="47">
        <v>1164</v>
      </c>
      <c r="B2846" s="48" t="str">
        <f>IFERROR(VLOOKUP(A2846,CLIENTES!A:E,2,0),"CADASTRAR CLIENTE")</f>
        <v>LAB. ANAL. CLIN. SAO LOURENCO S/C LTDA</v>
      </c>
      <c r="C2846" s="54" t="s">
        <v>3</v>
      </c>
      <c r="D2846" s="54" t="s">
        <v>935</v>
      </c>
      <c r="E2846" s="51">
        <v>1147.73</v>
      </c>
      <c r="F2846" s="48"/>
      <c r="G2846" s="51"/>
      <c r="H2846" s="52"/>
      <c r="I2846" s="53">
        <v>46071</v>
      </c>
    </row>
    <row r="2847" spans="1:9">
      <c r="A2847" s="47">
        <v>620</v>
      </c>
      <c r="B2847" s="48" t="str">
        <f>IFERROR(VLOOKUP(A2847,CLIENTES!A:E,2,0),"CADASTRAR CLIENTE")</f>
        <v>LAB.SAO PAULO DE ANAL.CLIN.SC LTDA.</v>
      </c>
      <c r="C2847" s="54" t="s">
        <v>3</v>
      </c>
      <c r="D2847" s="54" t="s">
        <v>936</v>
      </c>
      <c r="E2847" s="51">
        <v>1016.2</v>
      </c>
      <c r="F2847" s="48"/>
      <c r="G2847" s="51"/>
      <c r="H2847" s="52"/>
      <c r="I2847" s="53">
        <v>46072</v>
      </c>
    </row>
    <row r="2848" spans="1:9">
      <c r="A2848" s="47">
        <v>906</v>
      </c>
      <c r="B2848" s="48" t="str">
        <f>IFERROR(VLOOKUP(A2848,CLIENTES!A:E,2,0),"CADASTRAR CLIENTE")</f>
        <v>LABORATORIO ANAL. CLIN. DESCALVADO LTDA</v>
      </c>
      <c r="C2848" s="54" t="s">
        <v>3</v>
      </c>
      <c r="D2848" s="54">
        <v>94654</v>
      </c>
      <c r="E2848" s="51">
        <v>734</v>
      </c>
      <c r="F2848" s="48"/>
      <c r="G2848" s="51"/>
      <c r="H2848" s="52"/>
      <c r="I2848" s="53">
        <v>46072</v>
      </c>
    </row>
    <row r="2849" spans="1:9">
      <c r="A2849" s="47">
        <v>51042</v>
      </c>
      <c r="B2849" s="48" t="str">
        <f>IFERROR(VLOOKUP(A2849,CLIENTES!A:E,2,0),"CADASTRAR CLIENTE")</f>
        <v>CLINICAO ANDRADINA PET SHOP E CLINICA VETERINARIA LTDA</v>
      </c>
      <c r="C2849" s="54" t="s">
        <v>3</v>
      </c>
      <c r="D2849" s="54" t="s">
        <v>937</v>
      </c>
      <c r="E2849" s="51">
        <v>350.95</v>
      </c>
      <c r="F2849" s="48"/>
      <c r="G2849" s="51"/>
      <c r="H2849" s="52"/>
      <c r="I2849" s="53">
        <v>46072</v>
      </c>
    </row>
    <row r="2850" spans="1:9">
      <c r="A2850" s="47">
        <v>2199</v>
      </c>
      <c r="B2850" s="48" t="str">
        <f>IFERROR(VLOOKUP(A2850,CLIENTES!A:E,2,0),"CADASTRAR CLIENTE")</f>
        <v>SOCIEDADE EDUCACIONAL UBERABENSE</v>
      </c>
      <c r="C2850" s="54" t="s">
        <v>738</v>
      </c>
      <c r="D2850" s="54">
        <v>94678</v>
      </c>
      <c r="E2850" s="88">
        <v>7168.8</v>
      </c>
      <c r="F2850" s="48"/>
      <c r="G2850" s="51"/>
      <c r="H2850" s="52"/>
      <c r="I2850" s="53">
        <v>46072</v>
      </c>
    </row>
    <row r="2851" spans="1:9">
      <c r="A2851" s="47">
        <v>1206</v>
      </c>
      <c r="B2851" s="48" t="str">
        <f>IFERROR(VLOOKUP(A2851,CLIENTES!A:E,2,0),"CADASTRAR CLIENTE")</f>
        <v>LABORATORIO RIO NEGRO CENTER DE MARILIA  LTDA</v>
      </c>
      <c r="C2851" s="54" t="s">
        <v>3</v>
      </c>
      <c r="D2851" s="54">
        <v>94647</v>
      </c>
      <c r="E2851" s="88">
        <v>856.64</v>
      </c>
      <c r="F2851" s="48"/>
      <c r="G2851" s="51"/>
      <c r="H2851" s="52"/>
      <c r="I2851" s="53">
        <v>46072</v>
      </c>
    </row>
    <row r="2852" spans="1:9">
      <c r="A2852" s="47">
        <v>690</v>
      </c>
      <c r="B2852" s="48" t="str">
        <f>IFERROR(VLOOKUP(A2852,CLIENTES!A:E,2,0),"CADASTRAR CLIENTE")</f>
        <v>SAO ROQUE MEDICINA DIAGNOSTICA LTDA EPP</v>
      </c>
      <c r="C2852" s="54" t="s">
        <v>3</v>
      </c>
      <c r="D2852" s="54" t="s">
        <v>939</v>
      </c>
      <c r="E2852" s="51">
        <v>546.16</v>
      </c>
      <c r="F2852" s="48"/>
      <c r="G2852" s="51"/>
      <c r="H2852" s="52"/>
      <c r="I2852" s="53">
        <v>46073</v>
      </c>
    </row>
    <row r="2853" spans="1:9">
      <c r="A2853" s="47">
        <v>50554</v>
      </c>
      <c r="B2853" s="48" t="str">
        <f>IFERROR(VLOOKUP(A2853,CLIENTES!A:E,2,0),"CADASTRAR CLIENTE")</f>
        <v>SAO ROQUE MEDICINA DIAGNOSTICA</v>
      </c>
      <c r="C2853" s="54" t="s">
        <v>3</v>
      </c>
      <c r="D2853" s="54">
        <v>94103</v>
      </c>
      <c r="E2853" s="51">
        <v>949.84</v>
      </c>
      <c r="F2853" s="48"/>
      <c r="G2853" s="51"/>
      <c r="H2853" s="52"/>
      <c r="I2853" s="53">
        <v>46073</v>
      </c>
    </row>
    <row r="2854" spans="1:9">
      <c r="A2854" s="47">
        <v>1971</v>
      </c>
      <c r="B2854" s="48" t="str">
        <f>IFERROR(VLOOKUP(A2854,CLIENTES!A:E,2,0),"CADASTRAR CLIENTE")</f>
        <v>LABORATORIO POPULAR LAB 7 LTDA</v>
      </c>
      <c r="C2854" s="54" t="s">
        <v>3</v>
      </c>
      <c r="D2854" s="54">
        <v>94711</v>
      </c>
      <c r="E2854" s="51">
        <v>738.4</v>
      </c>
      <c r="F2854" s="48"/>
      <c r="G2854" s="51"/>
      <c r="H2854" s="52"/>
      <c r="I2854" s="53">
        <v>46073</v>
      </c>
    </row>
    <row r="2855" spans="1:9">
      <c r="A2855" s="47">
        <v>1726</v>
      </c>
      <c r="B2855" s="48" t="str">
        <f>IFERROR(VLOOKUP(A2855,CLIENTES!A:E,2,0),"CADASTRAR CLIENTE")</f>
        <v>IRMANDADE DA SANTA CASA DE MISERIC. DE MOGI MIRIM</v>
      </c>
      <c r="C2855" s="54" t="s">
        <v>3</v>
      </c>
      <c r="D2855" s="54">
        <v>94690</v>
      </c>
      <c r="E2855" s="51">
        <v>89.9</v>
      </c>
      <c r="F2855" s="48"/>
      <c r="G2855" s="51"/>
      <c r="H2855" s="52"/>
      <c r="I2855" s="53">
        <v>46073</v>
      </c>
    </row>
    <row r="2856" spans="1:9">
      <c r="A2856" s="47">
        <v>500982</v>
      </c>
      <c r="B2856" s="48" t="str">
        <f>IFERROR(VLOOKUP(A2856,CLIENTES!A:E,2,0),"CADASTRAR CLIENTE")</f>
        <v>INOVA LABORATORIO DE ANALISES CLINICAS LTDA</v>
      </c>
      <c r="C2856" s="54" t="s">
        <v>3</v>
      </c>
      <c r="D2856" s="54">
        <v>94706</v>
      </c>
      <c r="E2856" s="51">
        <v>778</v>
      </c>
      <c r="F2856" s="48"/>
      <c r="G2856" s="51"/>
      <c r="H2856" s="52"/>
      <c r="I2856" s="53">
        <v>46073</v>
      </c>
    </row>
    <row r="2857" spans="1:9">
      <c r="A2857" s="47">
        <v>51061</v>
      </c>
      <c r="B2857" s="48" t="str">
        <f>IFERROR(VLOOKUP(A2857,CLIENTES!A:E,2,0),"CADASTRAR CLIENTE")</f>
        <v>UNIMED AMPARO COOPERATIVA DE TRABALHO MEDICO</v>
      </c>
      <c r="C2857" s="54" t="s">
        <v>738</v>
      </c>
      <c r="D2857" s="54">
        <v>94732</v>
      </c>
      <c r="E2857" s="51">
        <v>84</v>
      </c>
      <c r="F2857" s="48"/>
      <c r="G2857" s="51"/>
      <c r="H2857" s="52"/>
      <c r="I2857" s="53">
        <v>46076</v>
      </c>
    </row>
    <row r="2858" spans="1:9">
      <c r="A2858" s="47">
        <v>3557</v>
      </c>
      <c r="B2858" s="48" t="str">
        <f>IFERROR(VLOOKUP(A2858,CLIENTES!A:E,2,0),"CADASTRAR CLIENTE")</f>
        <v>ASSOCIACAO BENEFICIENTE NOSSA SENHORA DE NAZARE</v>
      </c>
      <c r="C2858" s="54" t="s">
        <v>738</v>
      </c>
      <c r="D2858" s="54">
        <v>94731</v>
      </c>
      <c r="E2858" s="51">
        <v>245.95</v>
      </c>
      <c r="F2858" s="48"/>
      <c r="G2858" s="51"/>
      <c r="H2858" s="52"/>
      <c r="I2858" s="53">
        <v>46076</v>
      </c>
    </row>
    <row r="2859" spans="1:9">
      <c r="A2859" s="47">
        <v>50185</v>
      </c>
      <c r="B2859" s="48" t="str">
        <f>IFERROR(VLOOKUP(A2859,CLIENTES!A:E,2,0),"CADASTRAR CLIENTE")</f>
        <v>ANIMALAB SS LTDA</v>
      </c>
      <c r="C2859" s="54" t="s">
        <v>3</v>
      </c>
      <c r="D2859" s="54">
        <v>94750</v>
      </c>
      <c r="E2859" s="51">
        <v>607.75</v>
      </c>
      <c r="F2859" s="48"/>
      <c r="G2859" s="51"/>
      <c r="H2859" s="52"/>
      <c r="I2859" s="53">
        <v>46076</v>
      </c>
    </row>
    <row r="2860" spans="1:9">
      <c r="A2860" s="47">
        <v>762</v>
      </c>
      <c r="B2860" s="48" t="str">
        <f>IFERROR(VLOOKUP(A2860,CLIENTES!A:E,2,0),"CADASTRAR CLIENTE")</f>
        <v>STA. CASA MISERICORDIA DE ARACATUBA</v>
      </c>
      <c r="C2860" s="54" t="s">
        <v>3</v>
      </c>
      <c r="D2860" s="54">
        <v>94770</v>
      </c>
      <c r="E2860" s="88">
        <v>8102.18</v>
      </c>
      <c r="F2860" s="48"/>
      <c r="G2860" s="51"/>
      <c r="H2860" s="52"/>
      <c r="I2860" s="53">
        <v>46076</v>
      </c>
    </row>
    <row r="2861" spans="1:9">
      <c r="A2861" s="47">
        <v>1122</v>
      </c>
      <c r="B2861" s="48" t="str">
        <f>IFERROR(VLOOKUP(A2861,CLIENTES!A:E,2,0),"CADASTRAR CLIENTE")</f>
        <v>FUNDEPAG</v>
      </c>
      <c r="C2861" s="54" t="s">
        <v>3</v>
      </c>
      <c r="D2861" s="54">
        <v>94689</v>
      </c>
      <c r="E2861" s="51">
        <v>2659.6</v>
      </c>
      <c r="F2861" s="48"/>
      <c r="G2861" s="51"/>
      <c r="H2861" s="52"/>
      <c r="I2861" s="53">
        <v>46076</v>
      </c>
    </row>
    <row r="2862" spans="1:9">
      <c r="A2862" s="47">
        <v>581</v>
      </c>
      <c r="B2862" s="48" t="str">
        <f>IFERROR(VLOOKUP(A2862,CLIENTES!A:E,2,0),"CADASTRAR CLIENTE")</f>
        <v>CLINILAB LABORAT. ANAL. CLIN SC LTDA</v>
      </c>
      <c r="C2862" s="54" t="s">
        <v>3</v>
      </c>
      <c r="D2862" s="54" t="s">
        <v>941</v>
      </c>
      <c r="E2862" s="88">
        <v>2613.96</v>
      </c>
      <c r="F2862" s="48"/>
      <c r="G2862" s="51"/>
      <c r="H2862" s="52"/>
      <c r="I2862" s="53">
        <v>46076</v>
      </c>
    </row>
    <row r="2863" spans="1:9">
      <c r="A2863" s="47">
        <v>1813</v>
      </c>
      <c r="B2863" s="48" t="str">
        <f>IFERROR(VLOOKUP(A2863,CLIENTES!A:E,2,0),"CADASTRAR CLIENTE")</f>
        <v>BIOMED LAB.ANAL.CLIN. SC  LTDA</v>
      </c>
      <c r="C2863" s="54" t="s">
        <v>3</v>
      </c>
      <c r="D2863" s="54">
        <v>94746</v>
      </c>
      <c r="E2863" s="88">
        <v>1465.2</v>
      </c>
      <c r="F2863" s="48"/>
      <c r="G2863" s="51"/>
      <c r="H2863" s="52"/>
      <c r="I2863" s="53">
        <v>46076</v>
      </c>
    </row>
    <row r="2864" spans="1:9">
      <c r="A2864" s="47">
        <v>761</v>
      </c>
      <c r="B2864" s="48" t="str">
        <f>IFERROR(VLOOKUP(A2864,CLIENTES!A:E,2,0),"CADASTRAR CLIENTE")</f>
        <v>EXAME CENTRO DIAG.M.ARACATUBA SC LTDA.</v>
      </c>
      <c r="C2864" s="54" t="s">
        <v>2</v>
      </c>
      <c r="D2864" s="54" t="s">
        <v>942</v>
      </c>
      <c r="E2864" s="88">
        <v>22188.02</v>
      </c>
      <c r="F2864" s="48"/>
      <c r="G2864" s="51"/>
      <c r="H2864" s="52"/>
      <c r="I2864" s="53">
        <v>46078</v>
      </c>
    </row>
    <row r="2865" spans="1:9">
      <c r="A2865" s="47">
        <v>475</v>
      </c>
      <c r="B2865" s="48" t="str">
        <f>IFERROR(VLOOKUP(A2865,CLIENTES!A:E,2,0),"CADASTRAR CLIENTE")</f>
        <v>LABORATORIO DE ANALISES CLINICAS SRC LTDA</v>
      </c>
      <c r="C2865" s="54" t="s">
        <v>2</v>
      </c>
      <c r="D2865" s="54">
        <v>84552</v>
      </c>
      <c r="E2865" s="88">
        <v>3688.13</v>
      </c>
      <c r="F2865" s="48"/>
      <c r="G2865" s="51"/>
      <c r="H2865" s="52"/>
      <c r="I2865" s="53">
        <v>46077</v>
      </c>
    </row>
    <row r="2866" spans="1:9">
      <c r="A2866" s="47">
        <v>50554</v>
      </c>
      <c r="B2866" s="48" t="str">
        <f>IFERROR(VLOOKUP(A2866,CLIENTES!A:E,2,0),"CADASTRAR CLIENTE")</f>
        <v>SAO ROQUE MEDICINA DIAGNOSTICA</v>
      </c>
      <c r="C2866" s="54" t="s">
        <v>3</v>
      </c>
      <c r="D2866" s="54">
        <v>94702</v>
      </c>
      <c r="E2866" s="51">
        <v>189</v>
      </c>
      <c r="F2866" s="48"/>
      <c r="G2866" s="51"/>
      <c r="H2866" s="52"/>
      <c r="I2866" s="53">
        <v>46077</v>
      </c>
    </row>
    <row r="2867" spans="1:9">
      <c r="A2867" s="47">
        <v>432</v>
      </c>
      <c r="B2867" s="48" t="str">
        <f>IFERROR(VLOOKUP(A2867,CLIENTES!A:E,2,0),"CADASTRAR CLIENTE")</f>
        <v>LABORATORIO PASTEUR HEMATOLOGIA E MICROBIOLOGIA S/S LTDA</v>
      </c>
      <c r="C2867" s="54" t="s">
        <v>3</v>
      </c>
      <c r="D2867" s="54" t="s">
        <v>943</v>
      </c>
      <c r="E2867" s="51">
        <v>245.15</v>
      </c>
      <c r="F2867" s="48"/>
      <c r="G2867" s="51"/>
      <c r="H2867" s="52"/>
      <c r="I2867" s="53">
        <v>46078</v>
      </c>
    </row>
    <row r="2868" spans="1:9">
      <c r="A2868" s="47">
        <v>1989</v>
      </c>
      <c r="B2868" s="48" t="str">
        <f>IFERROR(VLOOKUP(A2868,CLIENTES!A:E,2,0),"CADASTRAR CLIENTE")</f>
        <v>SAO FRANCISCO ANAL. CLIN.</v>
      </c>
      <c r="C2868" s="54" t="s">
        <v>2</v>
      </c>
      <c r="D2868" s="54">
        <v>94102</v>
      </c>
      <c r="E2868" s="51">
        <v>836.19</v>
      </c>
      <c r="F2868" s="48"/>
      <c r="G2868" s="51"/>
      <c r="H2868" s="52"/>
      <c r="I2868" s="53">
        <v>46078</v>
      </c>
    </row>
    <row r="2869" spans="1:9">
      <c r="A2869" s="47">
        <v>1623</v>
      </c>
      <c r="B2869" s="48" t="str">
        <f>IFERROR(VLOOKUP(A2869,CLIENTES!A:E,2,0),"CADASTRAR CLIENTE")</f>
        <v>LAB.ANAL.CLIN. E REP. BADY BASSIT LTDA</v>
      </c>
      <c r="C2869" s="54" t="s">
        <v>3</v>
      </c>
      <c r="D2869" s="54">
        <v>94895</v>
      </c>
      <c r="E2869" s="51">
        <v>508.7</v>
      </c>
      <c r="F2869" s="48"/>
      <c r="G2869" s="51"/>
      <c r="H2869" s="52"/>
      <c r="I2869" s="53">
        <v>46078</v>
      </c>
    </row>
    <row r="2870" spans="1:9">
      <c r="A2870" s="47">
        <v>3017</v>
      </c>
      <c r="B2870" s="48" t="str">
        <f>IFERROR(VLOOKUP(A2870,CLIENTES!A:E,2,0),"CADASTRAR CLIENTE")</f>
        <v>IMUNOLAB LABORATORIO DE ANALISES CLINICAS LTDA ME</v>
      </c>
      <c r="C2870" s="54" t="s">
        <v>3</v>
      </c>
      <c r="D2870" s="54">
        <v>94256</v>
      </c>
      <c r="E2870" s="51">
        <v>1514</v>
      </c>
      <c r="F2870" s="48"/>
      <c r="G2870" s="51"/>
      <c r="H2870" s="52"/>
      <c r="I2870" s="53">
        <v>46078</v>
      </c>
    </row>
    <row r="2871" spans="1:9">
      <c r="A2871" s="47">
        <v>1164</v>
      </c>
      <c r="B2871" s="48" t="str">
        <f>IFERROR(VLOOKUP(A2871,CLIENTES!A:E,2,0),"CADASTRAR CLIENTE")</f>
        <v>LAB. ANAL. CLIN. SAO LOURENCO S/C LTDA</v>
      </c>
      <c r="C2871" s="54" t="s">
        <v>3</v>
      </c>
      <c r="D2871" s="54" t="s">
        <v>944</v>
      </c>
      <c r="E2871" s="51">
        <v>596.29</v>
      </c>
      <c r="F2871" s="48"/>
      <c r="G2871" s="51"/>
      <c r="H2871" s="52"/>
      <c r="I2871" s="53">
        <v>46079</v>
      </c>
    </row>
    <row r="2872" spans="1:9">
      <c r="A2872" s="47">
        <v>1026</v>
      </c>
      <c r="B2872" s="48" t="str">
        <f>IFERROR(VLOOKUP(A2872,CLIENTES!A:E,2,0),"CADASTRAR CLIENTE")</f>
        <v>LABSC SERVICOS LABORATORIAIS LTDA</v>
      </c>
      <c r="C2872" s="54" t="s">
        <v>3</v>
      </c>
      <c r="D2872" s="54">
        <v>94936</v>
      </c>
      <c r="E2872" s="51">
        <v>2199.92</v>
      </c>
      <c r="F2872" s="48"/>
      <c r="G2872" s="51"/>
      <c r="H2872" s="52"/>
      <c r="I2872" s="53">
        <v>46079</v>
      </c>
    </row>
    <row r="2873" spans="1:9">
      <c r="A2873" s="47">
        <v>480</v>
      </c>
      <c r="B2873" s="48" t="str">
        <f>IFERROR(VLOOKUP(A2873,CLIENTES!A:E,2,0),"CADASTRAR CLIENTE")</f>
        <v>LAB SAO LUCAS</v>
      </c>
      <c r="C2873" s="54" t="s">
        <v>3</v>
      </c>
      <c r="D2873" s="54" t="s">
        <v>945</v>
      </c>
      <c r="E2873" s="88">
        <v>3070.3</v>
      </c>
      <c r="F2873" s="48"/>
      <c r="G2873" s="51"/>
      <c r="H2873" s="52"/>
      <c r="I2873" s="53">
        <v>46079</v>
      </c>
    </row>
    <row r="2874" spans="1:9">
      <c r="A2874" s="47">
        <v>408</v>
      </c>
      <c r="B2874" s="48" t="str">
        <f>IFERROR(VLOOKUP(A2874,CLIENTES!A:E,2,0),"CADASTRAR CLIENTE")</f>
        <v>FUND.DESENV.DE CIENCIAS FARMACEUTICAS</v>
      </c>
      <c r="C2874" s="54" t="s">
        <v>3</v>
      </c>
      <c r="D2874" s="54" t="s">
        <v>948</v>
      </c>
      <c r="E2874" s="88">
        <v>4904.75</v>
      </c>
      <c r="F2874" s="48"/>
      <c r="G2874" s="51"/>
      <c r="H2874" s="52"/>
      <c r="I2874" s="53">
        <v>46079</v>
      </c>
    </row>
    <row r="2875" spans="1:9">
      <c r="A2875" s="47">
        <v>1234</v>
      </c>
      <c r="B2875" s="48" t="str">
        <f>IFERROR(VLOOKUP(A2875,CLIENTES!A:E,2,0),"CADASTRAR CLIENTE")</f>
        <v>LAB ANAL CLIN SAO JUDAS TADEU SC LTDA</v>
      </c>
      <c r="C2875" s="54" t="s">
        <v>3</v>
      </c>
      <c r="D2875" s="54">
        <v>94952</v>
      </c>
      <c r="E2875" s="88">
        <v>842</v>
      </c>
      <c r="F2875" s="48"/>
      <c r="G2875" s="51"/>
      <c r="H2875" s="52"/>
      <c r="I2875" s="53">
        <v>46079</v>
      </c>
    </row>
    <row r="2876" spans="1:9">
      <c r="A2876" s="47">
        <v>761</v>
      </c>
      <c r="B2876" s="48" t="str">
        <f>IFERROR(VLOOKUP(A2876,CLIENTES!A:E,2,0),"CADASTRAR CLIENTE")</f>
        <v>EXAME CENTRO DIAG.M.ARACATUBA SC LTDA.</v>
      </c>
      <c r="C2876" s="54" t="s">
        <v>3</v>
      </c>
      <c r="D2876" s="54">
        <v>94187</v>
      </c>
      <c r="E2876" s="88"/>
      <c r="F2876" s="48"/>
      <c r="G2876" s="88">
        <v>5500</v>
      </c>
      <c r="H2876" s="52"/>
      <c r="I2876" s="53">
        <v>46079</v>
      </c>
    </row>
    <row r="2877" spans="1:9">
      <c r="A2877" s="47">
        <v>500005</v>
      </c>
      <c r="B2877" s="48" t="str">
        <f>IFERROR(VLOOKUP(A2877,CLIENTES!A:E,2,0),"CADASTRAR CLIENTE")</f>
        <v>ASSOCIACAO EDUCACIONAL DE ENSINO SUPERIOR</v>
      </c>
      <c r="C2877" s="54" t="s">
        <v>3</v>
      </c>
      <c r="D2877" s="54">
        <v>93865</v>
      </c>
      <c r="E2877" s="51">
        <v>4343.1000000000004</v>
      </c>
      <c r="F2877" s="48"/>
      <c r="G2877" s="51"/>
      <c r="H2877" s="52"/>
      <c r="I2877" s="53">
        <v>46080</v>
      </c>
    </row>
    <row r="2878" spans="1:9">
      <c r="A2878" s="47">
        <v>500005</v>
      </c>
      <c r="B2878" s="48" t="str">
        <f>IFERROR(VLOOKUP(A2878,CLIENTES!A:E,2,0),"CADASTRAR CLIENTE")</f>
        <v>ASSOCIACAO EDUCACIONAL DE ENSINO SUPERIOR</v>
      </c>
      <c r="C2878" s="54" t="s">
        <v>3</v>
      </c>
      <c r="D2878" s="54">
        <v>93862</v>
      </c>
      <c r="E2878" s="51"/>
      <c r="F2878" s="48"/>
      <c r="G2878" s="51">
        <v>75000</v>
      </c>
      <c r="H2878" s="52"/>
      <c r="I2878" s="53">
        <v>46080</v>
      </c>
    </row>
    <row r="2879" spans="1:9">
      <c r="A2879" s="47">
        <v>618</v>
      </c>
      <c r="B2879" s="48" t="str">
        <f>IFERROR(VLOOKUP(A2879,CLIENTES!A:E,2,0),"CADASTRAR CLIENTE")</f>
        <v>LAB. ANAL. CLIN. POMPEIA</v>
      </c>
      <c r="C2879" s="54" t="s">
        <v>3</v>
      </c>
      <c r="D2879" s="54" t="s">
        <v>949</v>
      </c>
      <c r="E2879" s="51">
        <v>2167.8000000000002</v>
      </c>
      <c r="F2879" s="48"/>
      <c r="G2879" s="51"/>
      <c r="H2879" s="52"/>
      <c r="I2879" s="53">
        <v>46083</v>
      </c>
    </row>
    <row r="2880" spans="1:9">
      <c r="A2880" s="47">
        <v>705</v>
      </c>
      <c r="B2880" s="48" t="str">
        <f>IFERROR(VLOOKUP(A2880,CLIENTES!A:E,2,0),"CADASTRAR CLIENTE")</f>
        <v>JOAO JOSE SCHIAVUZZO ME</v>
      </c>
      <c r="C2880" s="54" t="s">
        <v>3</v>
      </c>
      <c r="D2880" s="54">
        <v>95009</v>
      </c>
      <c r="E2880" s="51">
        <v>1373.5</v>
      </c>
      <c r="F2880" s="48"/>
      <c r="G2880" s="51"/>
      <c r="H2880" s="52"/>
      <c r="I2880" s="53">
        <v>46083</v>
      </c>
    </row>
    <row r="2881" spans="1:9">
      <c r="A2881" s="47">
        <v>2199</v>
      </c>
      <c r="B2881" s="48" t="str">
        <f>IFERROR(VLOOKUP(A2881,CLIENTES!A:E,2,0),"CADASTRAR CLIENTE")</f>
        <v>SOCIEDADE EDUCACIONAL UBERABENSE</v>
      </c>
      <c r="C2881" s="54" t="s">
        <v>3</v>
      </c>
      <c r="D2881" s="54">
        <v>94680</v>
      </c>
      <c r="E2881" s="51">
        <v>719.2</v>
      </c>
      <c r="F2881" s="48"/>
      <c r="G2881" s="51"/>
      <c r="H2881" s="52"/>
      <c r="I2881" s="53">
        <v>46083</v>
      </c>
    </row>
    <row r="2882" spans="1:9">
      <c r="A2882" s="47">
        <v>500978</v>
      </c>
      <c r="B2882" s="48" t="str">
        <f>IFERROR(VLOOKUP(A2882,CLIENTES!A:E,2,0),"CADASTRAR CLIENTE")</f>
        <v>BIOGESP - ASSOC DE GESTAO E EXECUCAO DE SERV PUBLICOS E SOCIAIS</v>
      </c>
      <c r="C2882" s="54" t="s">
        <v>738</v>
      </c>
      <c r="D2882" s="54">
        <v>94508</v>
      </c>
      <c r="E2882" s="51">
        <v>880</v>
      </c>
      <c r="F2882" s="48"/>
      <c r="G2882" s="51"/>
      <c r="H2882" s="52"/>
      <c r="I2882" s="53">
        <v>46083</v>
      </c>
    </row>
    <row r="2883" spans="1:9">
      <c r="A2883" s="47">
        <v>1842</v>
      </c>
      <c r="B2883" s="48" t="str">
        <f>IFERROR(VLOOKUP(A2883,CLIENTES!A:E,2,0),"CADASTRAR CLIENTE")</f>
        <v>LABORATORIO UNILABVET EIRELI</v>
      </c>
      <c r="C2883" s="54" t="s">
        <v>3</v>
      </c>
      <c r="D2883" s="54">
        <v>94714</v>
      </c>
      <c r="E2883" s="88">
        <v>412.3</v>
      </c>
      <c r="F2883" s="48"/>
      <c r="G2883" s="51"/>
      <c r="H2883" s="52"/>
      <c r="I2883" s="53">
        <v>46083</v>
      </c>
    </row>
    <row r="2884" spans="1:9">
      <c r="A2884" s="47">
        <v>1533</v>
      </c>
      <c r="B2884" s="48" t="str">
        <f>IFERROR(VLOOKUP(A2884,CLIENTES!A:E,2,0),"CADASTRAR CLIENTE")</f>
        <v>LABORATORIO BIOANALISE DIAGNOSTICO LTDA</v>
      </c>
      <c r="C2884" s="54" t="s">
        <v>3</v>
      </c>
      <c r="D2884" s="54">
        <v>95017</v>
      </c>
      <c r="E2884" s="88">
        <v>488.8</v>
      </c>
      <c r="F2884" s="48"/>
      <c r="G2884" s="51"/>
      <c r="H2884" s="52"/>
      <c r="I2884" s="53">
        <v>46084</v>
      </c>
    </row>
    <row r="2885" spans="1:9">
      <c r="A2885" s="47">
        <v>3557</v>
      </c>
      <c r="B2885" s="48" t="str">
        <f>IFERROR(VLOOKUP(A2885,CLIENTES!A:E,2,0),"CADASTRAR CLIENTE")</f>
        <v>ASSOCIACAO BENEFICIENTE NOSSA SENHORA DE NAZARE</v>
      </c>
      <c r="C2885" s="54" t="s">
        <v>738</v>
      </c>
      <c r="D2885" s="54">
        <v>95058</v>
      </c>
      <c r="E2885" s="51">
        <v>7350</v>
      </c>
      <c r="F2885" s="48"/>
      <c r="G2885" s="51"/>
      <c r="H2885" s="52"/>
      <c r="I2885" s="53">
        <v>46084</v>
      </c>
    </row>
    <row r="2886" spans="1:9">
      <c r="A2886" s="47">
        <v>784</v>
      </c>
      <c r="B2886" s="48" t="str">
        <f>IFERROR(VLOOKUP(A2886,CLIENTES!A:E,2,0),"CADASTRAR CLIENTE")</f>
        <v>LAB.ANAL.CLIN. ALBERT SABIN SC LTDA.</v>
      </c>
      <c r="C2886" s="54" t="s">
        <v>3</v>
      </c>
      <c r="D2886" s="54">
        <v>95077</v>
      </c>
      <c r="E2886" s="51">
        <v>4032.63</v>
      </c>
      <c r="F2886" s="48"/>
      <c r="G2886" s="51"/>
      <c r="H2886" s="52"/>
      <c r="I2886" s="53">
        <v>46084</v>
      </c>
    </row>
    <row r="2887" spans="1:9">
      <c r="A2887" s="47">
        <v>1616</v>
      </c>
      <c r="B2887" s="48" t="str">
        <f>IFERROR(VLOOKUP(A2887,CLIENTES!A:E,2,0),"CADASTRAR CLIENTE")</f>
        <v>NOVO HORIZONTE LAB.ANAL.CLIN.S/C LTDA.</v>
      </c>
      <c r="C2887" s="54" t="s">
        <v>3</v>
      </c>
      <c r="D2887" s="54">
        <v>95069</v>
      </c>
      <c r="E2887" s="51">
        <v>3815.8</v>
      </c>
      <c r="F2887" s="48"/>
      <c r="G2887" s="51"/>
      <c r="H2887" s="52"/>
      <c r="I2887" s="53">
        <v>46084</v>
      </c>
    </row>
    <row r="2888" spans="1:9">
      <c r="A2888" s="47">
        <v>620</v>
      </c>
      <c r="B2888" s="48" t="str">
        <f>IFERROR(VLOOKUP(A2888,CLIENTES!A:E,2,0),"CADASTRAR CLIENTE")</f>
        <v>LAB.SAO PAULO DE ANAL.CLIN.SC LTDA.</v>
      </c>
      <c r="C2888" s="54" t="s">
        <v>3</v>
      </c>
      <c r="D2888" s="54">
        <v>95076</v>
      </c>
      <c r="E2888" s="51">
        <v>629.1</v>
      </c>
      <c r="F2888" s="48"/>
      <c r="G2888" s="51"/>
      <c r="H2888" s="52"/>
      <c r="I2888" s="53">
        <v>46084</v>
      </c>
    </row>
    <row r="2889" spans="1:9">
      <c r="A2889" s="47">
        <v>761</v>
      </c>
      <c r="B2889" s="48" t="str">
        <f>IFERROR(VLOOKUP(A2889,CLIENTES!A:E,2,0),"CADASTRAR CLIENTE")</f>
        <v>EXAME CENTRO DIAG.M.ARACATUBA SC LTDA.</v>
      </c>
      <c r="C2889" s="54" t="s">
        <v>3</v>
      </c>
      <c r="D2889" s="54" t="s">
        <v>950</v>
      </c>
      <c r="E2889" s="51">
        <v>6899.06</v>
      </c>
      <c r="F2889" s="48"/>
      <c r="G2889" s="51"/>
      <c r="H2889" s="52"/>
      <c r="I2889" s="53">
        <v>46084</v>
      </c>
    </row>
    <row r="2890" spans="1:9">
      <c r="A2890" s="47">
        <v>2022</v>
      </c>
      <c r="B2890" s="48" t="str">
        <f>IFERROR(VLOOKUP(A2890,CLIENTES!A:E,2,0),"CADASTRAR CLIENTE")</f>
        <v>LAB. MEDICO DR. MARICONDI S/C LTDA.</v>
      </c>
      <c r="C2890" s="54" t="s">
        <v>3</v>
      </c>
      <c r="D2890" s="54">
        <v>94616</v>
      </c>
      <c r="E2890" s="88">
        <v>1649.62</v>
      </c>
      <c r="F2890" s="48"/>
      <c r="G2890" s="51"/>
      <c r="H2890" s="52"/>
      <c r="I2890" s="53">
        <v>46084</v>
      </c>
    </row>
    <row r="2891" spans="1:9">
      <c r="A2891" s="47">
        <v>2911</v>
      </c>
      <c r="B2891" s="48" t="str">
        <f>IFERROR(VLOOKUP(A2891,CLIENTES!A:E,2,0),"CADASTRAR CLIENTE")</f>
        <v>BIOLIFE-LABORATORIO DE ANALISES CLINICAS LTDA</v>
      </c>
      <c r="C2891" s="54" t="s">
        <v>3</v>
      </c>
      <c r="D2891" s="54" t="s">
        <v>952</v>
      </c>
      <c r="E2891" s="88">
        <v>1887</v>
      </c>
      <c r="F2891" s="48"/>
      <c r="G2891" s="51"/>
      <c r="H2891" s="52"/>
      <c r="I2891" s="53">
        <v>46085</v>
      </c>
    </row>
    <row r="2892" spans="1:9">
      <c r="A2892" s="47">
        <v>432</v>
      </c>
      <c r="B2892" s="48" t="str">
        <f>IFERROR(VLOOKUP(A2892,CLIENTES!A:E,2,0),"CADASTRAR CLIENTE")</f>
        <v>LABORATORIO PASTEUR HEMATOLOGIA E MICROBIOLOGIA S/S LTDA</v>
      </c>
      <c r="C2892" s="54" t="s">
        <v>3</v>
      </c>
      <c r="D2892" s="54" t="s">
        <v>951</v>
      </c>
      <c r="E2892" s="88">
        <v>6105.35</v>
      </c>
      <c r="F2892" s="48"/>
      <c r="G2892" s="51"/>
      <c r="H2892" s="52"/>
      <c r="I2892" s="53">
        <v>46085</v>
      </c>
    </row>
    <row r="2893" spans="1:9">
      <c r="A2893" s="47">
        <v>500507</v>
      </c>
      <c r="B2893" s="48" t="str">
        <f>IFERROR(VLOOKUP(A2893,CLIENTES!A:E,2,0),"CADASTRAR CLIENTE")</f>
        <v>LABORATORIOS DOCTOR</v>
      </c>
      <c r="C2893" s="54" t="s">
        <v>3</v>
      </c>
      <c r="D2893" s="54">
        <v>94616</v>
      </c>
      <c r="E2893" s="88">
        <v>762.34</v>
      </c>
      <c r="F2893" s="48"/>
      <c r="G2893" s="51"/>
      <c r="H2893" s="52"/>
      <c r="I2893" s="53">
        <v>46085</v>
      </c>
    </row>
    <row r="2894" spans="1:9">
      <c r="A2894" s="47">
        <v>500507</v>
      </c>
      <c r="B2894" s="48" t="str">
        <f>IFERROR(VLOOKUP(A2894,CLIENTES!A:E,2,0),"CADASTRAR CLIENTE")</f>
        <v>LABORATORIOS DOCTOR</v>
      </c>
      <c r="C2894" s="54" t="s">
        <v>3</v>
      </c>
      <c r="D2894" s="54">
        <v>95116</v>
      </c>
      <c r="E2894" s="88">
        <v>1310.1600000000001</v>
      </c>
      <c r="F2894" s="48"/>
      <c r="G2894" s="51"/>
      <c r="H2894" s="52"/>
      <c r="I2894" s="53">
        <v>46085</v>
      </c>
    </row>
    <row r="2895" spans="1:9">
      <c r="A2895" s="47">
        <v>500507</v>
      </c>
      <c r="B2895" s="48" t="str">
        <f>IFERROR(VLOOKUP(A2895,CLIENTES!A:E,2,0),"CADASTRAR CLIENTE")</f>
        <v>LABORATORIOS DOCTOR</v>
      </c>
      <c r="C2895" s="54" t="s">
        <v>3</v>
      </c>
      <c r="D2895" s="54">
        <v>94674</v>
      </c>
      <c r="E2895" s="88">
        <v>3686</v>
      </c>
      <c r="F2895" s="48"/>
      <c r="G2895" s="51"/>
      <c r="H2895" s="52"/>
      <c r="I2895" s="53">
        <v>46085</v>
      </c>
    </row>
    <row r="2896" spans="1:9">
      <c r="A2896" s="47">
        <v>500507</v>
      </c>
      <c r="B2896" s="48" t="str">
        <f>IFERROR(VLOOKUP(A2896,CLIENTES!A:E,2,0),"CADASTRAR CLIENTE")</f>
        <v>LABORATORIOS DOCTOR</v>
      </c>
      <c r="C2896" s="54" t="s">
        <v>3</v>
      </c>
      <c r="D2896" s="54">
        <v>95117</v>
      </c>
      <c r="E2896" s="88">
        <v>635.03</v>
      </c>
      <c r="F2896" s="48"/>
      <c r="G2896" s="51"/>
      <c r="H2896" s="52"/>
      <c r="I2896" s="53">
        <v>46085</v>
      </c>
    </row>
    <row r="2897" spans="1:9">
      <c r="A2897" s="47">
        <v>500507</v>
      </c>
      <c r="B2897" s="48" t="str">
        <f>IFERROR(VLOOKUP(A2897,CLIENTES!A:E,2,0),"CADASTRAR CLIENTE")</f>
        <v>LABORATORIOS DOCTOR</v>
      </c>
      <c r="C2897" s="54" t="s">
        <v>3</v>
      </c>
      <c r="D2897" s="54">
        <v>95119</v>
      </c>
      <c r="E2897" s="51">
        <v>1031.0899999999999</v>
      </c>
      <c r="F2897" s="48"/>
      <c r="G2897" s="51"/>
      <c r="H2897" s="52"/>
      <c r="I2897" s="53">
        <v>46085</v>
      </c>
    </row>
    <row r="2898" spans="1:9">
      <c r="A2898" s="47">
        <v>705</v>
      </c>
      <c r="B2898" s="48" t="str">
        <f>IFERROR(VLOOKUP(A2898,CLIENTES!A:E,2,0),"CADASTRAR CLIENTE")</f>
        <v>JOAO JOSE SCHIAVUZZO ME</v>
      </c>
      <c r="C2898" s="54" t="s">
        <v>3</v>
      </c>
      <c r="D2898" s="54">
        <v>95152</v>
      </c>
      <c r="E2898" s="88">
        <v>589</v>
      </c>
      <c r="F2898" s="48"/>
      <c r="G2898" s="51"/>
      <c r="H2898" s="52"/>
      <c r="I2898" s="53">
        <v>46086</v>
      </c>
    </row>
    <row r="2899" spans="1:9">
      <c r="A2899" s="47">
        <v>50219</v>
      </c>
      <c r="B2899" s="48" t="str">
        <f>IFERROR(VLOOKUP(A2899,CLIENTES!A:E,2,0),"CADASTRAR CLIENTE")</f>
        <v>UNIPREV LAB DE ANALISES LOCACAO DE BENS E REPAROS LTDA EPP</v>
      </c>
      <c r="C2899" s="54" t="s">
        <v>3</v>
      </c>
      <c r="D2899" s="54">
        <v>95151</v>
      </c>
      <c r="E2899" s="88">
        <v>1500.24</v>
      </c>
      <c r="F2899" s="48"/>
      <c r="G2899" s="51"/>
      <c r="H2899" s="52"/>
      <c r="I2899" s="53">
        <v>46086</v>
      </c>
    </row>
    <row r="2900" spans="1:9">
      <c r="A2900" s="47">
        <v>475</v>
      </c>
      <c r="B2900" s="48" t="str">
        <f>IFERROR(VLOOKUP(A2900,CLIENTES!A:E,2,0),"CADASTRAR CLIENTE")</f>
        <v>LABORATORIO DE ANALISES CLINICAS SRC LTDA</v>
      </c>
      <c r="C2900" s="54" t="s">
        <v>2</v>
      </c>
      <c r="D2900" s="54" t="s">
        <v>953</v>
      </c>
      <c r="E2900" s="88">
        <v>13483.08</v>
      </c>
      <c r="F2900" s="48"/>
      <c r="G2900" s="51"/>
      <c r="H2900" s="52"/>
      <c r="I2900" s="53">
        <v>46086</v>
      </c>
    </row>
    <row r="2901" spans="1:9">
      <c r="A2901" s="47">
        <v>1726</v>
      </c>
      <c r="B2901" s="48" t="str">
        <f>IFERROR(VLOOKUP(A2901,CLIENTES!A:E,2,0),"CADASTRAR CLIENTE")</f>
        <v>IRMANDADE DA SANTA CASA DE MISERIC. DE MOGI MIRIM</v>
      </c>
      <c r="C2901" s="54" t="s">
        <v>3</v>
      </c>
      <c r="D2901" s="54">
        <v>95159</v>
      </c>
      <c r="E2901" s="88">
        <v>389</v>
      </c>
      <c r="F2901" s="48"/>
      <c r="G2901" s="51"/>
      <c r="H2901" s="52"/>
      <c r="I2901" s="53">
        <v>46086</v>
      </c>
    </row>
    <row r="2902" spans="1:9">
      <c r="A2902" s="47">
        <v>50418</v>
      </c>
      <c r="B2902" s="48" t="str">
        <f>IFERROR(VLOOKUP(A2902,CLIENTES!A:E,2,0),"CADASTRAR CLIENTE")</f>
        <v>LABORATORIO SAO LUCAS DE BROTAS SS LTDA</v>
      </c>
      <c r="C2902" s="54" t="s">
        <v>3</v>
      </c>
      <c r="D2902" s="54">
        <v>94848</v>
      </c>
      <c r="E2902" s="51">
        <v>629.39</v>
      </c>
      <c r="F2902" s="48"/>
      <c r="G2902" s="51"/>
      <c r="H2902" s="52"/>
      <c r="I2902" s="53">
        <v>46090</v>
      </c>
    </row>
    <row r="2903" spans="1:9">
      <c r="A2903" s="47">
        <v>874</v>
      </c>
      <c r="B2903" s="48" t="str">
        <f>IFERROR(VLOOKUP(A2903,CLIENTES!A:E,2,0),"CADASTRAR CLIENTE")</f>
        <v>LAB.ANAL.CLIN ABI JAUDI SC LTDA.</v>
      </c>
      <c r="C2903" s="54" t="s">
        <v>3</v>
      </c>
      <c r="D2903" s="54">
        <v>95177</v>
      </c>
      <c r="E2903" s="51">
        <v>3258.09</v>
      </c>
      <c r="F2903" s="48"/>
      <c r="G2903" s="51"/>
      <c r="H2903" s="52"/>
      <c r="I2903" s="53">
        <v>46086</v>
      </c>
    </row>
    <row r="2904" spans="1:9">
      <c r="A2904" s="47">
        <v>784</v>
      </c>
      <c r="B2904" s="48" t="str">
        <f>IFERROR(VLOOKUP(A2904,CLIENTES!A:E,2,0),"CADASTRAR CLIENTE")</f>
        <v>LAB.ANAL.CLIN. ALBERT SABIN SC LTDA.</v>
      </c>
      <c r="C2904" s="54" t="s">
        <v>3</v>
      </c>
      <c r="D2904" s="54">
        <v>94578</v>
      </c>
      <c r="E2904" s="88">
        <v>1213.8</v>
      </c>
      <c r="F2904" s="48"/>
      <c r="G2904" s="51"/>
      <c r="H2904" s="52"/>
      <c r="I2904" s="53">
        <v>46086</v>
      </c>
    </row>
    <row r="2905" spans="1:9">
      <c r="A2905" s="47">
        <v>3475</v>
      </c>
      <c r="B2905" s="48" t="str">
        <f>IFERROR(VLOOKUP(A2905,CLIENTES!A:E,2,0),"CADASTRAR CLIENTE")</f>
        <v>LQF LABORATORIO QUIMICO FARMACEUTICO RIO PRETO EIRELI - ME</v>
      </c>
      <c r="C2905" s="54" t="s">
        <v>3</v>
      </c>
      <c r="D2905" s="54">
        <v>95146</v>
      </c>
      <c r="E2905" s="51">
        <v>240</v>
      </c>
      <c r="F2905" s="48"/>
      <c r="G2905" s="51"/>
      <c r="H2905" s="52"/>
      <c r="I2905" s="53">
        <v>46086</v>
      </c>
    </row>
    <row r="2906" spans="1:9">
      <c r="A2906" s="47">
        <v>325</v>
      </c>
      <c r="B2906" s="48" t="str">
        <f>IFERROR(VLOOKUP(A2906,CLIENTES!A:E,2,0),"CADASTRAR CLIENTE")</f>
        <v>EXAME-LABORAT. DE ANAL. CLIN. CITODIAGNOSTICO S/S LTDA</v>
      </c>
      <c r="C2906" s="54" t="s">
        <v>3</v>
      </c>
      <c r="D2906" s="54" t="s">
        <v>954</v>
      </c>
      <c r="E2906" s="88">
        <v>1705</v>
      </c>
      <c r="F2906" s="48"/>
      <c r="G2906" s="51"/>
      <c r="H2906" s="52"/>
      <c r="I2906" s="53">
        <v>46086</v>
      </c>
    </row>
    <row r="2907" spans="1:9">
      <c r="A2907" s="47">
        <v>412</v>
      </c>
      <c r="B2907" s="48" t="str">
        <f>IFERROR(VLOOKUP(A2907,CLIENTES!A:E,2,0),"CADASTRAR CLIENTE")</f>
        <v>LAB.ANAL.CLIN.SAO MANUEL SC LTDA.</v>
      </c>
      <c r="C2907" s="54" t="s">
        <v>3</v>
      </c>
      <c r="D2907" s="54">
        <v>95220</v>
      </c>
      <c r="E2907" s="51">
        <v>1069.1500000000001</v>
      </c>
      <c r="F2907" s="48"/>
      <c r="G2907" s="51"/>
      <c r="H2907" s="52"/>
      <c r="I2907" s="53">
        <v>46087</v>
      </c>
    </row>
    <row r="2908" spans="1:9">
      <c r="A2908" s="47">
        <v>50576</v>
      </c>
      <c r="B2908" s="48" t="str">
        <f>IFERROR(VLOOKUP(A2908,CLIENTES!A:E,2,0),"CADASTRAR CLIENTE")</f>
        <v>ANDRIAO CANEPPA E SILVA LTDA ME</v>
      </c>
      <c r="C2908" s="54" t="s">
        <v>3</v>
      </c>
      <c r="D2908" s="54">
        <v>95188</v>
      </c>
      <c r="E2908" s="88">
        <v>2215.65</v>
      </c>
      <c r="F2908" s="48"/>
      <c r="G2908" s="51"/>
      <c r="H2908" s="52"/>
      <c r="I2908" s="53">
        <v>46090</v>
      </c>
    </row>
    <row r="2909" spans="1:9">
      <c r="A2909" s="47">
        <v>50554</v>
      </c>
      <c r="B2909" s="48" t="str">
        <f>IFERROR(VLOOKUP(A2909,CLIENTES!A:E,2,0),"CADASTRAR CLIENTE")</f>
        <v>SAO ROQUE MEDICINA DIAGNOSTICA</v>
      </c>
      <c r="C2909" s="54" t="s">
        <v>3</v>
      </c>
      <c r="D2909" s="54" t="s">
        <v>955</v>
      </c>
      <c r="E2909" s="88">
        <v>5853.4</v>
      </c>
      <c r="F2909" s="48"/>
      <c r="G2909" s="51"/>
      <c r="H2909" s="52"/>
      <c r="I2909" s="53">
        <v>46090</v>
      </c>
    </row>
    <row r="2910" spans="1:9">
      <c r="A2910" s="47">
        <v>1164</v>
      </c>
      <c r="B2910" s="48" t="str">
        <f>IFERROR(VLOOKUP(A2910,CLIENTES!A:E,2,0),"CADASTRAR CLIENTE")</f>
        <v>LAB. ANAL. CLIN. SAO LOURENCO S/C LTDA</v>
      </c>
      <c r="C2910" s="54" t="s">
        <v>3</v>
      </c>
      <c r="D2910" s="54" t="s">
        <v>956</v>
      </c>
      <c r="E2910" s="88">
        <v>2932.95</v>
      </c>
      <c r="F2910" s="48"/>
      <c r="G2910" s="51"/>
      <c r="H2910" s="52"/>
      <c r="I2910" s="53">
        <v>46090</v>
      </c>
    </row>
    <row r="2911" spans="1:9">
      <c r="A2911" s="47">
        <v>746</v>
      </c>
      <c r="B2911" s="48" t="str">
        <f>IFERROR(VLOOKUP(A2911,CLIENTES!A:E,2,0),"CADASTRAR CLIENTE")</f>
        <v>LAB.ANAL.CLIN.BIOCLIN SC LTDA.</v>
      </c>
      <c r="C2911" s="54" t="s">
        <v>3</v>
      </c>
      <c r="D2911" s="54" t="s">
        <v>957</v>
      </c>
      <c r="E2911" s="51">
        <v>1510.02</v>
      </c>
      <c r="F2911" s="48"/>
      <c r="G2911" s="51"/>
      <c r="H2911" s="52"/>
      <c r="I2911" s="53">
        <v>46090</v>
      </c>
    </row>
    <row r="2912" spans="1:9">
      <c r="A2912" s="47">
        <v>1058</v>
      </c>
      <c r="B2912" s="48" t="str">
        <f>IFERROR(VLOOKUP(A2912,CLIENTES!A:E,2,0),"CADASTRAR CLIENTE")</f>
        <v>LAB. ANAL. CLIN. DR ARNALDO BUAINAIN SS LTDA</v>
      </c>
      <c r="C2912" s="54" t="s">
        <v>3</v>
      </c>
      <c r="D2912" s="54">
        <v>95095</v>
      </c>
      <c r="E2912" s="51">
        <v>1059.8</v>
      </c>
      <c r="F2912" s="48"/>
      <c r="G2912" s="51"/>
      <c r="H2912" s="52"/>
      <c r="I2912" s="53">
        <v>46090</v>
      </c>
    </row>
    <row r="2913" spans="1:9">
      <c r="A2913" s="47">
        <v>762</v>
      </c>
      <c r="B2913" s="48" t="str">
        <f>IFERROR(VLOOKUP(A2913,CLIENTES!A:E,2,0),"CADASTRAR CLIENTE")</f>
        <v>STA. CASA MISERICORDIA DE ARACATUBA</v>
      </c>
      <c r="C2913" s="54" t="s">
        <v>3</v>
      </c>
      <c r="D2913" s="54">
        <v>94943</v>
      </c>
      <c r="E2913" s="51">
        <v>4889.5</v>
      </c>
      <c r="F2913" s="48"/>
      <c r="G2913" s="51"/>
      <c r="H2913" s="52"/>
      <c r="I2913" s="53">
        <v>46090</v>
      </c>
    </row>
    <row r="2914" spans="1:9">
      <c r="A2914" s="47">
        <v>50558</v>
      </c>
      <c r="B2914" s="48" t="str">
        <f>IFERROR(VLOOKUP(A2914,CLIENTES!A:E,2,0),"CADASTRAR CLIENTE")</f>
        <v>FUNDACAO PAULISTA DE TECNOLOGIA E EDUCACAO</v>
      </c>
      <c r="C2914" s="54" t="s">
        <v>3</v>
      </c>
      <c r="D2914" s="54">
        <v>94644</v>
      </c>
      <c r="E2914" s="88">
        <v>2455</v>
      </c>
      <c r="F2914" s="48"/>
      <c r="G2914" s="51"/>
      <c r="H2914" s="52"/>
      <c r="I2914" s="53">
        <v>46090</v>
      </c>
    </row>
    <row r="2915" spans="1:9">
      <c r="A2915" s="47">
        <v>500873</v>
      </c>
      <c r="B2915" s="48" t="str">
        <f>IFERROR(VLOOKUP(A2915,CLIENTES!A:E,2,0),"CADASTRAR CLIENTE")</f>
        <v>HOUPILLARD SERVICOS VETERINARIOS LTDA.</v>
      </c>
      <c r="C2915" s="54" t="s">
        <v>3</v>
      </c>
      <c r="D2915" s="54" t="s">
        <v>958</v>
      </c>
      <c r="E2915" s="51">
        <v>2185.6999999999998</v>
      </c>
      <c r="F2915" s="48"/>
      <c r="G2915" s="51"/>
      <c r="H2915" s="52"/>
      <c r="I2915" s="53">
        <v>46090</v>
      </c>
    </row>
    <row r="2916" spans="1:9">
      <c r="A2916" s="47">
        <v>408</v>
      </c>
      <c r="B2916" s="48" t="str">
        <f>IFERROR(VLOOKUP(A2916,CLIENTES!A:E,2,0),"CADASTRAR CLIENTE")</f>
        <v>FUND.DESENV.DE CIENCIAS FARMACEUTICAS</v>
      </c>
      <c r="C2916" s="54" t="s">
        <v>3</v>
      </c>
      <c r="D2916" s="54">
        <v>94938</v>
      </c>
      <c r="E2916" s="51">
        <v>553</v>
      </c>
      <c r="F2916" s="48"/>
      <c r="G2916" s="51"/>
      <c r="H2916" s="52"/>
      <c r="I2916" s="53">
        <v>46090</v>
      </c>
    </row>
    <row r="2917" spans="1:9">
      <c r="A2917" s="47">
        <v>311</v>
      </c>
      <c r="B2917" s="48" t="str">
        <f>IFERROR(VLOOKUP(A2917,CLIENTES!A:E,2,0),"CADASTRAR CLIENTE")</f>
        <v>CENTRO DE ANAL.CLIN. UNILAB  SC LTDA.</v>
      </c>
      <c r="C2917" s="54" t="s">
        <v>3</v>
      </c>
      <c r="D2917" s="54" t="s">
        <v>959</v>
      </c>
      <c r="E2917" s="51">
        <v>1454.75</v>
      </c>
      <c r="F2917" s="48"/>
      <c r="G2917" s="51"/>
      <c r="H2917" s="52"/>
      <c r="I2917" s="53">
        <v>46090</v>
      </c>
    </row>
    <row r="2918" spans="1:9">
      <c r="A2918" s="47">
        <v>50465</v>
      </c>
      <c r="B2918" s="48" t="str">
        <f>IFERROR(VLOOKUP(A2918,CLIENTES!A:E,2,0),"CADASTRAR CLIENTE")</f>
        <v>LABORATORIO DE ANALISES CLINICAS VIDA BIRIGUI LTDA</v>
      </c>
      <c r="C2918" s="54" t="s">
        <v>3</v>
      </c>
      <c r="D2918" s="54">
        <v>95302</v>
      </c>
      <c r="E2918" s="51">
        <v>3280.49</v>
      </c>
      <c r="F2918" s="48"/>
      <c r="G2918" s="51"/>
      <c r="H2918" s="52"/>
      <c r="I2918" s="53">
        <v>46090</v>
      </c>
    </row>
    <row r="2919" spans="1:9">
      <c r="A2919" s="47">
        <v>500982</v>
      </c>
      <c r="B2919" s="48" t="str">
        <f>IFERROR(VLOOKUP(A2919,CLIENTES!A:E,2,0),"CADASTRAR CLIENTE")</f>
        <v>INOVA LABORATORIO DE ANALISES CLINICAS LTDA</v>
      </c>
      <c r="C2919" s="54" t="s">
        <v>3</v>
      </c>
      <c r="D2919" s="54">
        <v>95293</v>
      </c>
      <c r="E2919" s="88">
        <v>1720.3</v>
      </c>
      <c r="F2919" s="48"/>
      <c r="G2919" s="51"/>
      <c r="H2919" s="52"/>
      <c r="I2919" s="53">
        <v>46090</v>
      </c>
    </row>
    <row r="2920" spans="1:9">
      <c r="A2920" s="62">
        <v>500243</v>
      </c>
      <c r="B2920" s="48" t="str">
        <f>IFERROR(VLOOKUP(A2920,CLIENTES!A:E,2,0),"CADASTRAR CLIENTE")</f>
        <v>UNIMED DE IBITINGA COOPERATIVA DE TRABALHO MEDICO</v>
      </c>
      <c r="C2920" s="54" t="s">
        <v>3</v>
      </c>
      <c r="D2920" s="54">
        <v>94530</v>
      </c>
      <c r="E2920" s="88">
        <v>2180.5</v>
      </c>
      <c r="F2920" s="48"/>
      <c r="G2920" s="51"/>
      <c r="H2920" s="52"/>
      <c r="I2920" s="53">
        <v>46090</v>
      </c>
    </row>
    <row r="2921" spans="1:9">
      <c r="A2921" s="47">
        <v>3194</v>
      </c>
      <c r="B2921" s="48" t="str">
        <f>IFERROR(VLOOKUP(A2921,CLIENTES!A:E,2,0),"CADASTRAR CLIENTE")</f>
        <v>CENTRO DE DIAGNOSTICOS CONTROLE LTDA</v>
      </c>
      <c r="C2921" s="54" t="s">
        <v>3</v>
      </c>
      <c r="D2921" s="54">
        <v>95315</v>
      </c>
      <c r="E2921" s="51">
        <v>706.4</v>
      </c>
      <c r="F2921" s="48"/>
      <c r="G2921" s="51"/>
      <c r="H2921" s="52"/>
      <c r="I2921" s="53">
        <v>46091</v>
      </c>
    </row>
    <row r="2922" spans="1:9">
      <c r="A2922" s="47">
        <v>2702</v>
      </c>
      <c r="B2922" s="48" t="str">
        <f>IFERROR(VLOOKUP(A2922,CLIENTES!A:E,2,0),"CADASTRAR CLIENTE")</f>
        <v>SANTA CASA DE MISER. DE TAQUARITUBA</v>
      </c>
      <c r="C2922" s="54" t="s">
        <v>3</v>
      </c>
      <c r="D2922" s="54">
        <v>95342</v>
      </c>
      <c r="E2922" s="51">
        <v>1551.15</v>
      </c>
      <c r="F2922" s="48"/>
      <c r="G2922" s="51"/>
      <c r="H2922" s="52"/>
      <c r="I2922" s="53">
        <v>46091</v>
      </c>
    </row>
    <row r="2923" spans="1:9">
      <c r="A2923" s="47">
        <v>690</v>
      </c>
      <c r="B2923" s="48" t="str">
        <f>IFERROR(VLOOKUP(A2923,CLIENTES!A:E,2,0),"CADASTRAR CLIENTE")</f>
        <v>SAO ROQUE MEDICINA DIAGNOSTICA LTDA EPP</v>
      </c>
      <c r="C2923" s="54" t="s">
        <v>3</v>
      </c>
      <c r="D2923" s="54" t="s">
        <v>960</v>
      </c>
      <c r="E2923" s="51">
        <v>2441.9899999999998</v>
      </c>
      <c r="F2923" s="48"/>
      <c r="G2923" s="51"/>
      <c r="H2923" s="52"/>
      <c r="I2923" s="53">
        <v>46091</v>
      </c>
    </row>
    <row r="2924" spans="1:9">
      <c r="A2924" s="47">
        <v>3153</v>
      </c>
      <c r="B2924" s="48" t="str">
        <f>IFERROR(VLOOKUP(A2924,CLIENTES!A:E,2,0),"CADASTRAR CLIENTE")</f>
        <v>UNIMED DE TUPA COOPERATIVA DE TRABALHO MEDICO</v>
      </c>
      <c r="C2924" s="54" t="s">
        <v>3</v>
      </c>
      <c r="D2924" s="54">
        <v>95250</v>
      </c>
      <c r="E2924" s="88">
        <v>1347.1</v>
      </c>
      <c r="F2924" s="48"/>
      <c r="G2924" s="51"/>
      <c r="H2924" s="52"/>
      <c r="I2924" s="53">
        <v>46091</v>
      </c>
    </row>
    <row r="2925" spans="1:9">
      <c r="A2925" s="47">
        <v>708</v>
      </c>
      <c r="B2925" s="48" t="str">
        <f>IFERROR(VLOOKUP(A2925,CLIENTES!A:E,2,0),"CADASTRAR CLIENTE")</f>
        <v>IMEDI INST.MEDICO DE PAT.E DIAGNOSTICO SC LTDA.</v>
      </c>
      <c r="C2925" s="54" t="s">
        <v>3</v>
      </c>
      <c r="D2925" s="54">
        <v>95376</v>
      </c>
      <c r="E2925" s="51">
        <v>2030</v>
      </c>
      <c r="F2925" s="48"/>
      <c r="G2925" s="51"/>
      <c r="H2925" s="52"/>
      <c r="I2925" s="53">
        <v>46092</v>
      </c>
    </row>
    <row r="2926" spans="1:9">
      <c r="A2926" s="47">
        <v>516</v>
      </c>
      <c r="B2926" s="48" t="str">
        <f>IFERROR(VLOOKUP(A2926,CLIENTES!A:E,2,0),"CADASTRAR CLIENTE")</f>
        <v>TECNOLAB PATOLOGIA CLINICA S/C LTDA</v>
      </c>
      <c r="C2926" s="54" t="s">
        <v>3</v>
      </c>
      <c r="D2926" s="54">
        <v>93867</v>
      </c>
      <c r="E2926" s="51">
        <v>244.3</v>
      </c>
      <c r="F2926" s="48"/>
      <c r="G2926" s="51"/>
      <c r="H2926" s="52"/>
      <c r="I2926" s="53">
        <v>46092</v>
      </c>
    </row>
    <row r="2927" spans="1:9">
      <c r="A2927" s="47">
        <v>2163</v>
      </c>
      <c r="B2927" s="48" t="str">
        <f>IFERROR(VLOOKUP(A2927,CLIENTES!A:E,2,0),"CADASTRAR CLIENTE")</f>
        <v>BIO-LAB SAO JUDAS TADEU S/C LTDA - ME</v>
      </c>
      <c r="C2927" s="54" t="s">
        <v>816</v>
      </c>
      <c r="D2927" s="54">
        <v>95400</v>
      </c>
      <c r="E2927" s="51">
        <v>1530.79</v>
      </c>
      <c r="F2927" s="48"/>
      <c r="G2927" s="51"/>
      <c r="H2927" s="52"/>
      <c r="I2927" s="53">
        <v>46092</v>
      </c>
    </row>
    <row r="2928" spans="1:9">
      <c r="A2928" s="62">
        <v>500854</v>
      </c>
      <c r="B2928" s="48" t="str">
        <f>IFERROR(VLOOKUP(A2928,CLIENTES!A:E,2,0),"CADASTRAR CLIENTE")</f>
        <v>SOLUCOES FARMA DISTRIBUIDORA E IMPORTADORA DE MEDICAMENTOS E PRODUTOS PARA SAUDE LTDA.</v>
      </c>
      <c r="C2928" s="54" t="s">
        <v>3</v>
      </c>
      <c r="D2928" s="54">
        <v>94573</v>
      </c>
      <c r="E2928" s="88">
        <v>6742.2</v>
      </c>
      <c r="F2928" s="48"/>
      <c r="G2928" s="51"/>
      <c r="H2928" s="52"/>
      <c r="I2928" s="53">
        <v>46092</v>
      </c>
    </row>
    <row r="2929" spans="1:9">
      <c r="A2929" s="47">
        <v>705</v>
      </c>
      <c r="B2929" s="48" t="str">
        <f>IFERROR(VLOOKUP(A2929,CLIENTES!A:E,2,0),"CADASTRAR CLIENTE")</f>
        <v>JOAO JOSE SCHIAVUZZO ME</v>
      </c>
      <c r="C2929" s="54" t="s">
        <v>3</v>
      </c>
      <c r="D2929" s="54">
        <v>95152</v>
      </c>
      <c r="E2929" s="51">
        <v>592.1</v>
      </c>
      <c r="F2929" s="48"/>
      <c r="G2929" s="51"/>
      <c r="H2929" s="52"/>
      <c r="I2929" s="53">
        <v>46092</v>
      </c>
    </row>
    <row r="2930" spans="1:9">
      <c r="A2930" s="47">
        <v>1616</v>
      </c>
      <c r="B2930" s="48" t="str">
        <f>IFERROR(VLOOKUP(A2930,CLIENTES!A:E,2,0),"CADASTRAR CLIENTE")</f>
        <v>NOVO HORIZONTE LAB.ANAL.CLIN.S/C LTDA.</v>
      </c>
      <c r="C2930" s="54" t="s">
        <v>3</v>
      </c>
      <c r="D2930" s="54">
        <v>95264</v>
      </c>
      <c r="E2930" s="51">
        <v>432.11</v>
      </c>
      <c r="F2930" s="48"/>
      <c r="G2930" s="51"/>
      <c r="H2930" s="52"/>
      <c r="I2930" s="53">
        <v>46093</v>
      </c>
    </row>
    <row r="2931" spans="1:9">
      <c r="A2931" s="47">
        <v>832</v>
      </c>
      <c r="B2931" s="48" t="str">
        <f>IFERROR(VLOOKUP(A2931,CLIENTES!A:E,2,0),"CADASTRAR CLIENTE")</f>
        <v>ASSOCIACAO DE ENSINO E CULTURA DE MATO GROSSO</v>
      </c>
      <c r="C2931" s="54" t="s">
        <v>3</v>
      </c>
      <c r="D2931" s="54">
        <v>94971</v>
      </c>
      <c r="E2931" s="100">
        <v>603.37</v>
      </c>
      <c r="F2931" s="48"/>
      <c r="G2931" s="51"/>
      <c r="H2931" s="52"/>
      <c r="I2931" s="53">
        <v>46093</v>
      </c>
    </row>
    <row r="2932" spans="1:9">
      <c r="A2932" s="18">
        <v>500005</v>
      </c>
      <c r="B2932" s="19" t="str">
        <f>IFERROR(VLOOKUP(A2932,CLIENTES!A:E,2,0),"CADASTRAR CLIENTE")</f>
        <v>ASSOCIACAO EDUCACIONAL DE ENSINO SUPERIOR</v>
      </c>
      <c r="C2932" s="60" t="s">
        <v>3</v>
      </c>
      <c r="D2932" s="60">
        <v>95457</v>
      </c>
      <c r="E2932" s="101"/>
      <c r="F2932" s="19"/>
      <c r="G2932" s="21">
        <v>5990</v>
      </c>
      <c r="H2932" s="22"/>
      <c r="I2932" s="20">
        <v>46093</v>
      </c>
    </row>
    <row r="2933" spans="1:9">
      <c r="A2933" s="47">
        <v>500005</v>
      </c>
      <c r="B2933" s="48" t="str">
        <f>IFERROR(VLOOKUP(A2933,CLIENTES!A:E,2,0),"CADASTRAR CLIENTE")</f>
        <v>ASSOCIACAO EDUCACIONAL DE ENSINO SUPERIOR</v>
      </c>
      <c r="C2933" s="54" t="s">
        <v>3</v>
      </c>
      <c r="D2933" s="54" t="s">
        <v>961</v>
      </c>
      <c r="E2933" s="100">
        <v>2183.4</v>
      </c>
      <c r="F2933" s="48"/>
      <c r="G2933" s="88">
        <v>1580</v>
      </c>
      <c r="H2933" s="52"/>
      <c r="I2933" s="53">
        <v>46093</v>
      </c>
    </row>
    <row r="2934" spans="1:9">
      <c r="A2934" s="47">
        <v>51175</v>
      </c>
      <c r="B2934" s="48" t="str">
        <f>IFERROR(VLOOKUP(A2934,CLIENTES!A:E,2,0),"CADASTRAR CLIENTE")</f>
        <v>CLINICA MEDICA E ODONTOLOGICA AMOR SAUDE TUPA LTDA</v>
      </c>
      <c r="C2934" s="54" t="s">
        <v>3</v>
      </c>
      <c r="D2934" s="54">
        <v>95439</v>
      </c>
      <c r="E2934" s="51">
        <v>109.15</v>
      </c>
      <c r="F2934" s="48"/>
      <c r="G2934" s="51"/>
      <c r="H2934" s="52"/>
      <c r="I2934" s="53">
        <v>46093</v>
      </c>
    </row>
    <row r="2935" spans="1:9">
      <c r="A2935" s="47">
        <v>906</v>
      </c>
      <c r="B2935" s="48" t="str">
        <f>IFERROR(VLOOKUP(A2935,CLIENTES!A:E,2,0),"CADASTRAR CLIENTE")</f>
        <v>LABORATORIO ANAL. CLIN. DESCALVADO LTDA</v>
      </c>
      <c r="C2935" s="54" t="s">
        <v>3</v>
      </c>
      <c r="D2935" s="54" t="s">
        <v>962</v>
      </c>
      <c r="E2935" s="88">
        <v>905.52</v>
      </c>
      <c r="F2935" s="48"/>
      <c r="G2935" s="51"/>
      <c r="H2935" s="52"/>
      <c r="I2935" s="53">
        <v>46093</v>
      </c>
    </row>
    <row r="2936" spans="1:9">
      <c r="A2936" s="47">
        <v>905</v>
      </c>
      <c r="B2936" s="48" t="str">
        <f>IFERROR(VLOOKUP(A2936,CLIENTES!A:E,2,0),"CADASTRAR CLIENTE")</f>
        <v>LAB AN CLIN DR NESTOR FERRAREZZI FILHO  SC LTDA</v>
      </c>
      <c r="C2936" s="54" t="s">
        <v>816</v>
      </c>
      <c r="D2936" s="54" t="s">
        <v>963</v>
      </c>
      <c r="E2936" s="51">
        <v>1140.81</v>
      </c>
      <c r="F2936" s="48"/>
      <c r="G2936" s="51"/>
      <c r="H2936" s="52"/>
      <c r="I2936" s="53">
        <v>46093</v>
      </c>
    </row>
    <row r="2937" spans="1:9">
      <c r="A2937" s="47">
        <v>960</v>
      </c>
      <c r="B2937" s="48" t="str">
        <f>IFERROR(VLOOKUP(A2937,CLIENTES!A:E,2,0),"CADASTRAR CLIENTE")</f>
        <v>LUIS VALERIO FILHO-ME</v>
      </c>
      <c r="C2937" s="54" t="s">
        <v>3</v>
      </c>
      <c r="D2937" s="54" t="s">
        <v>964</v>
      </c>
      <c r="E2937" s="51">
        <v>980.05</v>
      </c>
      <c r="F2937" s="48"/>
      <c r="G2937" s="51"/>
      <c r="H2937" s="52"/>
      <c r="I2937" s="53">
        <v>46093</v>
      </c>
    </row>
    <row r="2938" spans="1:9">
      <c r="A2938" s="18">
        <v>2199</v>
      </c>
      <c r="B2938" s="19" t="str">
        <f>IFERROR(VLOOKUP(A2938,CLIENTES!A:E,2,0),"CADASTRAR CLIENTE")</f>
        <v>SOCIEDADE EDUCACIONAL UBERABENSE</v>
      </c>
      <c r="C2938" s="60" t="s">
        <v>738</v>
      </c>
      <c r="D2938" s="60">
        <v>95369</v>
      </c>
      <c r="E2938" s="99"/>
      <c r="F2938" s="19"/>
      <c r="G2938" s="21">
        <v>1450</v>
      </c>
      <c r="H2938" s="22"/>
      <c r="I2938" s="20">
        <v>46097</v>
      </c>
    </row>
    <row r="2939" spans="1:9">
      <c r="A2939" s="47">
        <v>2199</v>
      </c>
      <c r="B2939" s="48" t="str">
        <f>IFERROR(VLOOKUP(A2939,CLIENTES!A:E,2,0),"CADASTRAR CLIENTE")</f>
        <v>SOCIEDADE EDUCACIONAL UBERABENSE</v>
      </c>
      <c r="C2939" s="54" t="s">
        <v>738</v>
      </c>
      <c r="D2939" s="54" t="s">
        <v>965</v>
      </c>
      <c r="E2939" s="88">
        <v>2623.7</v>
      </c>
      <c r="F2939" s="48"/>
      <c r="G2939" s="51"/>
      <c r="H2939" s="52"/>
      <c r="I2939" s="20">
        <v>46097</v>
      </c>
    </row>
    <row r="2940" spans="1:9">
      <c r="A2940" s="47">
        <v>762</v>
      </c>
      <c r="B2940" s="48" t="str">
        <f>IFERROR(VLOOKUP(A2940,CLIENTES!A:E,2,0),"CADASTRAR CLIENTE")</f>
        <v>STA. CASA MISERICORDIA DE ARACATUBA</v>
      </c>
      <c r="C2940" s="54" t="s">
        <v>2</v>
      </c>
      <c r="D2940" s="54">
        <v>95351</v>
      </c>
      <c r="E2940" s="88">
        <v>5413.57</v>
      </c>
      <c r="F2940" s="48"/>
      <c r="G2940" s="51"/>
      <c r="H2940" s="52"/>
      <c r="I2940" s="53">
        <v>46093</v>
      </c>
    </row>
    <row r="2941" spans="1:9">
      <c r="A2941" s="47">
        <v>364</v>
      </c>
      <c r="B2941" s="48" t="str">
        <f>IFERROR(VLOOKUP(A2941,CLIENTES!A:E,2,0),"CADASTRAR CLIENTE")</f>
        <v>VITALIS LAB.ANAL.CLIN.S/C LTDA</v>
      </c>
      <c r="C2941" s="54" t="s">
        <v>3</v>
      </c>
      <c r="D2941" s="54" t="s">
        <v>966</v>
      </c>
      <c r="E2941" s="88">
        <v>427.71</v>
      </c>
      <c r="F2941" s="48"/>
      <c r="G2941" s="51"/>
      <c r="H2941" s="52"/>
      <c r="I2941" s="53">
        <v>46093</v>
      </c>
    </row>
    <row r="2942" spans="1:9">
      <c r="A2942" s="47">
        <v>761</v>
      </c>
      <c r="B2942" s="48" t="str">
        <f>IFERROR(VLOOKUP(A2942,CLIENTES!A:E,2,0),"CADASTRAR CLIENTE")</f>
        <v>EXAME CENTRO DIAG.M.ARACATUBA SC LTDA.</v>
      </c>
      <c r="C2942" s="54" t="s">
        <v>3</v>
      </c>
      <c r="D2942" s="54" t="s">
        <v>967</v>
      </c>
      <c r="E2942" s="88">
        <v>7225.22</v>
      </c>
      <c r="F2942" s="48"/>
      <c r="G2942" s="51"/>
      <c r="H2942" s="52"/>
      <c r="I2942" s="53">
        <v>46099</v>
      </c>
    </row>
    <row r="2943" spans="1:9">
      <c r="A2943" s="47">
        <v>51182</v>
      </c>
      <c r="B2943" s="48" t="str">
        <f>IFERROR(VLOOKUP(A2943,CLIENTES!A:E,2,0),"CADASTRAR CLIENTE")</f>
        <v>GENNER FABRIS FLORENCIO OLIVO</v>
      </c>
      <c r="C2943" s="54" t="s">
        <v>3</v>
      </c>
      <c r="D2943" s="54">
        <v>95487</v>
      </c>
      <c r="E2943" s="51"/>
      <c r="F2943" s="48"/>
      <c r="G2943" s="51">
        <v>13750</v>
      </c>
      <c r="H2943" s="52"/>
      <c r="I2943" s="53">
        <v>46099</v>
      </c>
    </row>
    <row r="2944" spans="1:9">
      <c r="A2944" s="47">
        <v>51182</v>
      </c>
      <c r="B2944" s="48" t="str">
        <f>IFERROR(VLOOKUP(A2944,CLIENTES!A:E,2,0),"CADASTRAR CLIENTE")</f>
        <v>GENNER FABRIS FLORENCIO OLIVO</v>
      </c>
      <c r="C2944" s="54" t="s">
        <v>3</v>
      </c>
      <c r="D2944" s="54">
        <v>95001</v>
      </c>
      <c r="E2944" s="51">
        <v>1916.5</v>
      </c>
      <c r="F2944" s="48"/>
      <c r="G2944" s="51"/>
      <c r="H2944" s="52"/>
      <c r="I2944" s="53">
        <v>46099</v>
      </c>
    </row>
    <row r="2945" spans="1:9">
      <c r="A2945" s="47">
        <v>724</v>
      </c>
      <c r="B2945" s="48" t="str">
        <f>IFERROR(VLOOKUP(A2945,CLIENTES!A:E,2,0),"CADASTRAR CLIENTE")</f>
        <v>LAB. ANAL. CLIN. DRA SILVIA M.MANZATO LARANJO SC LTDA.</v>
      </c>
      <c r="C2945" s="54" t="s">
        <v>3</v>
      </c>
      <c r="D2945" s="54">
        <v>95473</v>
      </c>
      <c r="E2945" s="51">
        <v>520</v>
      </c>
      <c r="F2945" s="48"/>
      <c r="G2945" s="51"/>
      <c r="H2945" s="52"/>
      <c r="I2945" s="53">
        <v>46099</v>
      </c>
    </row>
    <row r="2946" spans="1:9">
      <c r="A2946" s="47">
        <v>50219</v>
      </c>
      <c r="B2946" s="48" t="str">
        <f>IFERROR(VLOOKUP(A2946,CLIENTES!A:E,2,0),"CADASTRAR CLIENTE")</f>
        <v>UNIPREV LAB DE ANALISES LOCACAO DE BENS E REPAROS LTDA EPP</v>
      </c>
      <c r="C2946" s="54" t="s">
        <v>3</v>
      </c>
      <c r="D2946" s="54">
        <v>102806</v>
      </c>
      <c r="E2946" s="88">
        <v>189</v>
      </c>
      <c r="F2946" s="48"/>
      <c r="G2946" s="51"/>
      <c r="H2946" s="52"/>
      <c r="I2946" s="53">
        <v>46099</v>
      </c>
    </row>
    <row r="2947" spans="1:9">
      <c r="A2947" s="47">
        <v>705</v>
      </c>
      <c r="B2947" s="48" t="str">
        <f>IFERROR(VLOOKUP(A2947,CLIENTES!A:E,2,0),"CADASTRAR CLIENTE")</f>
        <v>JOAO JOSE SCHIAVUZZO ME</v>
      </c>
      <c r="C2947" s="54" t="s">
        <v>3</v>
      </c>
      <c r="D2947" s="54">
        <v>95522</v>
      </c>
      <c r="E2947" s="51">
        <v>379.9</v>
      </c>
      <c r="F2947" s="48"/>
      <c r="G2947" s="51"/>
      <c r="H2947" s="52"/>
      <c r="I2947" s="53">
        <v>46099</v>
      </c>
    </row>
    <row r="2948" spans="1:9">
      <c r="A2948" s="47">
        <v>663</v>
      </c>
      <c r="B2948" s="48" t="str">
        <f>IFERROR(VLOOKUP(A2948,CLIENTES!A:E,2,0),"CADASTRAR CLIENTE")</f>
        <v>LAB. MEDICO GUIMARAES</v>
      </c>
      <c r="C2948" s="54" t="s">
        <v>2</v>
      </c>
      <c r="D2948" s="54">
        <v>95504</v>
      </c>
      <c r="E2948" s="51">
        <v>2718.16</v>
      </c>
      <c r="F2948" s="48"/>
      <c r="G2948" s="51"/>
      <c r="H2948" s="52"/>
      <c r="I2948" s="53">
        <v>46097</v>
      </c>
    </row>
    <row r="2949" spans="1:9">
      <c r="A2949" s="47">
        <v>474</v>
      </c>
      <c r="B2949" s="48" t="str">
        <f>IFERROR(VLOOKUP(A2949,CLIENTES!A:E,2,0),"CADASTRAR CLIENTE")</f>
        <v>LABORATI LAB. ANAL. CLIN. TIETE S/C LTDA.</v>
      </c>
      <c r="C2949" s="54" t="s">
        <v>3</v>
      </c>
      <c r="D2949" s="54">
        <v>95527</v>
      </c>
      <c r="E2949" s="88">
        <v>1086</v>
      </c>
      <c r="F2949" s="48"/>
      <c r="G2949" s="51"/>
      <c r="H2949" s="52"/>
      <c r="I2949" s="53">
        <v>46097</v>
      </c>
    </row>
    <row r="2950" spans="1:9">
      <c r="A2950" s="47">
        <v>1240</v>
      </c>
      <c r="B2950" s="48" t="str">
        <f>IFERROR(VLOOKUP(A2950,CLIENTES!A:E,2,0),"CADASTRAR CLIENTE")</f>
        <v>MONICA VIEIRA DE CAMPOS REBELO-ME</v>
      </c>
      <c r="C2950" s="54" t="s">
        <v>3</v>
      </c>
      <c r="D2950" s="54">
        <v>95524</v>
      </c>
      <c r="E2950" s="88">
        <v>1846.19</v>
      </c>
      <c r="F2950" s="48"/>
      <c r="G2950" s="51"/>
      <c r="H2950" s="52"/>
      <c r="I2950" s="53">
        <v>46098</v>
      </c>
    </row>
    <row r="2951" spans="1:9">
      <c r="A2951" s="47">
        <v>2980</v>
      </c>
      <c r="B2951" s="48" t="str">
        <f>IFERROR(VLOOKUP(A2951,CLIENTES!A:E,2,0),"CADASTRAR CLIENTE")</f>
        <v>ALMEIDA &amp; FLAITT LABORATORIOS DE ANALISES CLINICAS LTDA</v>
      </c>
      <c r="C2951" s="54" t="s">
        <v>3</v>
      </c>
      <c r="D2951" s="54" t="s">
        <v>968</v>
      </c>
      <c r="E2951" s="88">
        <v>1574</v>
      </c>
      <c r="F2951" s="48"/>
      <c r="G2951" s="51"/>
      <c r="H2951" s="52"/>
      <c r="I2951" s="53">
        <v>46098</v>
      </c>
    </row>
    <row r="2952" spans="1:9">
      <c r="A2952" s="47">
        <v>51118</v>
      </c>
      <c r="B2952" s="48" t="str">
        <f>IFERROR(VLOOKUP(A2952,CLIENTES!A:E,2,0),"CADASTRAR CLIENTE")</f>
        <v>CADASTRAR CLIENTE</v>
      </c>
      <c r="C2952" s="54" t="s">
        <v>3</v>
      </c>
      <c r="D2952" s="54">
        <v>95558</v>
      </c>
      <c r="E2952" s="51">
        <v>281</v>
      </c>
      <c r="F2952" s="48"/>
      <c r="G2952" s="51"/>
      <c r="H2952" s="52"/>
      <c r="I2952" s="53">
        <v>46098</v>
      </c>
    </row>
    <row r="2953" spans="1:9">
      <c r="A2953" s="47">
        <v>905</v>
      </c>
      <c r="B2953" s="48" t="str">
        <f>IFERROR(VLOOKUP(A2953,CLIENTES!A:E,2,0),"CADASTRAR CLIENTE")</f>
        <v>LAB AN CLIN DR NESTOR FERRAREZZI FILHO  SC LTDA</v>
      </c>
      <c r="C2953" s="54" t="s">
        <v>3</v>
      </c>
      <c r="D2953" s="54">
        <v>102813</v>
      </c>
      <c r="E2953" s="51">
        <v>63.36</v>
      </c>
      <c r="F2953" s="48"/>
      <c r="G2953" s="51"/>
      <c r="H2953" s="52"/>
      <c r="I2953" s="53">
        <v>46098</v>
      </c>
    </row>
    <row r="2954" spans="1:9">
      <c r="A2954" s="47">
        <v>50554</v>
      </c>
      <c r="B2954" s="48" t="str">
        <f>IFERROR(VLOOKUP(A2954,CLIENTES!A:E,2,0),"CADASTRAR CLIENTE")</f>
        <v>SAO ROQUE MEDICINA DIAGNOSTICA</v>
      </c>
      <c r="C2954" s="54" t="s">
        <v>3</v>
      </c>
      <c r="D2954" s="54" t="s">
        <v>969</v>
      </c>
      <c r="E2954" s="51">
        <v>840.2</v>
      </c>
      <c r="F2954" s="48"/>
      <c r="G2954" s="51"/>
      <c r="H2954" s="52"/>
      <c r="I2954" s="53">
        <v>46098</v>
      </c>
    </row>
    <row r="2955" spans="1:9">
      <c r="A2955" s="47">
        <v>690</v>
      </c>
      <c r="B2955" s="48" t="str">
        <f>IFERROR(VLOOKUP(A2955,CLIENTES!A:E,2,0),"CADASTRAR CLIENTE")</f>
        <v>SAO ROQUE MEDICINA DIAGNOSTICA LTDA EPP</v>
      </c>
      <c r="C2955" s="54" t="s">
        <v>3</v>
      </c>
      <c r="D2955" s="54" t="s">
        <v>970</v>
      </c>
      <c r="E2955" s="51">
        <v>284.3</v>
      </c>
      <c r="F2955" s="48"/>
      <c r="G2955" s="51"/>
      <c r="H2955" s="52"/>
      <c r="I2955" s="53">
        <v>46098</v>
      </c>
    </row>
    <row r="2956" spans="1:9">
      <c r="A2956" s="47">
        <v>51061</v>
      </c>
      <c r="B2956" s="48" t="str">
        <f>IFERROR(VLOOKUP(A2956,CLIENTES!A:E,2,0),"CADASTRAR CLIENTE")</f>
        <v>UNIMED AMPARO COOPERATIVA DE TRABALHO MEDICO</v>
      </c>
      <c r="C2956" s="54" t="s">
        <v>738</v>
      </c>
      <c r="D2956" s="54">
        <v>95580</v>
      </c>
      <c r="E2956" s="51">
        <v>1645</v>
      </c>
      <c r="F2956" s="48"/>
      <c r="G2956" s="51"/>
      <c r="H2956" s="52"/>
      <c r="I2956" s="53">
        <v>46098</v>
      </c>
    </row>
    <row r="2957" spans="1:9">
      <c r="A2957" s="47">
        <v>784</v>
      </c>
      <c r="B2957" s="48" t="str">
        <f>IFERROR(VLOOKUP(A2957,CLIENTES!A:E,2,0),"CADASTRAR CLIENTE")</f>
        <v>LAB.ANAL.CLIN. ALBERT SABIN SC LTDA.</v>
      </c>
      <c r="C2957" s="54" t="s">
        <v>3</v>
      </c>
      <c r="D2957" s="54">
        <v>95080</v>
      </c>
      <c r="E2957" s="51">
        <v>700.95</v>
      </c>
      <c r="F2957" s="48"/>
      <c r="G2957" s="51"/>
      <c r="H2957" s="52"/>
      <c r="I2957" s="53">
        <v>46098</v>
      </c>
    </row>
    <row r="2958" spans="1:9">
      <c r="A2958" s="47">
        <v>3017</v>
      </c>
      <c r="B2958" s="48" t="str">
        <f>IFERROR(VLOOKUP(A2958,CLIENTES!A:E,2,0),"CADASTRAR CLIENTE")</f>
        <v>IMUNOLAB LABORATORIO DE ANALISES CLINICAS LTDA ME</v>
      </c>
      <c r="C2958" s="54" t="s">
        <v>3</v>
      </c>
      <c r="D2958" s="54">
        <v>95585</v>
      </c>
      <c r="E2958" s="51">
        <v>1785.1</v>
      </c>
      <c r="F2958" s="48"/>
      <c r="G2958" s="51"/>
      <c r="H2958" s="52"/>
      <c r="I2958" s="53">
        <v>46098</v>
      </c>
    </row>
    <row r="2959" spans="1:9">
      <c r="A2959" s="47">
        <v>2415</v>
      </c>
      <c r="B2959" s="48" t="str">
        <f>IFERROR(VLOOKUP(A2959,CLIENTES!A:E,2,0),"CADASTRAR CLIENTE")</f>
        <v>ROSSETTO E BARROS LABORATORIO DE ANALISES CLINICAS LTDA</v>
      </c>
      <c r="C2959" s="54" t="s">
        <v>3</v>
      </c>
      <c r="D2959" s="54">
        <v>95587</v>
      </c>
      <c r="E2959" s="51">
        <v>639.92999999999995</v>
      </c>
      <c r="F2959" s="48"/>
      <c r="G2959" s="51"/>
      <c r="H2959" s="52"/>
      <c r="I2959" s="53">
        <v>46098</v>
      </c>
    </row>
    <row r="2960" spans="1:9">
      <c r="A2960" s="47">
        <v>572</v>
      </c>
      <c r="B2960" s="48" t="str">
        <f>IFERROR(VLOOKUP(A2960,CLIENTES!A:E,2,0),"CADASTRAR CLIENTE")</f>
        <v>LABORATORIO MULTIANALISES LTDA-ME</v>
      </c>
      <c r="C2960" s="54" t="s">
        <v>3</v>
      </c>
      <c r="D2960" s="54" t="s">
        <v>971</v>
      </c>
      <c r="E2960" s="88">
        <v>1634.87</v>
      </c>
      <c r="F2960" s="48"/>
      <c r="G2960" s="51"/>
      <c r="H2960" s="52"/>
      <c r="I2960" s="53">
        <v>46098</v>
      </c>
    </row>
    <row r="2961" spans="1:9">
      <c r="A2961" s="47">
        <v>500873</v>
      </c>
      <c r="B2961" s="48" t="str">
        <f>IFERROR(VLOOKUP(A2961,CLIENTES!A:E,2,0),"CADASTRAR CLIENTE")</f>
        <v>HOUPILLARD SERVICOS VETERINARIOS LTDA.</v>
      </c>
      <c r="C2961" s="54" t="s">
        <v>3</v>
      </c>
      <c r="D2961" s="54" t="s">
        <v>972</v>
      </c>
      <c r="E2961" s="51">
        <v>890.2</v>
      </c>
      <c r="F2961" s="48"/>
      <c r="G2961" s="51"/>
      <c r="H2961" s="52"/>
      <c r="I2961" s="53">
        <v>46098</v>
      </c>
    </row>
    <row r="2962" spans="1:9">
      <c r="A2962" s="47">
        <v>475</v>
      </c>
      <c r="B2962" s="48" t="str">
        <f>IFERROR(VLOOKUP(A2962,CLIENTES!A:E,2,0),"CADASTRAR CLIENTE")</f>
        <v>LABORATORIO DE ANALISES CLINICAS SRC LTDA</v>
      </c>
      <c r="C2962" s="54" t="s">
        <v>3</v>
      </c>
      <c r="D2962" s="54" t="s">
        <v>973</v>
      </c>
      <c r="E2962" s="51">
        <v>5473.73</v>
      </c>
      <c r="F2962" s="48"/>
      <c r="G2962" s="51"/>
      <c r="H2962" s="52"/>
      <c r="I2962" s="53">
        <v>46098</v>
      </c>
    </row>
    <row r="2963" spans="1:9">
      <c r="A2963" s="47">
        <v>1971</v>
      </c>
      <c r="B2963" s="48" t="str">
        <f>IFERROR(VLOOKUP(A2963,CLIENTES!A:E,2,0),"CADASTRAR CLIENTE")</f>
        <v>LABORATORIO POPULAR LAB 7 LTDA</v>
      </c>
      <c r="C2963" s="54" t="s">
        <v>3</v>
      </c>
      <c r="D2963" s="54" t="s">
        <v>974</v>
      </c>
      <c r="E2963" s="88">
        <v>1118.9000000000001</v>
      </c>
      <c r="F2963" s="48"/>
      <c r="G2963" s="51"/>
      <c r="H2963" s="52"/>
      <c r="I2963" s="53">
        <v>46098</v>
      </c>
    </row>
    <row r="2964" spans="1:9">
      <c r="A2964" s="47">
        <v>325</v>
      </c>
      <c r="B2964" s="48" t="str">
        <f>IFERROR(VLOOKUP(A2964,CLIENTES!A:E,2,0),"CADASTRAR CLIENTE")</f>
        <v>EXAME-LABORAT. DE ANAL. CLIN. CITODIAGNOSTICO S/S LTDA</v>
      </c>
      <c r="C2964" s="54" t="s">
        <v>3</v>
      </c>
      <c r="D2964" s="54" t="s">
        <v>976</v>
      </c>
      <c r="E2964" s="88">
        <v>638</v>
      </c>
      <c r="F2964" s="48"/>
      <c r="G2964" s="51"/>
      <c r="H2964" s="52"/>
      <c r="I2964" s="53">
        <v>46098</v>
      </c>
    </row>
    <row r="2965" spans="1:9">
      <c r="A2965" s="47">
        <v>823</v>
      </c>
      <c r="B2965" s="48" t="str">
        <f>IFERROR(VLOOKUP(A2965,CLIENTES!A:E,2,0),"CADASTRAR CLIENTE")</f>
        <v>SANCHES x SANCHES S/C LTDA</v>
      </c>
      <c r="C2965" s="54" t="s">
        <v>3</v>
      </c>
      <c r="D2965" s="54" t="s">
        <v>975</v>
      </c>
      <c r="E2965" s="88">
        <v>5657.29</v>
      </c>
      <c r="F2965" s="48"/>
      <c r="G2965" s="51"/>
      <c r="H2965" s="52"/>
      <c r="I2965" s="53">
        <v>46098</v>
      </c>
    </row>
    <row r="2966" spans="1:9">
      <c r="A2966" s="47">
        <v>1246</v>
      </c>
      <c r="B2966" s="48" t="str">
        <f>IFERROR(VLOOKUP(A2966,CLIENTES!A:E,2,0),"CADASTRAR CLIENTE")</f>
        <v>CADASTRAR CLIENTE</v>
      </c>
      <c r="C2966" s="54" t="s">
        <v>816</v>
      </c>
      <c r="D2966" s="54">
        <v>95627</v>
      </c>
      <c r="E2966" s="51">
        <v>1032</v>
      </c>
      <c r="F2966" s="48"/>
      <c r="G2966" s="51"/>
      <c r="H2966" s="52"/>
      <c r="I2966" s="53">
        <v>46098</v>
      </c>
    </row>
    <row r="2967" spans="1:9">
      <c r="A2967" s="47">
        <v>3557</v>
      </c>
      <c r="B2967" s="48" t="str">
        <f>IFERROR(VLOOKUP(A2967,CLIENTES!A:E,2,0),"CADASTRAR CLIENTE")</f>
        <v>ASSOCIACAO BENEFICIENTE NOSSA SENHORA DE NAZARE</v>
      </c>
      <c r="C2967" s="54" t="s">
        <v>738</v>
      </c>
      <c r="D2967" s="54">
        <v>95629</v>
      </c>
      <c r="E2967" s="51">
        <v>4900</v>
      </c>
      <c r="F2967" s="48"/>
      <c r="G2967" s="51"/>
      <c r="H2967" s="52"/>
      <c r="I2967" s="53">
        <v>46098</v>
      </c>
    </row>
    <row r="2968" spans="1:9">
      <c r="A2968" s="47">
        <v>1905</v>
      </c>
      <c r="B2968" s="48" t="str">
        <f>IFERROR(VLOOKUP(A2968,CLIENTES!A:E,2,0),"CADASTRAR CLIENTE")</f>
        <v>A.C. CORREA DE OLIVEIRA LABORATORIO CLÍNICO</v>
      </c>
      <c r="C2968" s="54" t="s">
        <v>3</v>
      </c>
      <c r="D2968" s="54">
        <v>95650</v>
      </c>
      <c r="E2968" s="51">
        <v>775</v>
      </c>
      <c r="F2968" s="48"/>
      <c r="G2968" s="51"/>
      <c r="H2968" s="52"/>
      <c r="I2968" s="53">
        <v>46099</v>
      </c>
    </row>
    <row r="2969" spans="1:9">
      <c r="A2969" s="47">
        <v>822</v>
      </c>
      <c r="B2969" s="48" t="str">
        <f>IFERROR(VLOOKUP(A2969,CLIENTES!A:E,2,0),"CADASTRAR CLIENTE")</f>
        <v>SAO LUCAS LABORATORIO ANAL. CLIN. S/C LTDA</v>
      </c>
      <c r="C2969" s="54" t="s">
        <v>3</v>
      </c>
      <c r="D2969" s="54" t="s">
        <v>977</v>
      </c>
      <c r="E2969" s="51">
        <v>3140.12</v>
      </c>
      <c r="F2969" s="48"/>
      <c r="G2969" s="51"/>
      <c r="H2969" s="52"/>
      <c r="I2969" s="53">
        <v>46099</v>
      </c>
    </row>
    <row r="2970" spans="1:9">
      <c r="A2970" s="47">
        <v>480</v>
      </c>
      <c r="B2970" s="48" t="str">
        <f>IFERROR(VLOOKUP(A2970,CLIENTES!A:E,2,0),"CADASTRAR CLIENTE")</f>
        <v>LAB SAO LUCAS</v>
      </c>
      <c r="C2970" s="54" t="s">
        <v>3</v>
      </c>
      <c r="D2970" s="54" t="s">
        <v>978</v>
      </c>
      <c r="E2970" s="88">
        <v>1306.9000000000001</v>
      </c>
      <c r="F2970" s="48"/>
      <c r="G2970" s="51"/>
      <c r="H2970" s="52"/>
      <c r="I2970" s="53">
        <v>46100</v>
      </c>
    </row>
    <row r="2971" spans="1:9">
      <c r="A2971" s="47">
        <v>1813</v>
      </c>
      <c r="B2971" s="48" t="str">
        <f>IFERROR(VLOOKUP(A2971,CLIENTES!A:E,2,0),"CADASTRAR CLIENTE")</f>
        <v>BIOMED LAB.ANAL.CLIN. SC  LTDA</v>
      </c>
      <c r="C2971" s="54" t="s">
        <v>3</v>
      </c>
      <c r="D2971" s="54">
        <v>95642</v>
      </c>
      <c r="E2971" s="88">
        <v>815</v>
      </c>
      <c r="F2971" s="48"/>
      <c r="G2971" s="51"/>
      <c r="H2971" s="52"/>
      <c r="I2971" s="53">
        <v>46100</v>
      </c>
    </row>
    <row r="2972" spans="1:9">
      <c r="A2972" s="47">
        <v>2572</v>
      </c>
      <c r="B2972" s="48" t="str">
        <f>IFERROR(VLOOKUP(A2972,CLIENTES!A:E,2,0),"CADASTRAR CLIENTE")</f>
        <v>LAB. ANAL. CLIN. COFFERS S/C LTDA</v>
      </c>
      <c r="C2972" s="54" t="s">
        <v>3</v>
      </c>
      <c r="D2972" s="54">
        <v>95667</v>
      </c>
      <c r="E2972" s="51">
        <v>2364.41</v>
      </c>
      <c r="F2972" s="48"/>
      <c r="G2972" s="51"/>
      <c r="H2972" s="52"/>
      <c r="I2972" s="53">
        <v>46100</v>
      </c>
    </row>
    <row r="2973" spans="1:9">
      <c r="A2973" s="47">
        <v>1842</v>
      </c>
      <c r="B2973" s="48" t="str">
        <f>IFERROR(VLOOKUP(A2973,CLIENTES!A:E,2,0),"CADASTRAR CLIENTE")</f>
        <v>LABORATORIO UNILABVET EIRELI</v>
      </c>
      <c r="C2973" s="54" t="s">
        <v>3</v>
      </c>
      <c r="D2973" s="54">
        <v>95044</v>
      </c>
      <c r="E2973" s="51">
        <v>342</v>
      </c>
      <c r="F2973" s="48"/>
      <c r="G2973" s="51"/>
      <c r="H2973" s="52"/>
      <c r="I2973" s="53">
        <v>46100</v>
      </c>
    </row>
    <row r="2974" spans="1:9">
      <c r="A2974" s="47">
        <v>1026</v>
      </c>
      <c r="B2974" s="48" t="str">
        <f>IFERROR(VLOOKUP(A2974,CLIENTES!A:E,2,0),"CADASTRAR CLIENTE")</f>
        <v>LABSC SERVICOS LABORATORIAIS LTDA</v>
      </c>
      <c r="C2974" s="54" t="s">
        <v>816</v>
      </c>
      <c r="D2974" s="54">
        <v>94940</v>
      </c>
      <c r="E2974" s="51">
        <v>741</v>
      </c>
      <c r="F2974" s="48"/>
      <c r="G2974" s="51"/>
      <c r="H2974" s="52"/>
      <c r="I2974" s="53">
        <v>46100</v>
      </c>
    </row>
    <row r="2975" spans="1:9">
      <c r="A2975" s="47">
        <v>463</v>
      </c>
      <c r="B2975" s="48" t="str">
        <f>IFERROR(VLOOKUP(A2975,CLIENTES!A:E,2,0),"CADASTRAR CLIENTE")</f>
        <v>MASUDA &amp; MASUDA LABORATORIO CLINICO LTDA</v>
      </c>
      <c r="C2975" s="54" t="s">
        <v>3</v>
      </c>
      <c r="D2975" s="54">
        <v>95557</v>
      </c>
      <c r="E2975" s="51">
        <v>1374.6</v>
      </c>
      <c r="F2975" s="48"/>
      <c r="G2975" s="51"/>
      <c r="H2975" s="52"/>
      <c r="I2975" s="53">
        <v>46100</v>
      </c>
    </row>
    <row r="2976" spans="1:9">
      <c r="A2976" s="47">
        <v>1122</v>
      </c>
      <c r="B2976" s="48" t="str">
        <f>IFERROR(VLOOKUP(A2976,CLIENTES!A:E,2,0),"CADASTRAR CLIENTE")</f>
        <v>FUNDEPAG</v>
      </c>
      <c r="C2976" s="54" t="s">
        <v>3</v>
      </c>
      <c r="D2976" s="54">
        <v>95626</v>
      </c>
      <c r="E2976" s="51">
        <v>1471</v>
      </c>
      <c r="F2976" s="48"/>
      <c r="G2976" s="51"/>
      <c r="H2976" s="52"/>
      <c r="I2976" s="53">
        <v>46100</v>
      </c>
    </row>
    <row r="2977" spans="1:9">
      <c r="A2977" s="47">
        <v>1016</v>
      </c>
      <c r="B2977" s="48" t="str">
        <f>IFERROR(VLOOKUP(A2977,CLIENTES!A:E,2,0),"CADASTRAR CLIENTE")</f>
        <v>LAB.ANAL.CLIN. SAO LUCAS SC LTDA.</v>
      </c>
      <c r="C2977" s="54" t="s">
        <v>3</v>
      </c>
      <c r="D2977" s="54">
        <v>93116</v>
      </c>
      <c r="E2977" s="88">
        <v>96</v>
      </c>
      <c r="F2977" s="48"/>
      <c r="G2977" s="51"/>
      <c r="H2977" s="52"/>
      <c r="I2977" s="53">
        <v>46104</v>
      </c>
    </row>
    <row r="2978" spans="1:9">
      <c r="A2978" s="47">
        <v>1016</v>
      </c>
      <c r="B2978" s="48" t="str">
        <f>IFERROR(VLOOKUP(A2978,CLIENTES!A:E,2,0),"CADASTRAR CLIENTE")</f>
        <v>LAB.ANAL.CLIN. SAO LUCAS SC LTDA.</v>
      </c>
      <c r="C2978" s="54" t="s">
        <v>3</v>
      </c>
      <c r="D2978" s="54" t="s">
        <v>979</v>
      </c>
      <c r="E2978" s="88">
        <v>1867.6</v>
      </c>
      <c r="F2978" s="48"/>
      <c r="G2978" s="51"/>
      <c r="H2978" s="52"/>
      <c r="I2978" s="53">
        <v>46104</v>
      </c>
    </row>
    <row r="2979" spans="1:9">
      <c r="A2979" s="47">
        <v>3240</v>
      </c>
      <c r="B2979" s="48" t="str">
        <f>IFERROR(VLOOKUP(A2979,CLIENTES!A:E,2,0),"CADASTRAR CLIENTE")</f>
        <v>LABORLOPES LABORATORIO DE  ANALISES CLINICAS LTDA</v>
      </c>
      <c r="C2979" s="54" t="s">
        <v>3</v>
      </c>
      <c r="D2979" s="54" t="s">
        <v>980</v>
      </c>
      <c r="E2979" s="88">
        <v>1719.55</v>
      </c>
      <c r="F2979" s="48"/>
      <c r="G2979" s="51"/>
      <c r="H2979" s="52"/>
      <c r="I2979" s="53">
        <v>46110</v>
      </c>
    </row>
    <row r="2980" spans="1:9">
      <c r="A2980" s="47">
        <v>2199</v>
      </c>
      <c r="B2980" s="48" t="str">
        <f>IFERROR(VLOOKUP(A2980,CLIENTES!A:E,2,0),"CADASTRAR CLIENTE")</f>
        <v>SOCIEDADE EDUCACIONAL UBERABENSE</v>
      </c>
      <c r="C2980" s="54" t="s">
        <v>738</v>
      </c>
      <c r="D2980" s="54" t="s">
        <v>988</v>
      </c>
      <c r="E2980" s="88">
        <v>3968.55</v>
      </c>
      <c r="F2980" s="48"/>
      <c r="G2980" s="51"/>
      <c r="H2980" s="52"/>
      <c r="I2980" s="53">
        <v>46101</v>
      </c>
    </row>
    <row r="2981" spans="1:9">
      <c r="A2981" s="47">
        <v>311</v>
      </c>
      <c r="B2981" s="48" t="str">
        <f>IFERROR(VLOOKUP(A2981,CLIENTES!A:E,2,0),"CADASTRAR CLIENTE")</f>
        <v>CENTRO DE ANAL.CLIN. UNILAB  SC LTDA.</v>
      </c>
      <c r="C2981" s="54" t="s">
        <v>3</v>
      </c>
      <c r="D2981" s="54">
        <v>95299</v>
      </c>
      <c r="E2981" s="88">
        <v>1358</v>
      </c>
      <c r="F2981" s="48"/>
      <c r="G2981" s="51"/>
      <c r="H2981" s="52"/>
      <c r="I2981" s="53">
        <v>46104</v>
      </c>
    </row>
    <row r="2982" spans="1:9">
      <c r="A2982" s="47">
        <v>3018</v>
      </c>
      <c r="B2982" s="48" t="str">
        <f>IFERROR(VLOOKUP(A2982,CLIENTES!A:E,2,0),"CADASTRAR CLIENTE")</f>
        <v>NP- LABORATORIO DE ANALISES CLINICAS LTDA</v>
      </c>
      <c r="C2982" s="54" t="s">
        <v>3</v>
      </c>
      <c r="D2982" s="54" t="s">
        <v>981</v>
      </c>
      <c r="E2982" s="51">
        <v>787.3</v>
      </c>
      <c r="F2982" s="48"/>
      <c r="G2982" s="51"/>
      <c r="H2982" s="52"/>
      <c r="I2982" s="53">
        <v>46104</v>
      </c>
    </row>
    <row r="2983" spans="1:9">
      <c r="A2983" s="47">
        <v>500005</v>
      </c>
      <c r="B2983" s="48" t="str">
        <f>IFERROR(VLOOKUP(A2983,CLIENTES!A:E,2,0),"CADASTRAR CLIENTE")</f>
        <v>ASSOCIACAO EDUCACIONAL DE ENSINO SUPERIOR</v>
      </c>
      <c r="C2983" s="54" t="s">
        <v>3</v>
      </c>
      <c r="D2983" s="54">
        <v>95743</v>
      </c>
      <c r="E2983" s="51">
        <v>1056</v>
      </c>
      <c r="F2983" s="48"/>
      <c r="G2983" s="51"/>
      <c r="H2983" s="52"/>
      <c r="I2983" s="53">
        <v>46104</v>
      </c>
    </row>
    <row r="2984" spans="1:9">
      <c r="A2984" s="47">
        <v>408</v>
      </c>
      <c r="B2984" s="48" t="str">
        <f>IFERROR(VLOOKUP(A2984,CLIENTES!A:E,2,0),"CADASTRAR CLIENTE")</f>
        <v>FUND.DESENV.DE CIENCIAS FARMACEUTICAS</v>
      </c>
      <c r="C2984" s="54" t="s">
        <v>3</v>
      </c>
      <c r="D2984" s="54" t="s">
        <v>982</v>
      </c>
      <c r="E2984" s="88">
        <v>4621.3500000000004</v>
      </c>
      <c r="F2984" s="48"/>
      <c r="G2984" s="51"/>
      <c r="H2984" s="52"/>
      <c r="I2984" s="53">
        <v>46104</v>
      </c>
    </row>
    <row r="2985" spans="1:9">
      <c r="A2985" s="47">
        <v>581</v>
      </c>
      <c r="B2985" s="48" t="str">
        <f>IFERROR(VLOOKUP(A2985,CLIENTES!A:E,2,0),"CADASTRAR CLIENTE")</f>
        <v>CLINILAB LABORAT. ANAL. CLIN SC LTDA</v>
      </c>
      <c r="C2985" s="54" t="s">
        <v>3</v>
      </c>
      <c r="D2985" s="54">
        <v>95735</v>
      </c>
      <c r="E2985" s="88">
        <v>328.8</v>
      </c>
      <c r="F2985" s="48"/>
      <c r="G2985" s="51"/>
      <c r="H2985" s="52"/>
      <c r="I2985" s="53">
        <v>46104</v>
      </c>
    </row>
    <row r="2986" spans="1:9">
      <c r="A2986" s="47">
        <v>516</v>
      </c>
      <c r="B2986" s="48" t="str">
        <f>IFERROR(VLOOKUP(A2986,CLIENTES!A:E,2,0),"CADASTRAR CLIENTE")</f>
        <v>TECNOLAB PATOLOGIA CLINICA S/C LTDA</v>
      </c>
      <c r="C2986" s="54" t="s">
        <v>2</v>
      </c>
      <c r="D2986" s="54">
        <v>95395</v>
      </c>
      <c r="E2986" s="88">
        <v>12364.05</v>
      </c>
      <c r="F2986" s="48"/>
      <c r="G2986" s="51"/>
      <c r="H2986" s="52"/>
      <c r="I2986" s="53">
        <v>46104</v>
      </c>
    </row>
    <row r="2987" spans="1:9">
      <c r="A2987" s="47">
        <v>761</v>
      </c>
      <c r="B2987" s="48" t="str">
        <f>IFERROR(VLOOKUP(A2987,CLIENTES!A:E,2,0),"CADASTRAR CLIENTE")</f>
        <v>EXAME CENTRO DIAG.M.ARACATUBA SC LTDA.</v>
      </c>
      <c r="C2987" s="54" t="s">
        <v>3</v>
      </c>
      <c r="D2987" s="54" t="s">
        <v>984</v>
      </c>
      <c r="E2987" s="88">
        <v>22228.95</v>
      </c>
      <c r="F2987" s="48"/>
      <c r="G2987" s="51"/>
      <c r="H2987" s="52"/>
      <c r="I2987" s="53">
        <v>46104</v>
      </c>
    </row>
    <row r="2988" spans="1:9">
      <c r="A2988" s="47">
        <v>2199</v>
      </c>
      <c r="B2988" s="48" t="str">
        <f>IFERROR(VLOOKUP(A2988,CLIENTES!A:E,2,0),"CADASTRAR CLIENTE")</f>
        <v>SOCIEDADE EDUCACIONAL UBERABENSE</v>
      </c>
      <c r="C2988" s="54" t="s">
        <v>738</v>
      </c>
      <c r="D2988" s="54">
        <v>92742</v>
      </c>
      <c r="E2988" s="88">
        <v>1201</v>
      </c>
      <c r="F2988" s="48"/>
      <c r="G2988" s="51"/>
      <c r="H2988" s="52"/>
      <c r="I2988" s="53">
        <v>46105</v>
      </c>
    </row>
    <row r="2989" spans="1:9">
      <c r="A2989" s="18">
        <v>2199</v>
      </c>
      <c r="B2989" s="19" t="str">
        <f>IFERROR(VLOOKUP(A2989,CLIENTES!A:E,2,0),"CADASTRAR CLIENTE")</f>
        <v>SOCIEDADE EDUCACIONAL UBERABENSE</v>
      </c>
      <c r="C2989" s="60" t="s">
        <v>738</v>
      </c>
      <c r="D2989" s="60">
        <v>95778</v>
      </c>
      <c r="E2989" s="99">
        <v>1351</v>
      </c>
      <c r="F2989" s="19"/>
      <c r="G2989" s="21"/>
      <c r="H2989" s="22"/>
      <c r="I2989" s="20">
        <v>46105</v>
      </c>
    </row>
    <row r="2990" spans="1:9">
      <c r="A2990" s="47">
        <v>2022</v>
      </c>
      <c r="B2990" s="48" t="str">
        <f>IFERROR(VLOOKUP(A2990,CLIENTES!A:E,2,0),"CADASTRAR CLIENTE")</f>
        <v>LAB. MEDICO DR. MARICONDI S/C LTDA.</v>
      </c>
      <c r="C2990" s="54" t="s">
        <v>3</v>
      </c>
      <c r="D2990" s="54">
        <v>95773</v>
      </c>
      <c r="E2990" s="51">
        <v>678.2</v>
      </c>
      <c r="F2990" s="48"/>
      <c r="G2990" s="51"/>
      <c r="H2990" s="52"/>
      <c r="I2990" s="53">
        <v>46105</v>
      </c>
    </row>
    <row r="2991" spans="1:9">
      <c r="A2991" s="47">
        <v>575</v>
      </c>
      <c r="B2991" s="48" t="str">
        <f>IFERROR(VLOOKUP(A2991,CLIENTES!A:E,2,0),"CADASTRAR CLIENTE")</f>
        <v>DR MUNHOZ HOSPITAL VETERINARIO E PET SHOP</v>
      </c>
      <c r="C2991" s="54" t="s">
        <v>3</v>
      </c>
      <c r="D2991" s="54" t="s">
        <v>983</v>
      </c>
      <c r="E2991" s="51">
        <v>584.99</v>
      </c>
      <c r="F2991" s="48"/>
      <c r="G2991" s="51"/>
      <c r="H2991" s="52"/>
      <c r="I2991" s="53">
        <v>46105</v>
      </c>
    </row>
    <row r="2992" spans="1:9">
      <c r="A2992" s="47">
        <v>475</v>
      </c>
      <c r="B2992" s="48" t="str">
        <f>IFERROR(VLOOKUP(A2992,CLIENTES!A:E,2,0),"CADASTRAR CLIENTE")</f>
        <v>LABORATORIO DE ANALISES CLINICAS SRC LTDA</v>
      </c>
      <c r="C2992" s="54" t="s">
        <v>3</v>
      </c>
      <c r="D2992" s="54" t="s">
        <v>985</v>
      </c>
      <c r="E2992" s="88">
        <v>20013.580000000002</v>
      </c>
      <c r="F2992" s="48"/>
      <c r="G2992" s="51"/>
      <c r="H2992" s="52"/>
      <c r="I2992" s="53">
        <v>46105</v>
      </c>
    </row>
    <row r="2993" spans="1:9">
      <c r="A2993" s="47">
        <v>432</v>
      </c>
      <c r="B2993" s="48" t="str">
        <f>IFERROR(VLOOKUP(A2993,CLIENTES!A:E,2,0),"CADASTRAR CLIENTE")</f>
        <v>LABORATORIO PASTEUR HEMATOLOGIA E MICROBIOLOGIA S/S LTDA</v>
      </c>
      <c r="C2993" s="54" t="s">
        <v>3</v>
      </c>
      <c r="D2993" s="54">
        <v>95842</v>
      </c>
      <c r="E2993" s="88">
        <v>1842.6</v>
      </c>
      <c r="F2993" s="48"/>
      <c r="G2993" s="51"/>
      <c r="H2993" s="52"/>
      <c r="I2993" s="53">
        <v>46106</v>
      </c>
    </row>
    <row r="2994" spans="1:9">
      <c r="A2994" s="47">
        <v>500243</v>
      </c>
      <c r="B2994" s="48" t="str">
        <f>IFERROR(VLOOKUP(A2994,CLIENTES!A:E,2,0),"CADASTRAR CLIENTE")</f>
        <v>UNIMED DE IBITINGA COOPERATIVA DE TRABALHO MEDICO</v>
      </c>
      <c r="C2994" s="54" t="s">
        <v>3</v>
      </c>
      <c r="D2994" s="54">
        <v>95840</v>
      </c>
      <c r="E2994" s="88">
        <v>6256.07</v>
      </c>
      <c r="F2994" s="48"/>
      <c r="G2994" s="51"/>
      <c r="H2994" s="52"/>
      <c r="I2994" s="53">
        <v>46106</v>
      </c>
    </row>
    <row r="2995" spans="1:9">
      <c r="A2995" s="47">
        <v>500507</v>
      </c>
      <c r="B2995" s="48" t="str">
        <f>IFERROR(VLOOKUP(A2995,CLIENTES!A:E,2,0),"CADASTRAR CLIENTE")</f>
        <v>LABORATORIOS DOCTOR</v>
      </c>
      <c r="C2995" s="54" t="s">
        <v>3</v>
      </c>
      <c r="D2995" s="54">
        <v>95115</v>
      </c>
      <c r="E2995" s="51">
        <v>4464.3999999999996</v>
      </c>
      <c r="F2995" s="48"/>
      <c r="G2995" s="51"/>
      <c r="H2995" s="52"/>
      <c r="I2995" s="53">
        <v>46104</v>
      </c>
    </row>
    <row r="2996" spans="1:9">
      <c r="A2996" s="47">
        <v>3077</v>
      </c>
      <c r="B2996" s="48" t="str">
        <f>IFERROR(VLOOKUP(A2996,CLIENTES!A:E,2,0),"CADASTRAR CLIENTE")</f>
        <v>CBI ANALISES CLINICAS S/S LTDA</v>
      </c>
      <c r="C2996" s="54" t="s">
        <v>3</v>
      </c>
      <c r="D2996" s="54">
        <v>95820</v>
      </c>
      <c r="E2996" s="51">
        <v>789.8</v>
      </c>
      <c r="F2996" s="48"/>
      <c r="G2996" s="51"/>
      <c r="H2996" s="52"/>
      <c r="I2996" s="53">
        <v>46106</v>
      </c>
    </row>
    <row r="2997" spans="1:9">
      <c r="A2997" s="47">
        <v>1623</v>
      </c>
      <c r="B2997" s="48" t="str">
        <f>IFERROR(VLOOKUP(A2997,CLIENTES!A:E,2,0),"CADASTRAR CLIENTE")</f>
        <v>LAB.ANAL.CLIN. E REP. BADY BASSIT LTDA</v>
      </c>
      <c r="C2997" s="54" t="s">
        <v>816</v>
      </c>
      <c r="D2997" s="54">
        <v>95867</v>
      </c>
      <c r="E2997" s="51">
        <v>539.1</v>
      </c>
      <c r="F2997" s="48"/>
      <c r="G2997" s="51"/>
      <c r="H2997" s="52"/>
      <c r="I2997" s="53">
        <v>46106</v>
      </c>
    </row>
    <row r="2998" spans="1:9">
      <c r="A2998" s="47">
        <v>690</v>
      </c>
      <c r="B2998" s="48" t="str">
        <f>IFERROR(VLOOKUP(A2998,CLIENTES!A:E,2,0),"CADASTRAR CLIENTE")</f>
        <v>SAO ROQUE MEDICINA DIAGNOSTICA LTDA EPP</v>
      </c>
      <c r="C2998" s="54" t="s">
        <v>3</v>
      </c>
      <c r="D2998" s="54" t="s">
        <v>986</v>
      </c>
      <c r="E2998" s="51">
        <v>897.7</v>
      </c>
      <c r="F2998" s="48"/>
      <c r="G2998" s="51"/>
      <c r="H2998" s="52"/>
      <c r="I2998" s="53">
        <v>46106</v>
      </c>
    </row>
    <row r="2999" spans="1:9">
      <c r="A2999" s="47">
        <v>500005</v>
      </c>
      <c r="B2999" s="48" t="str">
        <f>IFERROR(VLOOKUP(A2999,CLIENTES!A:E,2,0),"CADASTRAR CLIENTE")</f>
        <v>ASSOCIACAO EDUCACIONAL DE ENSINO SUPERIOR</v>
      </c>
      <c r="C2999" s="54" t="s">
        <v>3</v>
      </c>
      <c r="D2999" s="54">
        <v>94974</v>
      </c>
      <c r="E2999" s="88"/>
      <c r="F2999" s="48"/>
      <c r="G2999" s="88">
        <v>2900</v>
      </c>
      <c r="H2999" s="52"/>
      <c r="I2999" s="53">
        <v>46108</v>
      </c>
    </row>
    <row r="3000" spans="1:9">
      <c r="A3000" s="47">
        <v>50554</v>
      </c>
      <c r="B3000" s="48" t="str">
        <f>IFERROR(VLOOKUP(A3000,CLIENTES!A:E,2,0),"CADASTRAR CLIENTE")</f>
        <v>SAO ROQUE MEDICINA DIAGNOSTICA</v>
      </c>
      <c r="C3000" s="54" t="s">
        <v>3</v>
      </c>
      <c r="D3000" s="54">
        <v>95573</v>
      </c>
      <c r="E3000" s="88">
        <v>189</v>
      </c>
      <c r="F3000" s="48"/>
      <c r="G3000" s="51"/>
      <c r="H3000" s="52"/>
      <c r="I3000" s="53">
        <v>46106</v>
      </c>
    </row>
    <row r="3001" spans="1:9">
      <c r="A3001" s="47">
        <v>1989</v>
      </c>
      <c r="B3001" s="48" t="str">
        <f>IFERROR(VLOOKUP(A3001,CLIENTES!A:E,2,0),"CADASTRAR CLIENTE")</f>
        <v>SAO FRANCISCO ANAL. CLIN.</v>
      </c>
      <c r="C3001" s="54" t="s">
        <v>3</v>
      </c>
      <c r="D3001" s="54">
        <v>95399</v>
      </c>
      <c r="E3001" s="51">
        <v>1109.96</v>
      </c>
      <c r="F3001" s="48"/>
      <c r="G3001" s="51"/>
      <c r="H3001" s="52"/>
      <c r="I3001" s="53">
        <v>46106</v>
      </c>
    </row>
    <row r="3002" spans="1:9">
      <c r="A3002" s="62">
        <v>50418</v>
      </c>
      <c r="B3002" s="48" t="str">
        <f>IFERROR(VLOOKUP(A3002,CLIENTES!A:E,2,0),"CADASTRAR CLIENTE")</f>
        <v>LABORATORIO SAO LUCAS DE BROTAS SS LTDA</v>
      </c>
      <c r="C3002" s="54" t="s">
        <v>3</v>
      </c>
      <c r="D3002" s="54">
        <v>95880</v>
      </c>
      <c r="E3002" s="88">
        <v>1545.7</v>
      </c>
      <c r="F3002" s="48"/>
      <c r="G3002" s="51"/>
      <c r="H3002" s="52"/>
      <c r="I3002" s="53">
        <v>46106</v>
      </c>
    </row>
    <row r="3003" spans="1:9">
      <c r="A3003" s="47">
        <v>50861</v>
      </c>
      <c r="B3003" s="48" t="str">
        <f>IFERROR(VLOOKUP(A3003,CLIENTES!A:E,2,0),"CADASTRAR CLIENTE")</f>
        <v>JAQUELINE MARTINS RUIZ LAB DE ANALISES CLINICAS</v>
      </c>
      <c r="C3003" s="54" t="s">
        <v>3</v>
      </c>
      <c r="D3003" s="54">
        <v>95646</v>
      </c>
      <c r="E3003" s="88">
        <v>1072.0999999999999</v>
      </c>
      <c r="F3003" s="48"/>
      <c r="G3003" s="51"/>
      <c r="H3003" s="52"/>
      <c r="I3003" s="53">
        <v>46106</v>
      </c>
    </row>
    <row r="3004" spans="1:9">
      <c r="A3004" s="47">
        <v>1493</v>
      </c>
      <c r="B3004" s="48" t="str">
        <f>IFERROR(VLOOKUP(A3004,CLIENTES!A:E,2,0),"CADASTRAR CLIENTE")</f>
        <v>CEDIMA  CENTRO DE DIAG MONTE AZUL ANAL CLIN E CIT</v>
      </c>
      <c r="C3004" s="54" t="s">
        <v>3</v>
      </c>
      <c r="D3004" s="54">
        <v>95313</v>
      </c>
      <c r="E3004" s="51">
        <v>413.15</v>
      </c>
      <c r="F3004" s="48"/>
      <c r="G3004" s="51"/>
      <c r="H3004" s="52"/>
      <c r="I3004" s="53">
        <v>46107</v>
      </c>
    </row>
    <row r="3005" spans="1:9">
      <c r="A3005" s="47">
        <v>311</v>
      </c>
      <c r="B3005" s="48" t="str">
        <f>IFERROR(VLOOKUP(A3005,CLIENTES!A:E,2,0),"CADASTRAR CLIENTE")</f>
        <v>CENTRO DE ANAL.CLIN. UNILAB  SC LTDA.</v>
      </c>
      <c r="C3005" s="54" t="s">
        <v>3</v>
      </c>
      <c r="D3005" s="54">
        <v>102871</v>
      </c>
      <c r="E3005" s="88">
        <v>1454.6</v>
      </c>
      <c r="F3005" s="48"/>
      <c r="G3005" s="51"/>
      <c r="H3005" s="52"/>
      <c r="I3005" s="53">
        <v>46107</v>
      </c>
    </row>
    <row r="3006" spans="1:9">
      <c r="A3006" s="47">
        <v>960</v>
      </c>
      <c r="B3006" s="48" t="str">
        <f>IFERROR(VLOOKUP(A3006,CLIENTES!A:E,2,0),"CADASTRAR CLIENTE")</f>
        <v>LUIS VALERIO FILHO-ME</v>
      </c>
      <c r="C3006" s="54" t="s">
        <v>3</v>
      </c>
      <c r="D3006" s="54">
        <v>95927</v>
      </c>
      <c r="E3006" s="51">
        <v>441.95</v>
      </c>
      <c r="F3006" s="48"/>
      <c r="G3006" s="51"/>
      <c r="H3006" s="52"/>
      <c r="I3006" s="53">
        <v>46108</v>
      </c>
    </row>
    <row r="3007" spans="1:9">
      <c r="A3007" s="47">
        <v>1726</v>
      </c>
      <c r="B3007" s="48" t="str">
        <f>IFERROR(VLOOKUP(A3007,CLIENTES!A:E,2,0),"CADASTRAR CLIENTE")</f>
        <v>IRMANDADE DA SANTA CASA DE MISERIC. DE MOGI MIRIM</v>
      </c>
      <c r="C3007" s="54" t="s">
        <v>2</v>
      </c>
      <c r="D3007" s="54">
        <v>95929</v>
      </c>
      <c r="E3007" s="51">
        <v>1172</v>
      </c>
      <c r="F3007" s="48"/>
      <c r="G3007" s="51"/>
      <c r="H3007" s="52"/>
      <c r="I3007" s="53">
        <v>46108</v>
      </c>
    </row>
    <row r="3008" spans="1:9">
      <c r="A3008" s="47">
        <v>874</v>
      </c>
      <c r="B3008" s="48" t="str">
        <f>IFERROR(VLOOKUP(A3008,CLIENTES!A:E,2,0),"CADASTRAR CLIENTE")</f>
        <v>LAB.ANAL.CLIN ABI JAUDI SC LTDA.</v>
      </c>
      <c r="C3008" s="54" t="s">
        <v>3</v>
      </c>
      <c r="D3008" s="54">
        <v>95914</v>
      </c>
      <c r="E3008" s="51">
        <v>4316.3</v>
      </c>
      <c r="F3008" s="48"/>
      <c r="G3008" s="51"/>
      <c r="H3008" s="52"/>
      <c r="I3008" s="53">
        <v>46108</v>
      </c>
    </row>
    <row r="3009" spans="1:9">
      <c r="A3009" s="47">
        <v>724</v>
      </c>
      <c r="B3009" s="48" t="str">
        <f>IFERROR(VLOOKUP(A3009,CLIENTES!A:E,2,0),"CADASTRAR CLIENTE")</f>
        <v>LAB. ANAL. CLIN. DRA SILVIA M.MANZATO LARANJO SC LTDA.</v>
      </c>
      <c r="C3009" s="54" t="s">
        <v>3</v>
      </c>
      <c r="D3009" s="54">
        <v>95474</v>
      </c>
      <c r="E3009" s="88">
        <v>650</v>
      </c>
      <c r="F3009" s="48"/>
      <c r="G3009" s="51"/>
      <c r="H3009" s="52"/>
      <c r="I3009" s="53">
        <v>46111</v>
      </c>
    </row>
    <row r="3010" spans="1:9">
      <c r="A3010" s="47">
        <v>1616</v>
      </c>
      <c r="B3010" s="48" t="str">
        <f>IFERROR(VLOOKUP(A3010,CLIENTES!A:E,2,0),"CADASTRAR CLIENTE")</f>
        <v>NOVO HORIZONTE LAB.ANAL.CLIN.S/C LTDA.</v>
      </c>
      <c r="C3010" s="54" t="s">
        <v>3</v>
      </c>
      <c r="D3010" s="54" t="s">
        <v>987</v>
      </c>
      <c r="E3010" s="88">
        <v>437.97</v>
      </c>
      <c r="F3010" s="48"/>
      <c r="G3010" s="51"/>
      <c r="H3010" s="52"/>
      <c r="I3010" s="53">
        <v>46111</v>
      </c>
    </row>
    <row r="3011" spans="1:9">
      <c r="A3011" s="47">
        <v>3019</v>
      </c>
      <c r="B3011" s="48" t="str">
        <f>IFERROR(VLOOKUP(A3011,CLIENTES!A:E,2,0),"CADASTRAR CLIENTE")</f>
        <v>SOCIEDADE EDUCACIONAL UBERABENSE</v>
      </c>
      <c r="C3011" s="54" t="s">
        <v>3</v>
      </c>
      <c r="D3011" s="54">
        <v>95831</v>
      </c>
      <c r="E3011" s="51">
        <v>915.5</v>
      </c>
      <c r="F3011" s="48"/>
      <c r="G3011" s="51"/>
      <c r="H3011" s="52"/>
      <c r="I3011" s="53">
        <v>46111</v>
      </c>
    </row>
    <row r="3012" spans="1:9">
      <c r="A3012" s="47">
        <v>2199</v>
      </c>
      <c r="B3012" s="48" t="str">
        <f>IFERROR(VLOOKUP(A3012,CLIENTES!A:E,2,0),"CADASTRAR CLIENTE")</f>
        <v>SOCIEDADE EDUCACIONAL UBERABENSE</v>
      </c>
      <c r="C3012" s="54" t="s">
        <v>3</v>
      </c>
      <c r="D3012" s="54">
        <v>95955</v>
      </c>
      <c r="E3012" s="51">
        <v>616</v>
      </c>
      <c r="F3012" s="48"/>
      <c r="G3012" s="51"/>
      <c r="H3012" s="52"/>
      <c r="I3012" s="53">
        <v>46111</v>
      </c>
    </row>
    <row r="3013" spans="1:9">
      <c r="A3013" s="47">
        <v>408</v>
      </c>
      <c r="B3013" s="48" t="str">
        <f>IFERROR(VLOOKUP(A3013,CLIENTES!A:E,2,0),"CADASTRAR CLIENTE")</f>
        <v>FUND.DESENV.DE CIENCIAS FARMACEUTICAS</v>
      </c>
      <c r="C3013" s="54" t="s">
        <v>3</v>
      </c>
      <c r="D3013" s="54">
        <v>95751</v>
      </c>
      <c r="E3013" s="51">
        <v>354</v>
      </c>
      <c r="F3013" s="48"/>
      <c r="G3013" s="51"/>
      <c r="H3013" s="52"/>
      <c r="I3013" s="53">
        <v>46111</v>
      </c>
    </row>
    <row r="3014" spans="1:9">
      <c r="A3014" s="47">
        <v>516</v>
      </c>
      <c r="B3014" s="48" t="str">
        <f>IFERROR(VLOOKUP(A3014,CLIENTES!A:E,2,0),"CADASTRAR CLIENTE")</f>
        <v>TECNOLAB PATOLOGIA CLINICA S/C LTDA</v>
      </c>
      <c r="C3014" s="54" t="s">
        <v>3</v>
      </c>
      <c r="D3014" s="54">
        <v>95768</v>
      </c>
      <c r="E3014" s="51">
        <v>1124</v>
      </c>
      <c r="F3014" s="48"/>
      <c r="G3014" s="51"/>
      <c r="H3014" s="52"/>
      <c r="I3014" s="53">
        <v>46111</v>
      </c>
    </row>
    <row r="3015" spans="1:9">
      <c r="A3015" s="47">
        <v>761</v>
      </c>
      <c r="B3015" s="48" t="str">
        <f>IFERROR(VLOOKUP(A3015,CLIENTES!A:E,2,0),"CADASTRAR CLIENTE")</f>
        <v>EXAME CENTRO DIAG.M.ARACATUBA SC LTDA.</v>
      </c>
      <c r="C3015" s="54" t="s">
        <v>3</v>
      </c>
      <c r="D3015" s="54" t="s">
        <v>989</v>
      </c>
      <c r="E3015" s="51">
        <v>841.75</v>
      </c>
      <c r="F3015" s="48"/>
      <c r="G3015" s="51"/>
      <c r="H3015" s="52"/>
      <c r="I3015" s="53">
        <v>46111</v>
      </c>
    </row>
    <row r="3016" spans="1:9">
      <c r="A3016" s="47">
        <v>475</v>
      </c>
      <c r="B3016" s="48" t="str">
        <f>IFERROR(VLOOKUP(A3016,CLIENTES!A:E,2,0),"CADASTRAR CLIENTE")</f>
        <v>LABORATORIO DE ANALISES CLINICAS SRC LTDA</v>
      </c>
      <c r="C3016" s="54" t="s">
        <v>3</v>
      </c>
      <c r="D3016" s="54">
        <v>993230</v>
      </c>
      <c r="E3016" s="51">
        <v>3415</v>
      </c>
      <c r="F3016" s="48"/>
      <c r="G3016" s="51"/>
      <c r="H3016" s="52"/>
      <c r="I3016" s="53">
        <v>46111</v>
      </c>
    </row>
    <row r="3017" spans="1:9">
      <c r="A3017" s="47">
        <v>500873</v>
      </c>
      <c r="B3017" s="48" t="str">
        <f>IFERROR(VLOOKUP(A3017,CLIENTES!A:E,2,0),"CADASTRAR CLIENTE")</f>
        <v>HOUPILLARD SERVICOS VETERINARIOS LTDA.</v>
      </c>
      <c r="C3017" s="54" t="s">
        <v>3</v>
      </c>
      <c r="D3017" s="54" t="s">
        <v>990</v>
      </c>
      <c r="E3017" s="51">
        <v>2247.6999999999998</v>
      </c>
      <c r="F3017" s="48"/>
      <c r="G3017" s="51"/>
      <c r="H3017" s="52"/>
      <c r="I3017" s="53">
        <v>46111</v>
      </c>
    </row>
    <row r="3018" spans="1:9">
      <c r="A3018" s="47">
        <v>51182</v>
      </c>
      <c r="B3018" s="48" t="str">
        <f>IFERROR(VLOOKUP(A3018,CLIENTES!A:E,2,0),"CADASTRAR CLIENTE")</f>
        <v>GENNER FABRIS FLORENCIO OLIVO</v>
      </c>
      <c r="C3018" s="54" t="s">
        <v>3</v>
      </c>
      <c r="D3018" s="54">
        <v>95487</v>
      </c>
      <c r="E3018" s="51">
        <v>480</v>
      </c>
      <c r="F3018" s="48"/>
      <c r="G3018" s="51"/>
      <c r="H3018" s="52"/>
      <c r="I3018" s="53">
        <v>46111</v>
      </c>
    </row>
    <row r="3019" spans="1:9">
      <c r="A3019" s="47">
        <v>3017</v>
      </c>
      <c r="B3019" s="48" t="str">
        <f>IFERROR(VLOOKUP(A3019,CLIENTES!A:E,2,0),"CADASTRAR CLIENTE")</f>
        <v>IMUNOLAB LABORATORIO DE ANALISES CLINICAS LTDA ME</v>
      </c>
      <c r="C3019" s="54" t="s">
        <v>3</v>
      </c>
      <c r="D3019" s="54">
        <v>95990</v>
      </c>
      <c r="E3019" s="51">
        <v>1497.55</v>
      </c>
      <c r="F3019" s="48"/>
      <c r="G3019" s="51"/>
      <c r="H3019" s="52"/>
      <c r="I3019" s="53">
        <v>46111</v>
      </c>
    </row>
    <row r="3020" spans="1:9">
      <c r="A3020" s="47">
        <v>1652</v>
      </c>
      <c r="B3020" s="48" t="str">
        <f>IFERROR(VLOOKUP(A3020,CLIENTES!A:E,2,0),"CADASTRAR CLIENTE")</f>
        <v>LAB. SANTA CLARA ANAL.CLIN.</v>
      </c>
      <c r="C3020" s="54" t="s">
        <v>816</v>
      </c>
      <c r="D3020" s="54">
        <v>95991</v>
      </c>
      <c r="E3020" s="51">
        <v>528.75</v>
      </c>
      <c r="F3020" s="48"/>
      <c r="G3020" s="51"/>
      <c r="H3020" s="52"/>
      <c r="I3020" s="53">
        <v>46111</v>
      </c>
    </row>
    <row r="3021" spans="1:9">
      <c r="A3021" s="18">
        <v>2702</v>
      </c>
      <c r="B3021" s="19" t="str">
        <f>IFERROR(VLOOKUP(A3021,CLIENTES!A:E,2,0),"CADASTRAR CLIENTE")</f>
        <v>SANTA CASA DE MISER. DE TAQUARITUBA</v>
      </c>
      <c r="C3021" s="60" t="s">
        <v>3</v>
      </c>
      <c r="D3021" s="60">
        <v>95452</v>
      </c>
      <c r="E3021" s="21">
        <v>1645</v>
      </c>
      <c r="F3021" s="19"/>
      <c r="G3021" s="21"/>
      <c r="H3021" s="22"/>
      <c r="I3021" s="20">
        <v>46111</v>
      </c>
    </row>
    <row r="3022" spans="1:9">
      <c r="A3022" s="18">
        <v>708</v>
      </c>
      <c r="B3022" s="19" t="str">
        <f>IFERROR(VLOOKUP(A3022,CLIENTES!A:E,2,0),"CADASTRAR CLIENTE")</f>
        <v>IMEDI INST.MEDICO DE PAT.E DIAGNOSTICO SC LTDA.</v>
      </c>
      <c r="C3022" s="60" t="s">
        <v>3</v>
      </c>
      <c r="D3022" s="60">
        <v>95996</v>
      </c>
      <c r="E3022" s="21">
        <v>2030</v>
      </c>
      <c r="F3022" s="19"/>
      <c r="G3022" s="21"/>
      <c r="H3022" s="22"/>
      <c r="I3022" s="20">
        <v>46111</v>
      </c>
    </row>
    <row r="3023" spans="1:9">
      <c r="A3023" s="47">
        <v>2911</v>
      </c>
      <c r="B3023" s="48" t="str">
        <f>IFERROR(VLOOKUP(A3023,CLIENTES!A:E,2,0),"CADASTRAR CLIENTE")</f>
        <v>BIOLIFE-LABORATORIO DE ANALISES CLINICAS LTDA</v>
      </c>
      <c r="C3023" s="54" t="s">
        <v>3</v>
      </c>
      <c r="D3023" s="54" t="s">
        <v>991</v>
      </c>
      <c r="E3023" s="51">
        <v>2425.08</v>
      </c>
      <c r="F3023" s="48"/>
      <c r="G3023" s="51"/>
      <c r="H3023" s="52"/>
      <c r="I3023" s="53">
        <v>46112</v>
      </c>
    </row>
    <row r="3024" spans="1:9">
      <c r="A3024" s="47">
        <v>1909</v>
      </c>
      <c r="B3024" s="48" t="str">
        <f>IFERROR(VLOOKUP(A3024,CLIENTES!A:E,2,0),"CADASTRAR CLIENTE")</f>
        <v>CADASTRAR CLIENTE</v>
      </c>
      <c r="C3024" s="54" t="s">
        <v>3</v>
      </c>
      <c r="D3024" s="54">
        <v>95870</v>
      </c>
      <c r="E3024" s="51">
        <v>395</v>
      </c>
      <c r="F3024" s="48"/>
      <c r="G3024" s="51"/>
      <c r="H3024" s="52"/>
      <c r="I3024" s="53">
        <v>46112</v>
      </c>
    </row>
    <row r="3025" spans="1:9">
      <c r="A3025" s="47">
        <v>1533</v>
      </c>
      <c r="B3025" s="48" t="str">
        <f>IFERROR(VLOOKUP(A3025,CLIENTES!A:E,2,0),"CADASTRAR CLIENTE")</f>
        <v>LABORATORIO BIOANALISE DIAGNOSTICO LTDA</v>
      </c>
      <c r="C3025" s="54" t="s">
        <v>3</v>
      </c>
      <c r="D3025" s="54" t="s">
        <v>992</v>
      </c>
      <c r="E3025" s="88">
        <v>428.15</v>
      </c>
      <c r="F3025" s="48"/>
      <c r="G3025" s="51"/>
      <c r="H3025" s="52"/>
      <c r="I3025" s="53">
        <v>46112</v>
      </c>
    </row>
    <row r="3026" spans="1:9">
      <c r="A3026" s="47">
        <v>784</v>
      </c>
      <c r="B3026" s="48" t="str">
        <f>IFERROR(VLOOKUP(A3026,CLIENTES!A:E,2,0),"CADASTRAR CLIENTE")</f>
        <v>LAB.ANAL.CLIN. ALBERT SABIN SC LTDA.</v>
      </c>
      <c r="C3026" s="54" t="s">
        <v>2</v>
      </c>
      <c r="D3026" s="54">
        <v>95584</v>
      </c>
      <c r="E3026" s="51">
        <v>2193.94</v>
      </c>
      <c r="F3026" s="48"/>
      <c r="G3026" s="51"/>
      <c r="H3026" s="52"/>
      <c r="I3026" s="53">
        <v>46112</v>
      </c>
    </row>
    <row r="3027" spans="1:9">
      <c r="A3027" s="47">
        <v>762</v>
      </c>
      <c r="B3027" s="48" t="str">
        <f>IFERROR(VLOOKUP(A3027,CLIENTES!A:E,2,0),"CADASTRAR CLIENTE")</f>
        <v>STA. CASA MISERICORDIA DE ARACATUBA</v>
      </c>
      <c r="C3027" s="54" t="s">
        <v>3</v>
      </c>
      <c r="D3027" s="54">
        <v>95542</v>
      </c>
      <c r="E3027" s="51">
        <v>1540</v>
      </c>
      <c r="F3027" s="48"/>
      <c r="G3027" s="51"/>
      <c r="H3027" s="52"/>
      <c r="I3027" s="53">
        <v>46113</v>
      </c>
    </row>
    <row r="3028" spans="1:9">
      <c r="A3028" s="47">
        <v>823</v>
      </c>
      <c r="B3028" s="48" t="str">
        <f>IFERROR(VLOOKUP(A3028,CLIENTES!A:E,2,0),"CADASTRAR CLIENTE")</f>
        <v>SANCHES x SANCHES S/C LTDA</v>
      </c>
      <c r="C3028" s="54" t="s">
        <v>3</v>
      </c>
      <c r="D3028" s="54">
        <v>96113</v>
      </c>
      <c r="E3028" s="51">
        <v>2043.4</v>
      </c>
      <c r="F3028" s="48"/>
      <c r="G3028" s="51"/>
      <c r="H3028" s="52"/>
      <c r="I3028" s="53">
        <v>46114</v>
      </c>
    </row>
    <row r="3029" spans="1:9">
      <c r="A3029" s="47">
        <v>1234</v>
      </c>
      <c r="B3029" s="48" t="str">
        <f>IFERROR(VLOOKUP(A3029,CLIENTES!A:E,2,0),"CADASTRAR CLIENTE")</f>
        <v>LAB ANAL CLIN SAO JUDAS TADEU SC LTDA</v>
      </c>
      <c r="C3029" s="54" t="s">
        <v>3</v>
      </c>
      <c r="D3029" s="54">
        <v>96050</v>
      </c>
      <c r="E3029" s="88">
        <v>1141.75</v>
      </c>
      <c r="F3029" s="48"/>
      <c r="G3029" s="51"/>
      <c r="H3029" s="52"/>
      <c r="I3029" s="53">
        <v>46114</v>
      </c>
    </row>
    <row r="3030" spans="1:9">
      <c r="A3030" s="47">
        <v>1813</v>
      </c>
      <c r="B3030" s="48" t="str">
        <f>IFERROR(VLOOKUP(A3030,CLIENTES!A:E,2,0),"CADASTRAR CLIENTE")</f>
        <v>BIOMED LAB.ANAL.CLIN. SC  LTDA</v>
      </c>
      <c r="C3030" s="54" t="s">
        <v>3</v>
      </c>
      <c r="D3030" s="54">
        <v>96078</v>
      </c>
      <c r="E3030" s="88">
        <v>991.8</v>
      </c>
      <c r="F3030" s="48"/>
      <c r="G3030" s="51"/>
      <c r="H3030" s="52"/>
      <c r="I3030" s="53">
        <v>46114</v>
      </c>
    </row>
    <row r="3031" spans="1:9">
      <c r="A3031" s="47">
        <v>3492</v>
      </c>
      <c r="B3031" s="48" t="str">
        <f>IFERROR(VLOOKUP(A3031,CLIENTES!A:E,2,0),"CADASTRAR CLIENTE")</f>
        <v>SOCIEDADE EDUCACIONAL UBERABENSE</v>
      </c>
      <c r="C3031" s="54" t="s">
        <v>738</v>
      </c>
      <c r="D3031" s="54">
        <v>95511</v>
      </c>
      <c r="E3031" s="88"/>
      <c r="F3031" s="48"/>
      <c r="G3031" s="51">
        <v>1450</v>
      </c>
      <c r="H3031" s="52"/>
      <c r="I3031" s="53">
        <v>46114</v>
      </c>
    </row>
    <row r="3032" spans="1:9">
      <c r="A3032" s="47">
        <v>761</v>
      </c>
      <c r="B3032" s="48" t="str">
        <f>IFERROR(VLOOKUP(A3032,CLIENTES!A:E,2,0),"CADASTRAR CLIENTE")</f>
        <v>EXAME CENTRO DIAG.M.ARACATUBA SC LTDA.</v>
      </c>
      <c r="C3032" s="54" t="s">
        <v>3</v>
      </c>
      <c r="D3032" s="54">
        <v>96140</v>
      </c>
      <c r="E3032" s="51">
        <v>1899.5</v>
      </c>
      <c r="F3032" s="48"/>
      <c r="G3032" s="51"/>
      <c r="H3032" s="52"/>
      <c r="I3032" s="53">
        <v>46114</v>
      </c>
    </row>
    <row r="3033" spans="1:9">
      <c r="A3033" s="47">
        <v>687</v>
      </c>
      <c r="B3033" s="48" t="str">
        <f>IFERROR(VLOOKUP(A3033,CLIENTES!A:E,2,0),"CADASTRAR CLIENTE")</f>
        <v>LAB ANAL CLIN VENDRAMINI S/S LTDA</v>
      </c>
      <c r="C3033" s="54" t="s">
        <v>3</v>
      </c>
      <c r="D3033" s="54">
        <v>96268</v>
      </c>
      <c r="E3033" s="88">
        <v>204</v>
      </c>
      <c r="F3033" s="48"/>
      <c r="G3033" s="51"/>
      <c r="H3033" s="52"/>
      <c r="I3033" s="53">
        <v>46119</v>
      </c>
    </row>
    <row r="3034" spans="1:9">
      <c r="A3034" s="47">
        <v>690</v>
      </c>
      <c r="B3034" s="48" t="str">
        <f>IFERROR(VLOOKUP(A3034,CLIENTES!A:E,2,0),"CADASTRAR CLIENTE")</f>
        <v>SAO ROQUE MEDICINA DIAGNOSTICA LTDA EPP</v>
      </c>
      <c r="C3034" s="54" t="s">
        <v>3</v>
      </c>
      <c r="D3034" s="54" t="s">
        <v>993</v>
      </c>
      <c r="E3034" s="88">
        <v>2658.24</v>
      </c>
      <c r="F3034" s="48"/>
      <c r="G3034" s="51"/>
      <c r="H3034" s="52"/>
      <c r="I3034" s="53">
        <v>46119</v>
      </c>
    </row>
    <row r="3035" spans="1:9">
      <c r="A3035" s="47">
        <v>50312</v>
      </c>
      <c r="B3035" s="48" t="str">
        <f>IFERROR(VLOOKUP(A3035,CLIENTES!A:E,2,0),"CADASTRAR CLIENTE")</f>
        <v>LAB-MED LAB.ANALISES CLINICAS</v>
      </c>
      <c r="C3035" s="54" t="s">
        <v>3</v>
      </c>
      <c r="D3035" s="54">
        <v>96266</v>
      </c>
      <c r="E3035" s="88">
        <v>395.9</v>
      </c>
      <c r="F3035" s="48"/>
      <c r="G3035" s="51"/>
      <c r="H3035" s="52"/>
      <c r="I3035" s="53">
        <v>46120</v>
      </c>
    </row>
    <row r="3036" spans="1:9">
      <c r="A3036" s="47">
        <v>3557</v>
      </c>
      <c r="B3036" s="48" t="str">
        <f>IFERROR(VLOOKUP(A3036,CLIENTES!A:E,2,0),"CADASTRAR CLIENTE")</f>
        <v>ASSOCIACAO BENEFICIENTE NOSSA SENHORA DE NAZARE</v>
      </c>
      <c r="C3036" s="54" t="s">
        <v>738</v>
      </c>
      <c r="D3036" s="54">
        <v>96211</v>
      </c>
      <c r="E3036" s="51">
        <v>7535.9</v>
      </c>
      <c r="F3036" s="48"/>
      <c r="G3036" s="51"/>
      <c r="H3036" s="52"/>
      <c r="I3036" s="53">
        <v>46120</v>
      </c>
    </row>
    <row r="3037" spans="1:9">
      <c r="A3037" s="62">
        <v>50465</v>
      </c>
      <c r="B3037" s="48" t="str">
        <f>IFERROR(VLOOKUP(A3037,CLIENTES!A:E,2,0),"CADASTRAR CLIENTE")</f>
        <v>LABORATORIO DE ANALISES CLINICAS VIDA BIRIGUI LTDA</v>
      </c>
      <c r="C3037" s="54" t="s">
        <v>3</v>
      </c>
      <c r="D3037" s="54">
        <v>96273</v>
      </c>
      <c r="E3037" s="51">
        <v>2716.61</v>
      </c>
      <c r="F3037" s="48"/>
      <c r="G3037" s="51"/>
      <c r="H3037" s="52"/>
      <c r="I3037" s="53">
        <v>46120</v>
      </c>
    </row>
    <row r="3038" spans="1:9">
      <c r="A3038" s="62">
        <v>50219</v>
      </c>
      <c r="B3038" s="48" t="str">
        <f>IFERROR(VLOOKUP(A3038,CLIENTES!A:E,2,0),"CADASTRAR CLIENTE")</f>
        <v>UNIPREV LAB DE ANALISES LOCACAO DE BENS E REPAROS LTDA EPP</v>
      </c>
      <c r="C3038" s="54" t="s">
        <v>3</v>
      </c>
      <c r="D3038" s="54" t="s">
        <v>994</v>
      </c>
      <c r="E3038" s="51">
        <v>1597.45</v>
      </c>
      <c r="F3038" s="48"/>
      <c r="G3038" s="51"/>
      <c r="H3038" s="52"/>
      <c r="I3038" s="53">
        <v>46118</v>
      </c>
    </row>
    <row r="3039" spans="1:9">
      <c r="A3039" s="47">
        <v>50554</v>
      </c>
      <c r="B3039" s="48" t="str">
        <f>IFERROR(VLOOKUP(A3039,CLIENTES!A:E,2,0),"CADASTRAR CLIENTE")</f>
        <v>SAO ROQUE MEDICINA DIAGNOSTICA</v>
      </c>
      <c r="C3039" s="54" t="s">
        <v>3</v>
      </c>
      <c r="D3039" s="54" t="s">
        <v>995</v>
      </c>
      <c r="E3039" s="51">
        <v>8489.27</v>
      </c>
      <c r="F3039" s="48"/>
      <c r="G3039" s="51"/>
      <c r="H3039" s="52"/>
      <c r="I3039" s="53">
        <v>46118</v>
      </c>
    </row>
    <row r="3040" spans="1:9">
      <c r="A3040" s="62">
        <v>50728</v>
      </c>
      <c r="B3040" s="48" t="str">
        <f>IFERROR(VLOOKUP(A3040,CLIENTES!A:E,2,0),"CADASTRAR CLIENTE")</f>
        <v>SESTITO &amp; TORRES CLINICA MEDICA</v>
      </c>
      <c r="C3040" s="54" t="s">
        <v>3</v>
      </c>
      <c r="D3040" s="54">
        <v>96219</v>
      </c>
      <c r="E3040" s="51">
        <v>778</v>
      </c>
      <c r="F3040" s="48"/>
      <c r="G3040" s="51"/>
      <c r="H3040" s="52"/>
      <c r="I3040" s="53">
        <v>46118</v>
      </c>
    </row>
    <row r="3041" spans="1:9">
      <c r="A3041" s="47">
        <v>3153</v>
      </c>
      <c r="B3041" s="48" t="str">
        <f>IFERROR(VLOOKUP(A3041,CLIENTES!A:E,2,0),"CADASTRAR CLIENTE")</f>
        <v>UNIMED DE TUPA COOPERATIVA DE TRABALHO MEDICO</v>
      </c>
      <c r="C3041" s="54" t="s">
        <v>3</v>
      </c>
      <c r="D3041" s="54" t="s">
        <v>996</v>
      </c>
      <c r="E3041" s="88">
        <v>2181.2199999999998</v>
      </c>
      <c r="F3041" s="48"/>
      <c r="G3041" s="51"/>
      <c r="H3041" s="52"/>
      <c r="I3041" s="53">
        <v>46118</v>
      </c>
    </row>
    <row r="3042" spans="1:9">
      <c r="A3042" s="47">
        <v>761</v>
      </c>
      <c r="B3042" s="48" t="str">
        <f>IFERROR(VLOOKUP(A3042,CLIENTES!A:E,2,0),"CADASTRAR CLIENTE")</f>
        <v>EXAME CENTRO DIAG.M.ARACATUBA SC LTDA.</v>
      </c>
      <c r="C3042" s="54" t="s">
        <v>3</v>
      </c>
      <c r="D3042" s="54">
        <v>96187</v>
      </c>
      <c r="E3042" s="51">
        <v>16406.75</v>
      </c>
      <c r="F3042" s="48"/>
      <c r="G3042" s="51"/>
      <c r="H3042" s="52"/>
      <c r="I3042" s="53">
        <v>46118</v>
      </c>
    </row>
    <row r="3043" spans="1:9">
      <c r="A3043" s="47">
        <v>784</v>
      </c>
      <c r="B3043" s="48" t="str">
        <f>IFERROR(VLOOKUP(A3043,CLIENTES!A:E,2,0),"CADASTRAR CLIENTE")</f>
        <v>LAB.ANAL.CLIN. ALBERT SABIN SC LTDA.</v>
      </c>
      <c r="C3043" s="54" t="s">
        <v>3</v>
      </c>
      <c r="D3043" s="54">
        <v>96027</v>
      </c>
      <c r="E3043" s="51">
        <v>1506</v>
      </c>
      <c r="F3043" s="48"/>
      <c r="G3043" s="51"/>
      <c r="H3043" s="52"/>
      <c r="I3043" s="53">
        <v>46118</v>
      </c>
    </row>
    <row r="3044" spans="1:9">
      <c r="A3044" s="47">
        <v>1164</v>
      </c>
      <c r="B3044" s="48" t="str">
        <f>IFERROR(VLOOKUP(A3044,CLIENTES!A:E,2,0),"CADASTRAR CLIENTE")</f>
        <v>LAB. ANAL. CLIN. SAO LOURENCO S/C LTDA</v>
      </c>
      <c r="C3044" s="54" t="s">
        <v>3</v>
      </c>
      <c r="D3044" s="54">
        <v>96221</v>
      </c>
      <c r="E3044" s="51">
        <v>816.37</v>
      </c>
      <c r="F3044" s="48"/>
      <c r="G3044" s="51"/>
      <c r="H3044" s="52"/>
      <c r="I3044" s="53">
        <v>46120</v>
      </c>
    </row>
    <row r="3045" spans="1:9">
      <c r="A3045" s="47">
        <v>572</v>
      </c>
      <c r="B3045" s="48" t="str">
        <f>IFERROR(VLOOKUP(A3045,CLIENTES!A:E,2,0),"CADASTRAR CLIENTE")</f>
        <v>LABORATORIO MULTIANALISES LTDA-ME</v>
      </c>
      <c r="C3045" s="54" t="s">
        <v>3</v>
      </c>
      <c r="D3045" s="54">
        <v>95593</v>
      </c>
      <c r="E3045" s="51">
        <v>1316.6</v>
      </c>
      <c r="F3045" s="48"/>
      <c r="G3045" s="51"/>
      <c r="H3045" s="52"/>
      <c r="I3045" s="53">
        <v>46120</v>
      </c>
    </row>
    <row r="3046" spans="1:9">
      <c r="A3046" s="47">
        <v>663</v>
      </c>
      <c r="B3046" s="48" t="str">
        <f>IFERROR(VLOOKUP(A3046,CLIENTES!A:E,2,0),"CADASTRAR CLIENTE")</f>
        <v>LAB. MEDICO GUIMARAES</v>
      </c>
      <c r="C3046" s="54" t="s">
        <v>3</v>
      </c>
      <c r="D3046" s="54" t="s">
        <v>997</v>
      </c>
      <c r="E3046" s="51">
        <v>716.04</v>
      </c>
      <c r="F3046" s="48"/>
      <c r="G3046" s="51"/>
      <c r="H3046" s="52"/>
      <c r="I3046" s="53">
        <v>46120</v>
      </c>
    </row>
    <row r="3047" spans="1:9">
      <c r="A3047" s="47">
        <v>50861</v>
      </c>
      <c r="B3047" s="48" t="str">
        <f>IFERROR(VLOOKUP(A3047,CLIENTES!A:E,2,0),"CADASTRAR CLIENTE")</f>
        <v>JAQUELINE MARTINS RUIZ LAB DE ANALISES CLINICAS</v>
      </c>
      <c r="C3047" s="54" t="s">
        <v>3</v>
      </c>
      <c r="D3047" s="54">
        <v>95893</v>
      </c>
      <c r="E3047" s="51">
        <v>152</v>
      </c>
      <c r="F3047" s="48"/>
      <c r="G3047" s="51"/>
      <c r="H3047" s="52"/>
      <c r="I3047" s="53">
        <v>46120</v>
      </c>
    </row>
    <row r="3048" spans="1:9">
      <c r="A3048" s="47">
        <v>3017</v>
      </c>
      <c r="B3048" s="48" t="str">
        <f>IFERROR(VLOOKUP(A3048,CLIENTES!A:E,2,0),"CADASTRAR CLIENTE")</f>
        <v>IMUNOLAB LABORATORIO DE ANALISES CLINICAS LTDA ME</v>
      </c>
      <c r="C3048" s="54" t="s">
        <v>3</v>
      </c>
      <c r="D3048" s="54">
        <v>96312</v>
      </c>
      <c r="E3048" s="51">
        <v>223.53</v>
      </c>
      <c r="F3048" s="48"/>
      <c r="G3048" s="51"/>
      <c r="H3048" s="52"/>
      <c r="I3048" s="53">
        <v>46120</v>
      </c>
    </row>
    <row r="3049" spans="1:9">
      <c r="A3049" s="47">
        <v>325</v>
      </c>
      <c r="B3049" s="48" t="str">
        <f>IFERROR(VLOOKUP(A3049,CLIENTES!A:E,2,0),"CADASTRAR CLIENTE")</f>
        <v>EXAME-LABORAT. DE ANAL. CLIN. CITODIAGNOSTICO S/S LTDA</v>
      </c>
      <c r="C3049" s="54" t="s">
        <v>3</v>
      </c>
      <c r="D3049" s="54" t="s">
        <v>998</v>
      </c>
      <c r="E3049" s="51">
        <v>2678.57</v>
      </c>
      <c r="F3049" s="48"/>
      <c r="G3049" s="51"/>
      <c r="H3049" s="52"/>
      <c r="I3049" s="53">
        <v>46121</v>
      </c>
    </row>
    <row r="3050" spans="1:9">
      <c r="A3050" s="47">
        <v>501033</v>
      </c>
      <c r="B3050" s="48" t="str">
        <f>IFERROR(VLOOKUP(A3050,CLIENTES!A:E,2,0),"CADASTRAR CLIENTE")</f>
        <v>EASYMED SERVICOS MEDICOS LTDA</v>
      </c>
      <c r="C3050" s="54" t="s">
        <v>3</v>
      </c>
      <c r="D3050" s="54">
        <v>96345</v>
      </c>
      <c r="E3050" s="51">
        <v>1299.55</v>
      </c>
      <c r="F3050" s="48"/>
      <c r="G3050" s="51"/>
      <c r="H3050" s="52"/>
      <c r="I3050" s="53">
        <v>46121</v>
      </c>
    </row>
    <row r="3051" spans="1:9">
      <c r="A3051" s="47">
        <v>501028</v>
      </c>
      <c r="B3051" s="48" t="str">
        <f>IFERROR(VLOOKUP(A3051,CLIENTES!A:E,2,0),"CADASTRAR CLIENTE")</f>
        <v>DOCTOR PRIME CLINICA E DIAGNOSTICOS LTDA</v>
      </c>
      <c r="C3051" s="54" t="s">
        <v>3</v>
      </c>
      <c r="D3051" s="54">
        <v>96272</v>
      </c>
      <c r="E3051" s="51">
        <v>254.65</v>
      </c>
      <c r="F3051" s="48"/>
      <c r="G3051" s="51"/>
      <c r="H3051" s="52"/>
      <c r="I3051" s="53">
        <v>46122</v>
      </c>
    </row>
    <row r="3052" spans="1:9">
      <c r="A3052" s="47">
        <v>2022</v>
      </c>
      <c r="B3052" s="48" t="str">
        <f>IFERROR(VLOOKUP(A3052,CLIENTES!A:E,2,0),"CADASTRAR CLIENTE")</f>
        <v>LAB. MEDICO DR. MARICONDI S/C LTDA.</v>
      </c>
      <c r="C3052" s="54" t="s">
        <v>3</v>
      </c>
      <c r="D3052" s="54">
        <v>96381</v>
      </c>
      <c r="E3052" s="51">
        <v>474.9</v>
      </c>
      <c r="F3052" s="48"/>
      <c r="G3052" s="51"/>
      <c r="H3052" s="52"/>
      <c r="I3052" s="53">
        <v>46122</v>
      </c>
    </row>
    <row r="3053" spans="1:9">
      <c r="A3053" s="47">
        <v>3194</v>
      </c>
      <c r="B3053" s="48" t="str">
        <f>IFERROR(VLOOKUP(A3053,CLIENTES!A:E,2,0),"CADASTRAR CLIENTE")</f>
        <v>CENTRO DE DIAGNOSTICOS CONTROLE LTDA</v>
      </c>
      <c r="C3053" s="54" t="s">
        <v>3</v>
      </c>
      <c r="D3053" s="54">
        <v>96371</v>
      </c>
      <c r="E3053" s="51">
        <v>611.5</v>
      </c>
      <c r="F3053" s="48"/>
      <c r="G3053" s="51"/>
      <c r="H3053" s="52"/>
      <c r="I3053" s="53">
        <v>46122</v>
      </c>
    </row>
    <row r="3054" spans="1:9">
      <c r="A3054" s="47">
        <v>3557</v>
      </c>
      <c r="B3054" s="48" t="str">
        <f>IFERROR(VLOOKUP(A3054,CLIENTES!A:E,2,0),"CADASTRAR CLIENTE")</f>
        <v>ASSOCIACAO BENEFICIENTE NOSSA SENHORA DE NAZARE</v>
      </c>
      <c r="C3054" s="54" t="s">
        <v>3</v>
      </c>
      <c r="D3054" s="54">
        <v>96390</v>
      </c>
      <c r="E3054" s="51">
        <v>4900</v>
      </c>
      <c r="F3054" s="48"/>
      <c r="G3054" s="51"/>
      <c r="H3054" s="52"/>
      <c r="I3054" s="53">
        <v>46122</v>
      </c>
    </row>
    <row r="3055" spans="1:9">
      <c r="A3055" s="47">
        <v>1989</v>
      </c>
      <c r="B3055" s="48" t="str">
        <f>IFERROR(VLOOKUP(A3055,CLIENTES!A:E,2,0),"CADASTRAR CLIENTE")</f>
        <v>SAO FRANCISCO ANAL. CLIN.</v>
      </c>
      <c r="C3055" s="54" t="s">
        <v>3</v>
      </c>
      <c r="D3055" s="54">
        <v>96401</v>
      </c>
      <c r="E3055" s="51">
        <v>980.35</v>
      </c>
      <c r="F3055" s="48"/>
      <c r="G3055" s="51"/>
      <c r="H3055" s="52"/>
      <c r="I3055" s="53">
        <v>46122</v>
      </c>
    </row>
    <row r="3056" spans="1:9">
      <c r="A3056" s="47">
        <v>3475</v>
      </c>
      <c r="B3056" s="48" t="str">
        <f>IFERROR(VLOOKUP(A3056,CLIENTES!A:E,2,0),"CADASTRAR CLIENTE")</f>
        <v>LQF LABORATORIO QUIMICO FARMACEUTICO RIO PRETO EIRELI - ME</v>
      </c>
      <c r="C3056" s="54" t="s">
        <v>3</v>
      </c>
      <c r="D3056" s="54">
        <v>95182</v>
      </c>
      <c r="E3056" s="51">
        <v>346.75</v>
      </c>
      <c r="F3056" s="48"/>
      <c r="G3056" s="51"/>
      <c r="H3056" s="52"/>
      <c r="I3056" s="53">
        <v>46125</v>
      </c>
    </row>
    <row r="3057" spans="1:9">
      <c r="A3057" s="47">
        <v>50558</v>
      </c>
      <c r="B3057" s="48" t="str">
        <f>IFERROR(VLOOKUP(A3057,CLIENTES!A:E,2,0),"CADASTRAR CLIENTE")</f>
        <v>FUNDACAO PAULISTA DE TECNOLOGIA E EDUCACAO</v>
      </c>
      <c r="C3057" s="54" t="s">
        <v>3</v>
      </c>
      <c r="D3057" s="54">
        <v>95845</v>
      </c>
      <c r="E3057" s="88">
        <v>3856</v>
      </c>
      <c r="F3057" s="48"/>
      <c r="G3057" s="51"/>
      <c r="H3057" s="52"/>
      <c r="I3057" s="53">
        <v>46125</v>
      </c>
    </row>
    <row r="3058" spans="1:9">
      <c r="A3058" s="47">
        <v>51182</v>
      </c>
      <c r="B3058" s="48" t="str">
        <f>IFERROR(VLOOKUP(A3058,CLIENTES!A:E,2,0),"CADASTRAR CLIENTE")</f>
        <v>GENNER FABRIS FLORENCIO OLIVO</v>
      </c>
      <c r="C3058" s="54" t="s">
        <v>3</v>
      </c>
      <c r="D3058" s="54">
        <v>96424</v>
      </c>
      <c r="E3058" s="51">
        <v>120.9</v>
      </c>
      <c r="F3058" s="48"/>
      <c r="G3058" s="51"/>
      <c r="H3058" s="52"/>
      <c r="I3058" s="53">
        <v>46125</v>
      </c>
    </row>
    <row r="3059" spans="1:9">
      <c r="A3059" s="47">
        <v>761</v>
      </c>
      <c r="B3059" s="48" t="str">
        <f>IFERROR(VLOOKUP(A3059,CLIENTES!A:E,2,0),"CADASTRAR CLIENTE")</f>
        <v>EXAME CENTRO DIAG.M.ARACATUBA SC LTDA.</v>
      </c>
      <c r="C3059" s="54" t="s">
        <v>3</v>
      </c>
      <c r="D3059" s="54" t="s">
        <v>1001</v>
      </c>
      <c r="E3059" s="51">
        <v>4233.38</v>
      </c>
      <c r="F3059" s="48"/>
      <c r="G3059" s="51"/>
      <c r="H3059" s="52"/>
      <c r="I3059" s="53">
        <v>46125</v>
      </c>
    </row>
    <row r="3060" spans="1:9">
      <c r="A3060" s="47">
        <v>762</v>
      </c>
      <c r="B3060" s="48" t="str">
        <f>IFERROR(VLOOKUP(A3060,CLIENTES!A:E,2,0),"CADASTRAR CLIENTE")</f>
        <v>STA. CASA MISERICORDIA DE ARACATUBA</v>
      </c>
      <c r="C3060" s="54" t="s">
        <v>3</v>
      </c>
      <c r="D3060" s="54">
        <v>96278</v>
      </c>
      <c r="E3060" s="51">
        <v>1969.2</v>
      </c>
      <c r="F3060" s="48"/>
      <c r="G3060" s="51"/>
      <c r="H3060" s="52"/>
      <c r="I3060" s="53">
        <v>46126</v>
      </c>
    </row>
    <row r="3061" spans="1:9">
      <c r="A3061" s="47">
        <v>475</v>
      </c>
      <c r="B3061" s="48" t="str">
        <f>IFERROR(VLOOKUP(A3061,CLIENTES!A:E,2,0),"CADASTRAR CLIENTE")</f>
        <v>LABORATORIO DE ANALISES CLINICAS SRC LTDA</v>
      </c>
      <c r="C3061" s="54" t="s">
        <v>2</v>
      </c>
      <c r="D3061" s="54" t="s">
        <v>1002</v>
      </c>
      <c r="E3061" s="51">
        <v>11615.15</v>
      </c>
      <c r="F3061" s="48"/>
      <c r="G3061" s="51"/>
      <c r="H3061" s="52"/>
      <c r="I3061" s="53">
        <v>46126</v>
      </c>
    </row>
    <row r="3062" spans="1:9">
      <c r="A3062" s="47">
        <v>500337</v>
      </c>
      <c r="B3062" s="48" t="str">
        <f>IFERROR(VLOOKUP(A3062,CLIENTES!A:E,2,0),"CADASTRAR CLIENTE")</f>
        <v>LABORATORIO CORTES VILLELA LTDA</v>
      </c>
      <c r="C3062" s="54" t="s">
        <v>3</v>
      </c>
      <c r="D3062" s="54">
        <v>95657</v>
      </c>
      <c r="E3062" s="51">
        <v>2091.35</v>
      </c>
      <c r="F3062" s="48"/>
      <c r="G3062" s="51"/>
      <c r="H3062" s="52"/>
      <c r="I3062" s="53">
        <v>46126</v>
      </c>
    </row>
    <row r="3063" spans="1:9">
      <c r="A3063" s="47">
        <v>3492</v>
      </c>
      <c r="B3063" s="48" t="str">
        <f>IFERROR(VLOOKUP(A3063,CLIENTES!A:E,2,0),"CADASTRAR CLIENTE")</f>
        <v>SOCIEDADE EDUCACIONAL UBERABENSE</v>
      </c>
      <c r="C3063" s="54" t="s">
        <v>3</v>
      </c>
      <c r="D3063" s="54">
        <v>96417</v>
      </c>
      <c r="E3063" s="51">
        <v>70.819999999999993</v>
      </c>
      <c r="F3063" s="48"/>
      <c r="G3063" s="51"/>
      <c r="H3063" s="52"/>
      <c r="I3063" s="53">
        <v>46126</v>
      </c>
    </row>
    <row r="3064" spans="1:9">
      <c r="A3064" s="47">
        <v>501042</v>
      </c>
      <c r="B3064" s="48" t="str">
        <f>IFERROR(VLOOKUP(A3064,CLIENTES!A:E,2,0),"CADASTRAR CLIENTE")</f>
        <v>DOCTOR PRIME CLINICA E DIAGNOSTICOS LTDA</v>
      </c>
      <c r="C3064" s="54" t="s">
        <v>3</v>
      </c>
      <c r="D3064" s="54">
        <v>96532</v>
      </c>
      <c r="E3064" s="51">
        <v>2104.3200000000002</v>
      </c>
      <c r="F3064" s="48"/>
      <c r="G3064" s="51"/>
      <c r="H3064" s="52"/>
      <c r="I3064" s="53">
        <v>46127</v>
      </c>
    </row>
    <row r="3065" spans="1:9">
      <c r="A3065" s="47">
        <v>501043</v>
      </c>
      <c r="B3065" s="48" t="str">
        <f>IFERROR(VLOOKUP(A3065,CLIENTES!A:E,2,0),"CADASTRAR CLIENTE")</f>
        <v>DOCTOR PRIME CLINICA E DIAGNOSTICOS LTDA</v>
      </c>
      <c r="C3065" s="54" t="s">
        <v>3</v>
      </c>
      <c r="D3065" s="54">
        <v>96529</v>
      </c>
      <c r="E3065" s="51">
        <v>92.8</v>
      </c>
      <c r="F3065" s="48"/>
      <c r="G3065" s="51"/>
      <c r="H3065" s="52"/>
      <c r="I3065" s="53">
        <v>46127</v>
      </c>
    </row>
    <row r="3066" spans="1:9">
      <c r="A3066" s="47">
        <v>500507</v>
      </c>
      <c r="B3066" s="48" t="str">
        <f>IFERROR(VLOOKUP(A3066,CLIENTES!A:E,2,0),"CADASTRAR CLIENTE")</f>
        <v>LABORATORIOS DOCTOR</v>
      </c>
      <c r="C3066" s="54" t="s">
        <v>3</v>
      </c>
      <c r="D3066" s="54">
        <v>96527</v>
      </c>
      <c r="E3066" s="51">
        <v>739.44</v>
      </c>
      <c r="F3066" s="48"/>
      <c r="G3066" s="51"/>
      <c r="H3066" s="52"/>
      <c r="I3066" s="53">
        <v>46127</v>
      </c>
    </row>
    <row r="3067" spans="1:9">
      <c r="A3067" s="47">
        <v>500149</v>
      </c>
      <c r="B3067" s="48" t="str">
        <f>IFERROR(VLOOKUP(A3067,CLIENTES!A:E,2,0),"CADASTRAR CLIENTE")</f>
        <v>SAO ROQUE MEDICINA DIAGNOSTICA LTDA</v>
      </c>
      <c r="C3067" s="54" t="s">
        <v>3</v>
      </c>
      <c r="D3067" s="54" t="s">
        <v>1004</v>
      </c>
      <c r="E3067" s="88">
        <v>1640.72</v>
      </c>
      <c r="F3067" s="48"/>
      <c r="G3067" s="51"/>
      <c r="H3067" s="52"/>
      <c r="I3067" s="53">
        <v>46139</v>
      </c>
    </row>
    <row r="3068" spans="1:9">
      <c r="A3068" s="47">
        <v>620</v>
      </c>
      <c r="B3068" s="48" t="str">
        <f>IFERROR(VLOOKUP(A3068,CLIENTES!A:E,2,0),"CADASTRAR CLIENTE")</f>
        <v>LAB.SAO PAULO DE ANAL.CLIN.SC LTDA.</v>
      </c>
      <c r="C3068" s="54" t="s">
        <v>3</v>
      </c>
      <c r="D3068" s="54">
        <v>96542</v>
      </c>
      <c r="E3068" s="51">
        <v>306</v>
      </c>
      <c r="F3068" s="48"/>
      <c r="G3068" s="51"/>
      <c r="H3068" s="52"/>
      <c r="I3068" s="53">
        <v>46127</v>
      </c>
    </row>
    <row r="3069" spans="1:9">
      <c r="A3069" s="47">
        <v>572</v>
      </c>
      <c r="B3069" s="48" t="str">
        <f>IFERROR(VLOOKUP(A3069,CLIENTES!A:E,2,0),"CADASTRAR CLIENTE")</f>
        <v>LABORATORIO MULTIANALISES LTDA-ME</v>
      </c>
      <c r="C3069" s="54" t="s">
        <v>3</v>
      </c>
      <c r="D3069" s="54">
        <v>96555</v>
      </c>
      <c r="E3069" s="51">
        <v>107.5</v>
      </c>
      <c r="F3069" s="48"/>
      <c r="G3069" s="51"/>
      <c r="H3069" s="52"/>
      <c r="I3069" s="53">
        <v>46127</v>
      </c>
    </row>
    <row r="3070" spans="1:9">
      <c r="A3070" s="47">
        <v>412</v>
      </c>
      <c r="B3070" s="48" t="str">
        <f>IFERROR(VLOOKUP(A3070,CLIENTES!A:E,2,0),"CADASTRAR CLIENTE")</f>
        <v>LAB.ANAL.CLIN.SAO MANUEL SC LTDA.</v>
      </c>
      <c r="C3070" s="54" t="s">
        <v>3</v>
      </c>
      <c r="D3070" s="54" t="s">
        <v>1005</v>
      </c>
      <c r="E3070" s="51">
        <v>1161.95</v>
      </c>
      <c r="F3070" s="48"/>
      <c r="G3070" s="51"/>
      <c r="H3070" s="52"/>
      <c r="I3070" s="53">
        <v>46127</v>
      </c>
    </row>
    <row r="3071" spans="1:9">
      <c r="A3071" s="47">
        <v>2022</v>
      </c>
      <c r="B3071" s="48" t="str">
        <f>IFERROR(VLOOKUP(A3071,CLIENTES!A:E,2,0),"CADASTRAR CLIENTE")</f>
        <v>LAB. MEDICO DR. MARICONDI S/C LTDA.</v>
      </c>
      <c r="C3071" s="54" t="s">
        <v>3</v>
      </c>
      <c r="D3071" s="54">
        <v>96580</v>
      </c>
      <c r="E3071" s="88">
        <v>284</v>
      </c>
      <c r="F3071" s="48"/>
      <c r="G3071" s="51"/>
      <c r="H3071" s="52"/>
      <c r="I3071" s="53">
        <v>46128</v>
      </c>
    </row>
    <row r="3072" spans="1:9">
      <c r="A3072" s="47">
        <v>412</v>
      </c>
      <c r="B3072" s="48" t="str">
        <f>IFERROR(VLOOKUP(A3072,CLIENTES!A:E,2,0),"CADASTRAR CLIENTE")</f>
        <v>LAB.ANAL.CLIN.SAO MANUEL SC LTDA.</v>
      </c>
      <c r="C3072" s="54" t="s">
        <v>3</v>
      </c>
      <c r="D3072" s="54">
        <v>96601</v>
      </c>
      <c r="E3072" s="51">
        <v>364</v>
      </c>
      <c r="F3072" s="48"/>
      <c r="G3072" s="51"/>
      <c r="H3072" s="52"/>
      <c r="I3072" s="53">
        <v>46128</v>
      </c>
    </row>
    <row r="3073" spans="1:9">
      <c r="A3073" s="47">
        <v>1058</v>
      </c>
      <c r="B3073" s="48" t="str">
        <f>IFERROR(VLOOKUP(A3073,CLIENTES!A:E,2,0),"CADASTRAR CLIENTE")</f>
        <v>LAB. ANAL. CLIN. DR ARNALDO BUAINAIN SS LTDA</v>
      </c>
      <c r="C3073" s="54" t="s">
        <v>3</v>
      </c>
      <c r="D3073" s="54">
        <v>96611</v>
      </c>
      <c r="E3073" s="51">
        <v>529.9</v>
      </c>
      <c r="F3073" s="48"/>
      <c r="G3073" s="51"/>
      <c r="H3073" s="52"/>
      <c r="I3073" s="53">
        <v>46128</v>
      </c>
    </row>
    <row r="3074" spans="1:9">
      <c r="A3074" s="47">
        <v>432</v>
      </c>
      <c r="B3074" s="48" t="str">
        <f>IFERROR(VLOOKUP(A3074,CLIENTES!A:E,2,0),"CADASTRAR CLIENTE")</f>
        <v>LABORATORIO PASTEUR HEMATOLOGIA E MICROBIOLOGIA S/S LTDA</v>
      </c>
      <c r="C3074" s="54" t="s">
        <v>3</v>
      </c>
      <c r="D3074" s="54" t="s">
        <v>1006</v>
      </c>
      <c r="E3074" s="51">
        <v>1178.75</v>
      </c>
      <c r="F3074" s="48"/>
      <c r="G3074" s="51"/>
      <c r="H3074" s="52"/>
      <c r="I3074" s="53">
        <v>46128</v>
      </c>
    </row>
    <row r="3075" spans="1:9">
      <c r="A3075" s="47">
        <v>581</v>
      </c>
      <c r="B3075" s="48" t="str">
        <f>IFERROR(VLOOKUP(A3075,CLIENTES!A:E,2,0),"CADASTRAR CLIENTE")</f>
        <v>CLINILAB LABORAT. ANAL. CLIN SC LTDA</v>
      </c>
      <c r="C3075" s="54" t="s">
        <v>3</v>
      </c>
      <c r="D3075" s="54" t="s">
        <v>1007</v>
      </c>
      <c r="E3075" s="88">
        <v>1706.82</v>
      </c>
      <c r="F3075" s="48"/>
      <c r="G3075" s="51"/>
      <c r="H3075" s="52"/>
      <c r="I3075" s="53">
        <v>46128</v>
      </c>
    </row>
    <row r="3076" spans="1:9">
      <c r="A3076" s="47">
        <v>772</v>
      </c>
      <c r="B3076" s="48" t="str">
        <f>IFERROR(VLOOKUP(A3076,CLIENTES!A:E,2,0),"CADASTRAR CLIENTE")</f>
        <v>MEGARON LABORATORIO ANAL.CLIN.SC LTDA.</v>
      </c>
      <c r="C3076" s="54" t="s">
        <v>3</v>
      </c>
      <c r="D3076" s="54" t="s">
        <v>1008</v>
      </c>
      <c r="E3076" s="88">
        <v>1626.16</v>
      </c>
      <c r="F3076" s="48"/>
      <c r="G3076" s="51"/>
      <c r="H3076" s="52"/>
      <c r="I3076" s="53">
        <v>46128</v>
      </c>
    </row>
    <row r="3077" spans="1:9">
      <c r="A3077" s="47">
        <v>501028</v>
      </c>
      <c r="B3077" s="48" t="str">
        <f>IFERROR(VLOOKUP(A3077,CLIENTES!A:E,2,0),"CADASTRAR CLIENTE")</f>
        <v>DOCTOR PRIME CLINICA E DIAGNOSTICOS LTDA</v>
      </c>
      <c r="C3077" s="54" t="s">
        <v>3</v>
      </c>
      <c r="D3077" s="54">
        <v>96619</v>
      </c>
      <c r="E3077" s="88">
        <v>3588.04</v>
      </c>
      <c r="F3077" s="48"/>
      <c r="G3077" s="51"/>
      <c r="H3077" s="52"/>
      <c r="I3077" s="53">
        <v>46128</v>
      </c>
    </row>
    <row r="3078" spans="1:9">
      <c r="A3078" s="47">
        <v>311</v>
      </c>
      <c r="B3078" s="48" t="str">
        <f>IFERROR(VLOOKUP(A3078,CLIENTES!A:E,2,0),"CADASTRAR CLIENTE")</f>
        <v>CENTRO DE ANAL.CLIN. UNILAB  SC LTDA.</v>
      </c>
      <c r="C3078" s="54" t="s">
        <v>3</v>
      </c>
      <c r="D3078" s="54">
        <v>96553</v>
      </c>
      <c r="E3078" s="88">
        <v>1397.7</v>
      </c>
      <c r="F3078" s="48"/>
      <c r="G3078" s="51"/>
      <c r="H3078" s="52"/>
      <c r="I3078" s="53">
        <v>46129</v>
      </c>
    </row>
    <row r="3079" spans="1:9">
      <c r="A3079" s="47">
        <v>746</v>
      </c>
      <c r="B3079" s="48" t="str">
        <f>IFERROR(VLOOKUP(A3079,CLIENTES!A:E,2,0),"CADASTRAR CLIENTE")</f>
        <v>LAB.ANAL.CLIN.BIOCLIN SC LTDA.</v>
      </c>
      <c r="C3079" s="54" t="s">
        <v>3</v>
      </c>
      <c r="D3079" s="54" t="s">
        <v>1009</v>
      </c>
      <c r="E3079" s="88">
        <v>758.65</v>
      </c>
      <c r="F3079" s="48"/>
      <c r="G3079" s="51"/>
      <c r="H3079" s="52"/>
      <c r="I3079" s="53">
        <v>46129</v>
      </c>
    </row>
    <row r="3080" spans="1:9">
      <c r="A3080" s="47">
        <v>1122</v>
      </c>
      <c r="B3080" s="48" t="str">
        <f>IFERROR(VLOOKUP(A3080,CLIENTES!A:E,2,0),"CADASTRAR CLIENTE")</f>
        <v>FUNDEPAG</v>
      </c>
      <c r="C3080" s="54" t="s">
        <v>3</v>
      </c>
      <c r="D3080" s="54">
        <v>96452</v>
      </c>
      <c r="E3080" s="88">
        <v>3015.65</v>
      </c>
      <c r="F3080" s="48"/>
      <c r="G3080" s="51"/>
      <c r="H3080" s="52"/>
      <c r="I3080" s="53">
        <v>46132</v>
      </c>
    </row>
    <row r="3081" spans="1:9">
      <c r="A3081" s="47">
        <v>3557</v>
      </c>
      <c r="B3081" s="48" t="str">
        <f>IFERROR(VLOOKUP(A3081,CLIENTES!A:E,2,0),"CADASTRAR CLIENTE")</f>
        <v>ASSOCIACAO BENEFICIENTE NOSSA SENHORA DE NAZARE</v>
      </c>
      <c r="C3081" s="54" t="s">
        <v>3</v>
      </c>
      <c r="D3081" s="54" t="s">
        <v>1010</v>
      </c>
      <c r="E3081" s="51">
        <v>179.8</v>
      </c>
      <c r="F3081" s="48"/>
      <c r="G3081" s="51"/>
      <c r="H3081" s="52"/>
      <c r="I3081" s="53">
        <v>46132</v>
      </c>
    </row>
    <row r="3082" spans="1:9">
      <c r="A3082" s="47">
        <v>501054</v>
      </c>
      <c r="B3082" s="48" t="str">
        <f>IFERROR(VLOOKUP(A3082,CLIENTES!A:E,2,0),"CADASTRAR CLIENTE")</f>
        <v>EASYMED SERVICOS MEDICOS LTDA</v>
      </c>
      <c r="C3082" s="54" t="s">
        <v>3</v>
      </c>
      <c r="D3082" s="54">
        <v>96706</v>
      </c>
      <c r="E3082" s="51">
        <v>2466.7600000000002</v>
      </c>
      <c r="F3082" s="48"/>
      <c r="G3082" s="51"/>
      <c r="H3082" s="52"/>
      <c r="I3082" s="53">
        <v>46132</v>
      </c>
    </row>
    <row r="3083" spans="1:9">
      <c r="A3083" s="47">
        <v>784</v>
      </c>
      <c r="B3083" s="48" t="str">
        <f>IFERROR(VLOOKUP(A3083,CLIENTES!A:E,2,0),"CADASTRAR CLIENTE")</f>
        <v>LAB.ANAL.CLIN. ALBERT SABIN SC LTDA.</v>
      </c>
      <c r="C3083" s="54" t="s">
        <v>3</v>
      </c>
      <c r="D3083" s="54">
        <v>96227</v>
      </c>
      <c r="E3083" s="51">
        <v>232</v>
      </c>
      <c r="F3083" s="48"/>
      <c r="G3083" s="51"/>
      <c r="H3083" s="52"/>
      <c r="I3083" s="53">
        <v>46132</v>
      </c>
    </row>
    <row r="3084" spans="1:9" ht="15.75">
      <c r="A3084" s="55">
        <v>51124</v>
      </c>
      <c r="B3084" s="48" t="str">
        <f>IFERROR(VLOOKUP(A3084,CLIENTES!A:E,2,0),"CADASTRAR CLIENTE")</f>
        <v>CIRÚRGICA PAULISTA COMERCIO PROD MED LTDA</v>
      </c>
      <c r="C3084" s="54" t="s">
        <v>3</v>
      </c>
      <c r="D3084" s="54">
        <v>96714</v>
      </c>
      <c r="E3084" s="51">
        <v>316</v>
      </c>
      <c r="F3084" s="48"/>
      <c r="G3084" s="51"/>
      <c r="H3084" s="52"/>
      <c r="I3084" s="53">
        <v>46132</v>
      </c>
    </row>
    <row r="3085" spans="1:9">
      <c r="A3085" s="47">
        <v>1164</v>
      </c>
      <c r="B3085" s="48" t="str">
        <f>IFERROR(VLOOKUP(A3085,CLIENTES!A:E,2,0),"CADASTRAR CLIENTE")</f>
        <v>LAB. ANAL. CLIN. SAO LOURENCO S/C LTDA</v>
      </c>
      <c r="C3085" s="54" t="s">
        <v>3</v>
      </c>
      <c r="D3085" s="54" t="s">
        <v>1012</v>
      </c>
      <c r="E3085" s="88">
        <v>1107.67</v>
      </c>
      <c r="F3085" s="48"/>
      <c r="G3085" s="51"/>
      <c r="H3085" s="52"/>
      <c r="I3085" s="53">
        <v>46132</v>
      </c>
    </row>
    <row r="3086" spans="1:9">
      <c r="A3086" s="47">
        <v>50576</v>
      </c>
      <c r="B3086" s="48" t="str">
        <f>IFERROR(VLOOKUP(A3086,CLIENTES!A:E,2,0),"CADASTRAR CLIENTE")</f>
        <v>ANDRIAO CANEPPA E SILVA LTDA ME</v>
      </c>
      <c r="C3086" s="54" t="s">
        <v>3</v>
      </c>
      <c r="D3086" s="54" t="s">
        <v>1013</v>
      </c>
      <c r="E3086" s="88">
        <v>2202.9299999999998</v>
      </c>
      <c r="F3086" s="48"/>
      <c r="G3086" s="51"/>
      <c r="H3086" s="52"/>
      <c r="I3086" s="53">
        <v>46132</v>
      </c>
    </row>
    <row r="3087" spans="1:9">
      <c r="A3087" s="47">
        <v>960</v>
      </c>
      <c r="B3087" s="48" t="str">
        <f>IFERROR(VLOOKUP(A3087,CLIENTES!A:E,2,0),"CADASTRAR CLIENTE")</f>
        <v>LUIS VALERIO FILHO-ME</v>
      </c>
      <c r="C3087" s="54" t="s">
        <v>3</v>
      </c>
      <c r="D3087" s="54" t="s">
        <v>1014</v>
      </c>
      <c r="E3087" s="88">
        <v>767.4</v>
      </c>
      <c r="F3087" s="48"/>
      <c r="G3087" s="51"/>
      <c r="H3087" s="52"/>
      <c r="I3087" s="53">
        <v>46134</v>
      </c>
    </row>
    <row r="3088" spans="1:9">
      <c r="A3088" s="47">
        <v>2163</v>
      </c>
      <c r="B3088" s="48" t="str">
        <f>IFERROR(VLOOKUP(A3088,CLIENTES!A:E,2,0),"CADASTRAR CLIENTE")</f>
        <v>BIO-LAB SAO JUDAS TADEU S/C LTDA - ME</v>
      </c>
      <c r="C3088" s="54" t="s">
        <v>3</v>
      </c>
      <c r="D3088" s="54">
        <v>96739</v>
      </c>
      <c r="E3088" s="51">
        <v>2480.4</v>
      </c>
      <c r="F3088" s="48"/>
      <c r="G3088" s="51"/>
      <c r="H3088" s="52"/>
      <c r="I3088" s="53">
        <v>46134</v>
      </c>
    </row>
    <row r="3089" spans="1:9">
      <c r="A3089" s="47">
        <v>704</v>
      </c>
      <c r="B3089" s="48" t="str">
        <f>IFERROR(VLOOKUP(A3089,CLIENTES!A:E,2,0),"CADASTRAR CLIENTE")</f>
        <v>LAB. ONUMA E BASILIO S/C LTDA</v>
      </c>
      <c r="C3089" s="54" t="s">
        <v>816</v>
      </c>
      <c r="D3089" s="54" t="s">
        <v>1015</v>
      </c>
      <c r="E3089" s="51">
        <v>1752.19</v>
      </c>
      <c r="F3089" s="48"/>
      <c r="G3089" s="51"/>
      <c r="H3089" s="52"/>
      <c r="I3089" s="53">
        <v>46134</v>
      </c>
    </row>
    <row r="3090" spans="1:9">
      <c r="A3090" s="47">
        <v>325</v>
      </c>
      <c r="B3090" s="48" t="str">
        <f>IFERROR(VLOOKUP(A3090,CLIENTES!A:E,2,0),"CADASTRAR CLIENTE")</f>
        <v>EXAME-LABORAT. DE ANAL. CLIN. CITODIAGNOSTICO S/S LTDA</v>
      </c>
      <c r="C3090" s="54" t="s">
        <v>3</v>
      </c>
      <c r="D3090" s="54">
        <v>96334</v>
      </c>
      <c r="E3090" s="51">
        <v>358</v>
      </c>
      <c r="F3090" s="48"/>
      <c r="G3090" s="51"/>
      <c r="H3090" s="52"/>
      <c r="I3090" s="53">
        <v>46134</v>
      </c>
    </row>
    <row r="3091" spans="1:9">
      <c r="A3091" s="47">
        <v>3017</v>
      </c>
      <c r="B3091" s="48" t="str">
        <f>IFERROR(VLOOKUP(A3091,CLIENTES!A:E,2,0),"CADASTRAR CLIENTE")</f>
        <v>IMUNOLAB LABORATORIO DE ANALISES CLINICAS LTDA ME</v>
      </c>
      <c r="C3091" s="54" t="s">
        <v>3</v>
      </c>
      <c r="D3091" s="54">
        <v>96315</v>
      </c>
      <c r="E3091" s="51">
        <v>1051.53</v>
      </c>
      <c r="F3091" s="48"/>
      <c r="G3091" s="51"/>
      <c r="H3091" s="52"/>
      <c r="I3091" s="53">
        <v>46134</v>
      </c>
    </row>
    <row r="3092" spans="1:9">
      <c r="A3092" s="47">
        <v>516</v>
      </c>
      <c r="B3092" s="48" t="str">
        <f>IFERROR(VLOOKUP(A3092,CLIENTES!A:E,2,0),"CADASTRAR CLIENTE")</f>
        <v>TECNOLAB PATOLOGIA CLINICA S/C LTDA</v>
      </c>
      <c r="C3092" s="54" t="s">
        <v>2</v>
      </c>
      <c r="D3092" s="54">
        <v>95923</v>
      </c>
      <c r="E3092" s="51">
        <v>12347.54</v>
      </c>
      <c r="F3092" s="48"/>
      <c r="G3092" s="51"/>
      <c r="H3092" s="52"/>
      <c r="I3092" s="53">
        <v>46134</v>
      </c>
    </row>
    <row r="3093" spans="1:9">
      <c r="A3093" s="47">
        <v>572</v>
      </c>
      <c r="B3093" s="48" t="str">
        <f>IFERROR(VLOOKUP(A3093,CLIENTES!A:E,2,0),"CADASTRAR CLIENTE")</f>
        <v>LABORATORIO MULTIANALISES LTDA-ME</v>
      </c>
      <c r="C3093" s="54" t="s">
        <v>3</v>
      </c>
      <c r="D3093" s="54">
        <v>96243</v>
      </c>
      <c r="E3093" s="88">
        <v>1648.33</v>
      </c>
      <c r="F3093" s="48"/>
      <c r="G3093" s="51"/>
      <c r="H3093" s="52"/>
      <c r="I3093" s="53">
        <v>46134</v>
      </c>
    </row>
    <row r="3094" spans="1:9">
      <c r="A3094" s="47">
        <v>3492</v>
      </c>
      <c r="B3094" s="48" t="str">
        <f>IFERROR(VLOOKUP(A3094,CLIENTES!A:E,2,0),"CADASTRAR CLIENTE")</f>
        <v>SOCIEDADE EDUCACIONAL UBERABENSE</v>
      </c>
      <c r="C3094" s="54" t="s">
        <v>3</v>
      </c>
      <c r="D3094" s="54">
        <v>103047</v>
      </c>
      <c r="E3094" s="88">
        <v>79.2</v>
      </c>
      <c r="F3094" s="48"/>
      <c r="G3094" s="51"/>
      <c r="H3094" s="52"/>
      <c r="I3094" s="53">
        <v>46134</v>
      </c>
    </row>
    <row r="3095" spans="1:9">
      <c r="A3095" s="47">
        <v>1989</v>
      </c>
      <c r="B3095" s="48" t="str">
        <f>IFERROR(VLOOKUP(A3095,CLIENTES!A:E,2,0),"CADASTRAR CLIENTE")</f>
        <v>SAO FRANCISCO ANAL. CLIN.</v>
      </c>
      <c r="C3095" s="54" t="s">
        <v>3</v>
      </c>
      <c r="D3095" s="54">
        <v>95983</v>
      </c>
      <c r="E3095" s="88">
        <v>616.03</v>
      </c>
      <c r="F3095" s="48"/>
      <c r="G3095" s="51"/>
      <c r="H3095" s="52"/>
      <c r="I3095" s="53">
        <v>46135</v>
      </c>
    </row>
    <row r="3096" spans="1:9">
      <c r="A3096" s="47">
        <v>50554</v>
      </c>
      <c r="B3096" s="48" t="str">
        <f>IFERROR(VLOOKUP(A3096,CLIENTES!A:E,2,0),"CADASTRAR CLIENTE")</f>
        <v>SAO ROQUE MEDICINA DIAGNOSTICA</v>
      </c>
      <c r="C3096" s="54" t="s">
        <v>3</v>
      </c>
      <c r="D3096" s="54" t="s">
        <v>1016</v>
      </c>
      <c r="E3096" s="51">
        <v>441.3</v>
      </c>
      <c r="F3096" s="48"/>
      <c r="G3096" s="51"/>
      <c r="H3096" s="52"/>
      <c r="I3096" s="53">
        <v>46135</v>
      </c>
    </row>
    <row r="3097" spans="1:9">
      <c r="A3097" s="47">
        <v>690</v>
      </c>
      <c r="B3097" s="48" t="str">
        <f>IFERROR(VLOOKUP(A3097,CLIENTES!A:E,2,0),"CADASTRAR CLIENTE")</f>
        <v>SAO ROQUE MEDICINA DIAGNOSTICA LTDA EPP</v>
      </c>
      <c r="C3097" s="54" t="s">
        <v>3</v>
      </c>
      <c r="D3097" s="54" t="s">
        <v>1017</v>
      </c>
      <c r="E3097" s="51">
        <v>212.5</v>
      </c>
      <c r="F3097" s="48"/>
      <c r="G3097" s="51"/>
      <c r="H3097" s="52"/>
      <c r="I3097" s="53">
        <v>46135</v>
      </c>
    </row>
    <row r="3098" spans="1:9">
      <c r="A3098" s="47">
        <v>500873</v>
      </c>
      <c r="B3098" s="48" t="str">
        <f>IFERROR(VLOOKUP(A3098,CLIENTES!A:E,2,0),"CADASTRAR CLIENTE")</f>
        <v>HOUPILLARD SERVICOS VETERINARIOS LTDA.</v>
      </c>
      <c r="C3098" s="54" t="s">
        <v>3</v>
      </c>
      <c r="D3098" s="54" t="s">
        <v>1018</v>
      </c>
      <c r="E3098" s="88">
        <v>1786.85</v>
      </c>
      <c r="F3098" s="48"/>
      <c r="G3098" s="51"/>
      <c r="H3098" s="52"/>
      <c r="I3098" s="53">
        <v>46135</v>
      </c>
    </row>
    <row r="3099" spans="1:9">
      <c r="A3099" s="47">
        <v>50418</v>
      </c>
      <c r="B3099" s="48" t="str">
        <f>IFERROR(VLOOKUP(A3099,CLIENTES!A:E,2,0),"CADASTRAR CLIENTE")</f>
        <v>LABORATORIO SAO LUCAS DE BROTAS SS LTDA</v>
      </c>
      <c r="C3099" s="54" t="s">
        <v>3</v>
      </c>
      <c r="D3099" s="54">
        <v>96789</v>
      </c>
      <c r="E3099" s="88">
        <v>1956.52</v>
      </c>
      <c r="F3099" s="48"/>
      <c r="G3099" s="51"/>
      <c r="H3099" s="52"/>
      <c r="I3099" s="53">
        <v>46135</v>
      </c>
    </row>
    <row r="3100" spans="1:9">
      <c r="A3100" s="47">
        <v>1533</v>
      </c>
      <c r="B3100" s="48" t="str">
        <f>IFERROR(VLOOKUP(A3100,CLIENTES!A:E,2,0),"CADASTRAR CLIENTE")</f>
        <v>LABORATORIO BIOANALISE DIAGNOSTICO LTDA</v>
      </c>
      <c r="C3100" s="54" t="s">
        <v>3</v>
      </c>
      <c r="D3100" s="54">
        <v>103049</v>
      </c>
      <c r="E3100" s="51">
        <v>119.8</v>
      </c>
      <c r="F3100" s="48"/>
      <c r="G3100" s="51"/>
      <c r="H3100" s="52"/>
      <c r="I3100" s="53">
        <v>46135</v>
      </c>
    </row>
    <row r="3101" spans="1:9">
      <c r="A3101" s="47">
        <v>500507</v>
      </c>
      <c r="B3101" s="48" t="str">
        <f>IFERROR(VLOOKUP(A3101,CLIENTES!A:E,2,0),"CADASTRAR CLIENTE")</f>
        <v>LABORATORIOS DOCTOR</v>
      </c>
      <c r="C3101" s="54" t="s">
        <v>3</v>
      </c>
      <c r="D3101" s="54">
        <v>96535</v>
      </c>
      <c r="E3101" s="51">
        <v>3838.56</v>
      </c>
      <c r="F3101" s="48"/>
      <c r="G3101" s="51"/>
      <c r="H3101" s="52"/>
      <c r="I3101" s="53">
        <v>46135</v>
      </c>
    </row>
    <row r="3102" spans="1:9">
      <c r="A3102" s="47">
        <v>501042</v>
      </c>
      <c r="B3102" s="48" t="str">
        <f>IFERROR(VLOOKUP(A3102,CLIENTES!A:E,2,0),"CADASTRAR CLIENTE")</f>
        <v>DOCTOR PRIME CLINICA E DIAGNOSTICOS LTDA</v>
      </c>
      <c r="C3102" s="54" t="s">
        <v>3</v>
      </c>
      <c r="D3102" s="54">
        <v>96810</v>
      </c>
      <c r="E3102" s="51">
        <v>279.05</v>
      </c>
      <c r="F3102" s="48"/>
      <c r="G3102" s="51"/>
      <c r="H3102" s="52"/>
      <c r="I3102" s="53">
        <v>46135</v>
      </c>
    </row>
    <row r="3103" spans="1:9">
      <c r="A3103" s="47">
        <v>501028</v>
      </c>
      <c r="B3103" s="48" t="str">
        <f>IFERROR(VLOOKUP(A3103,CLIENTES!A:E,2,0),"CADASTRAR CLIENTE")</f>
        <v>DOCTOR PRIME CLINICA E DIAGNOSTICOS LTDA</v>
      </c>
      <c r="C3103" s="54" t="s">
        <v>3</v>
      </c>
      <c r="D3103" s="54">
        <v>96384</v>
      </c>
      <c r="E3103" s="51">
        <v>154.63999999999999</v>
      </c>
      <c r="F3103" s="48"/>
      <c r="G3103" s="51"/>
      <c r="H3103" s="52"/>
      <c r="I3103" s="53">
        <v>46135</v>
      </c>
    </row>
    <row r="3104" spans="1:9">
      <c r="A3104" s="47">
        <v>2199</v>
      </c>
      <c r="B3104" s="48" t="str">
        <f>IFERROR(VLOOKUP(A3104,CLIENTES!A:E,2,0),"CADASTRAR CLIENTE")</f>
        <v>SOCIEDADE EDUCACIONAL UBERABENSE</v>
      </c>
      <c r="C3104" s="54" t="s">
        <v>738</v>
      </c>
      <c r="D3104" s="54" t="s">
        <v>1023</v>
      </c>
      <c r="E3104" s="88">
        <v>13369.45</v>
      </c>
      <c r="F3104" s="48"/>
      <c r="G3104" s="51"/>
      <c r="H3104" s="52"/>
      <c r="I3104" s="53">
        <v>46135</v>
      </c>
    </row>
    <row r="3105" spans="1:9">
      <c r="A3105" s="47">
        <v>501020</v>
      </c>
      <c r="B3105" s="48" t="str">
        <f>IFERROR(VLOOKUP(A3105,CLIENTES!A:E,2,0),"CADASTRAR CLIENTE")</f>
        <v>SOCIEDADE EDUCACIONAL UBERABENSE</v>
      </c>
      <c r="C3105" s="54" t="s">
        <v>738</v>
      </c>
      <c r="D3105" s="54" t="s">
        <v>1019</v>
      </c>
      <c r="E3105" s="88"/>
      <c r="F3105" s="48"/>
      <c r="G3105" s="51">
        <v>5960</v>
      </c>
      <c r="H3105" s="52"/>
      <c r="I3105" s="53">
        <v>46135</v>
      </c>
    </row>
    <row r="3106" spans="1:9">
      <c r="A3106" s="47">
        <v>761</v>
      </c>
      <c r="B3106" s="48" t="str">
        <f>IFERROR(VLOOKUP(A3106,CLIENTES!A:E,2,0),"CADASTRAR CLIENTE")</f>
        <v>EXAME CENTRO DIAG.M.ARACATUBA SC LTDA.</v>
      </c>
      <c r="C3106" s="54" t="s">
        <v>3</v>
      </c>
      <c r="D3106" s="54" t="s">
        <v>1020</v>
      </c>
      <c r="E3106" s="51">
        <v>450.94</v>
      </c>
      <c r="F3106" s="48"/>
      <c r="G3106" s="51"/>
      <c r="H3106" s="52"/>
      <c r="I3106" s="53">
        <v>46135</v>
      </c>
    </row>
    <row r="3107" spans="1:9">
      <c r="A3107" s="47">
        <v>500005</v>
      </c>
      <c r="B3107" s="48" t="str">
        <f>IFERROR(VLOOKUP(A3107,CLIENTES!A:E,2,0),"CADASTRAR CLIENTE")</f>
        <v>ASSOCIACAO EDUCACIONAL DE ENSINO SUPERIOR</v>
      </c>
      <c r="C3107" s="54" t="s">
        <v>3</v>
      </c>
      <c r="D3107" s="54">
        <v>96828</v>
      </c>
      <c r="E3107" s="88">
        <v>683.7</v>
      </c>
      <c r="F3107" s="48"/>
      <c r="G3107" s="51"/>
      <c r="H3107" s="52"/>
      <c r="I3107" s="53">
        <v>46135</v>
      </c>
    </row>
    <row r="3108" spans="1:9">
      <c r="A3108" s="47">
        <v>500337</v>
      </c>
      <c r="B3108" s="48" t="str">
        <f>IFERROR(VLOOKUP(A3108,CLIENTES!A:E,2,0),"CADASTRAR CLIENTE")</f>
        <v>LABORATORIO CORTES VILLELA LTDA</v>
      </c>
      <c r="C3108" s="54" t="s">
        <v>738</v>
      </c>
      <c r="D3108" s="54">
        <v>96833</v>
      </c>
      <c r="E3108" s="88">
        <v>499</v>
      </c>
      <c r="F3108" s="48"/>
      <c r="G3108" s="51"/>
      <c r="H3108" s="52"/>
      <c r="I3108" s="53">
        <v>46135</v>
      </c>
    </row>
    <row r="3109" spans="1:9">
      <c r="A3109" s="47">
        <v>9063</v>
      </c>
      <c r="B3109" s="48" t="str">
        <f>IFERROR(VLOOKUP(A3109,CLIENTES!A:E,2,0),"CADASTRAR CLIENTE")</f>
        <v>LABORATORIO SAMIA LTDA</v>
      </c>
      <c r="C3109" s="54" t="s">
        <v>3</v>
      </c>
      <c r="D3109" s="54">
        <v>96729</v>
      </c>
      <c r="E3109" s="88">
        <v>472.25</v>
      </c>
      <c r="F3109" s="48"/>
      <c r="G3109" s="51"/>
      <c r="H3109" s="52"/>
      <c r="I3109" s="53">
        <v>46139</v>
      </c>
    </row>
    <row r="3110" spans="1:9">
      <c r="A3110" s="47">
        <v>1623</v>
      </c>
      <c r="B3110" s="48" t="str">
        <f>IFERROR(VLOOKUP(A3110,CLIENTES!A:E,2,0),"CADASTRAR CLIENTE")</f>
        <v>LAB.ANAL.CLIN. E REP. BADY BASSIT LTDA</v>
      </c>
      <c r="C3110" s="54" t="s">
        <v>3</v>
      </c>
      <c r="D3110" s="54">
        <v>96848</v>
      </c>
      <c r="E3110" s="51">
        <v>795.68</v>
      </c>
      <c r="F3110" s="48"/>
      <c r="G3110" s="51"/>
      <c r="H3110" s="52"/>
      <c r="I3110" s="53">
        <v>46136</v>
      </c>
    </row>
    <row r="3111" spans="1:9">
      <c r="A3111" s="47">
        <v>2022</v>
      </c>
      <c r="B3111" s="48" t="str">
        <f>IFERROR(VLOOKUP(A3111,CLIENTES!A:E,2,0),"CADASTRAR CLIENTE")</f>
        <v>LAB. MEDICO DR. MARICONDI S/C LTDA.</v>
      </c>
      <c r="C3111" s="54" t="s">
        <v>3</v>
      </c>
      <c r="D3111" s="54" t="s">
        <v>1022</v>
      </c>
      <c r="E3111" s="51">
        <v>873.6</v>
      </c>
      <c r="F3111" s="48"/>
      <c r="G3111" s="51"/>
      <c r="H3111" s="52"/>
      <c r="I3111" s="53">
        <v>46136</v>
      </c>
    </row>
    <row r="3112" spans="1:9">
      <c r="A3112" s="47">
        <v>705</v>
      </c>
      <c r="B3112" s="48" t="str">
        <f>IFERROR(VLOOKUP(A3112,CLIENTES!A:E,2,0),"CADASTRAR CLIENTE")</f>
        <v>JOAO JOSE SCHIAVUZZO ME</v>
      </c>
      <c r="C3112" s="54" t="s">
        <v>3</v>
      </c>
      <c r="D3112" s="54" t="s">
        <v>1021</v>
      </c>
      <c r="E3112" s="51">
        <v>2150.38</v>
      </c>
      <c r="F3112" s="48"/>
      <c r="G3112" s="51"/>
      <c r="H3112" s="52"/>
      <c r="I3112" s="53">
        <v>46136</v>
      </c>
    </row>
    <row r="3113" spans="1:9">
      <c r="A3113" s="47">
        <v>823</v>
      </c>
      <c r="B3113" s="48" t="str">
        <f>IFERROR(VLOOKUP(A3113,CLIENTES!A:E,2,0),"CADASTRAR CLIENTE")</f>
        <v>SANCHES x SANCHES S/C LTDA</v>
      </c>
      <c r="C3113" s="54" t="s">
        <v>3</v>
      </c>
      <c r="D3113" s="54" t="s">
        <v>1024</v>
      </c>
      <c r="E3113" s="51">
        <v>2081.02</v>
      </c>
      <c r="F3113" s="48"/>
      <c r="G3113" s="51"/>
      <c r="H3113" s="52"/>
      <c r="I3113" s="53">
        <v>46139</v>
      </c>
    </row>
    <row r="3114" spans="1:9">
      <c r="A3114" s="47">
        <v>620</v>
      </c>
      <c r="B3114" s="48" t="str">
        <f>IFERROR(VLOOKUP(A3114,CLIENTES!A:E,2,0),"CADASTRAR CLIENTE")</f>
        <v>LAB.SAO PAULO DE ANAL.CLIN.SC LTDA.</v>
      </c>
      <c r="C3114" s="54" t="s">
        <v>3</v>
      </c>
      <c r="D3114" s="54">
        <v>103068</v>
      </c>
      <c r="E3114" s="51">
        <v>592.4</v>
      </c>
      <c r="F3114" s="48"/>
      <c r="G3114" s="51"/>
      <c r="H3114" s="52"/>
      <c r="I3114" s="53">
        <v>46139</v>
      </c>
    </row>
    <row r="3115" spans="1:9">
      <c r="A3115" s="47">
        <v>2199</v>
      </c>
      <c r="B3115" s="48" t="str">
        <f>IFERROR(VLOOKUP(A3115,CLIENTES!A:E,2,0),"CADASTRAR CLIENTE")</f>
        <v>SOCIEDADE EDUCACIONAL UBERABENSE</v>
      </c>
      <c r="C3115" s="54" t="s">
        <v>3</v>
      </c>
      <c r="D3115" s="54">
        <v>97033</v>
      </c>
      <c r="E3115" s="51">
        <v>3905</v>
      </c>
      <c r="F3115" s="48"/>
      <c r="G3115" s="51"/>
      <c r="H3115" s="52"/>
      <c r="I3115" s="53">
        <v>46146</v>
      </c>
    </row>
    <row r="3116" spans="1:9">
      <c r="A3116" s="47">
        <v>463</v>
      </c>
      <c r="B3116" s="48" t="str">
        <f>IFERROR(VLOOKUP(A3116,CLIENTES!A:E,2,0),"CADASTRAR CLIENTE")</f>
        <v>MASUDA &amp; MASUDA LABORATORIO CLINICO LTDA</v>
      </c>
      <c r="C3116" s="54" t="s">
        <v>3</v>
      </c>
      <c r="D3116" s="54">
        <v>97039</v>
      </c>
      <c r="E3116" s="88">
        <v>1047.2</v>
      </c>
      <c r="F3116" s="48"/>
      <c r="G3116" s="51"/>
      <c r="H3116" s="52"/>
      <c r="I3116" s="53">
        <v>46146</v>
      </c>
    </row>
    <row r="3117" spans="1:9">
      <c r="A3117" s="47">
        <v>690</v>
      </c>
      <c r="B3117" s="48" t="str">
        <f>IFERROR(VLOOKUP(A3117,CLIENTES!A:E,2,0),"CADASTRAR CLIENTE")</f>
        <v>SAO ROQUE MEDICINA DIAGNOSTICA LTDA EPP</v>
      </c>
      <c r="C3117" s="54" t="s">
        <v>3</v>
      </c>
      <c r="D3117" s="54" t="s">
        <v>1026</v>
      </c>
      <c r="E3117" s="51">
        <v>1097.0999999999999</v>
      </c>
      <c r="F3117" s="48"/>
      <c r="G3117" s="51"/>
      <c r="H3117" s="52"/>
      <c r="I3117" s="53">
        <v>46146</v>
      </c>
    </row>
    <row r="3118" spans="1:9">
      <c r="A3118" s="47">
        <v>960</v>
      </c>
      <c r="B3118" s="48" t="str">
        <f>IFERROR(VLOOKUP(A3118,CLIENTES!A:E,2,0),"CADASTRAR CLIENTE")</f>
        <v>LUIS VALERIO FILHO-ME</v>
      </c>
      <c r="C3118" s="54" t="s">
        <v>3</v>
      </c>
      <c r="D3118" s="54">
        <v>97050</v>
      </c>
      <c r="E3118" s="51">
        <v>628</v>
      </c>
      <c r="F3118" s="48"/>
      <c r="G3118" s="51"/>
      <c r="H3118" s="52"/>
      <c r="I3118" s="53">
        <v>46146</v>
      </c>
    </row>
    <row r="3119" spans="1:9">
      <c r="A3119" s="47">
        <v>620</v>
      </c>
      <c r="B3119" s="48" t="str">
        <f>IFERROR(VLOOKUP(A3119,CLIENTES!A:E,2,0),"CADASTRAR CLIENTE")</f>
        <v>LAB.SAO PAULO DE ANAL.CLIN.SC LTDA.</v>
      </c>
      <c r="C3119" s="54" t="s">
        <v>3</v>
      </c>
      <c r="D3119" s="54">
        <v>96970</v>
      </c>
      <c r="E3119" s="51">
        <v>129.47</v>
      </c>
      <c r="F3119" s="48"/>
      <c r="G3119" s="51"/>
      <c r="H3119" s="52"/>
      <c r="I3119" s="53">
        <v>46146</v>
      </c>
    </row>
    <row r="3120" spans="1:9">
      <c r="A3120" s="47">
        <v>2415</v>
      </c>
      <c r="B3120" s="48" t="str">
        <f>IFERROR(VLOOKUP(A3120,CLIENTES!A:E,2,0),"CADASTRAR CLIENTE")</f>
        <v>ROSSETTO E BARROS LABORATORIO DE ANALISES CLINICAS LTDA</v>
      </c>
      <c r="C3120" s="54" t="s">
        <v>3</v>
      </c>
      <c r="D3120" s="107">
        <v>97062</v>
      </c>
      <c r="E3120" s="51">
        <v>3267</v>
      </c>
      <c r="F3120" s="48"/>
      <c r="G3120" s="51"/>
      <c r="H3120" s="52"/>
      <c r="I3120" s="53">
        <v>46146</v>
      </c>
    </row>
    <row r="3121" spans="1:9">
      <c r="A3121" s="47">
        <v>50219</v>
      </c>
      <c r="B3121" s="48" t="str">
        <f>IFERROR(VLOOKUP(A3121,CLIENTES!A:E,2,0),"CADASTRAR CLIENTE")</f>
        <v>UNIPREV LAB DE ANALISES LOCACAO DE BENS E REPAROS LTDA EPP</v>
      </c>
      <c r="C3121" s="54" t="s">
        <v>3</v>
      </c>
      <c r="D3121" s="54">
        <v>97075</v>
      </c>
      <c r="E3121" s="51">
        <v>1536.1</v>
      </c>
      <c r="F3121" s="48"/>
      <c r="G3121" s="51"/>
      <c r="H3121" s="52"/>
      <c r="I3121" s="53">
        <v>46146</v>
      </c>
    </row>
    <row r="3122" spans="1:9">
      <c r="A3122" s="47">
        <v>1813</v>
      </c>
      <c r="B3122" s="48" t="str">
        <f>IFERROR(VLOOKUP(A3122,CLIENTES!A:E,2,0),"CADASTRAR CLIENTE")</f>
        <v>BIOMED LAB.ANAL.CLIN. SC  LTDA</v>
      </c>
      <c r="C3122" s="54" t="s">
        <v>3</v>
      </c>
      <c r="D3122" s="54" t="s">
        <v>1028</v>
      </c>
      <c r="E3122" s="88">
        <v>1264</v>
      </c>
      <c r="F3122" s="48"/>
      <c r="G3122" s="51"/>
      <c r="H3122" s="52"/>
      <c r="I3122" s="53">
        <v>46147</v>
      </c>
    </row>
    <row r="3123" spans="1:9">
      <c r="A3123" s="47">
        <v>500873</v>
      </c>
      <c r="B3123" s="48" t="str">
        <f>IFERROR(VLOOKUP(A3123,CLIENTES!A:E,2,0),"CADASTRAR CLIENTE")</f>
        <v>HOUPILLARD SERVICOS VETERINARIOS LTDA.</v>
      </c>
      <c r="C3123" s="54" t="s">
        <v>3</v>
      </c>
      <c r="D3123" s="54">
        <v>95597</v>
      </c>
      <c r="E3123" s="51">
        <v>1008.75</v>
      </c>
      <c r="F3123" s="48"/>
      <c r="G3123" s="51"/>
      <c r="H3123" s="52"/>
      <c r="I3123" s="53">
        <v>46147</v>
      </c>
    </row>
    <row r="3124" spans="1:9">
      <c r="A3124" s="47">
        <v>784</v>
      </c>
      <c r="B3124" s="48" t="str">
        <f>IFERROR(VLOOKUP(A3124,CLIENTES!A:E,2,0),"CADASTRAR CLIENTE")</f>
        <v>LAB.ANAL.CLIN. ALBERT SABIN SC LTDA.</v>
      </c>
      <c r="C3124" s="54" t="s">
        <v>2</v>
      </c>
      <c r="D3124" s="54">
        <v>96612</v>
      </c>
      <c r="E3124" s="88">
        <v>5589.66</v>
      </c>
      <c r="F3124" s="48"/>
      <c r="G3124" s="51"/>
      <c r="H3124" s="52"/>
      <c r="I3124" s="53">
        <v>46147</v>
      </c>
    </row>
    <row r="3125" spans="1:9">
      <c r="A3125" s="47">
        <v>874</v>
      </c>
      <c r="B3125" s="48" t="str">
        <f>IFERROR(VLOOKUP(A3125,CLIENTES!A:E,2,0),"CADASTRAR CLIENTE")</f>
        <v>LAB.ANAL.CLIN ABI JAUDI SC LTDA.</v>
      </c>
      <c r="C3125" s="54" t="s">
        <v>3</v>
      </c>
      <c r="D3125" s="54">
        <v>97113</v>
      </c>
      <c r="E3125" s="51">
        <v>3971.4</v>
      </c>
      <c r="F3125" s="48"/>
      <c r="G3125" s="51"/>
      <c r="H3125" s="52"/>
      <c r="I3125" s="53">
        <v>46147</v>
      </c>
    </row>
    <row r="3126" spans="1:9">
      <c r="A3126" s="47">
        <v>2980</v>
      </c>
      <c r="B3126" s="48" t="str">
        <f>IFERROR(VLOOKUP(A3126,CLIENTES!A:E,2,0),"CADASTRAR CLIENTE")</f>
        <v>ALMEIDA &amp; FLAITT LABORATORIOS DE ANALISES CLINICAS LTDA</v>
      </c>
      <c r="C3126" s="54" t="s">
        <v>3</v>
      </c>
      <c r="D3126" s="54" t="s">
        <v>1027</v>
      </c>
      <c r="E3126" s="51">
        <v>916.1</v>
      </c>
      <c r="F3126" s="48"/>
      <c r="G3126" s="51"/>
      <c r="H3126" s="52"/>
      <c r="I3126" s="53">
        <v>46147</v>
      </c>
    </row>
    <row r="3127" spans="1:9">
      <c r="A3127" s="47">
        <v>1616</v>
      </c>
      <c r="B3127" s="48" t="str">
        <f>IFERROR(VLOOKUP(A3127,CLIENTES!A:E,2,0),"CADASTRAR CLIENTE")</f>
        <v>NOVO HORIZONTE LAB.ANAL.CLIN.S/C LTDA.</v>
      </c>
      <c r="C3127" s="54" t="s">
        <v>3</v>
      </c>
      <c r="D3127" s="54">
        <v>96698</v>
      </c>
      <c r="E3127" s="88">
        <v>1109</v>
      </c>
      <c r="F3127" s="48"/>
      <c r="G3127" s="51"/>
      <c r="H3127" s="52"/>
      <c r="I3127" s="53">
        <v>46147</v>
      </c>
    </row>
    <row r="3128" spans="1:9">
      <c r="A3128" s="47">
        <v>475</v>
      </c>
      <c r="B3128" s="48" t="str">
        <f>IFERROR(VLOOKUP(A3128,CLIENTES!A:E,2,0),"CADASTRAR CLIENTE")</f>
        <v>LABORATORIO DE ANALISES CLINICAS SRC LTDA</v>
      </c>
      <c r="C3128" s="54" t="s">
        <v>3</v>
      </c>
      <c r="D3128" s="54" t="s">
        <v>1029</v>
      </c>
      <c r="E3128" s="51">
        <v>7058.08</v>
      </c>
      <c r="F3128" s="48"/>
      <c r="G3128" s="51"/>
      <c r="H3128" s="52"/>
      <c r="I3128" s="53">
        <v>46147</v>
      </c>
    </row>
    <row r="3129" spans="1:9">
      <c r="A3129" s="47">
        <v>572</v>
      </c>
      <c r="B3129" s="48" t="str">
        <f>IFERROR(VLOOKUP(A3129,CLIENTES!A:E,2,0),"CADASTRAR CLIENTE")</f>
        <v>LABORATORIO MULTIANALISES LTDA-ME</v>
      </c>
      <c r="C3129" s="54" t="s">
        <v>3</v>
      </c>
      <c r="D3129" s="54">
        <v>96570</v>
      </c>
      <c r="E3129" s="51">
        <v>1100.23</v>
      </c>
      <c r="F3129" s="48"/>
      <c r="G3129" s="51"/>
      <c r="H3129" s="52"/>
      <c r="I3129" s="53">
        <v>46148</v>
      </c>
    </row>
    <row r="3130" spans="1:9">
      <c r="A3130" s="47">
        <v>575</v>
      </c>
      <c r="B3130" s="48" t="str">
        <f>IFERROR(VLOOKUP(A3130,CLIENTES!A:E,2,0),"CADASTRAR CLIENTE")</f>
        <v>DR MUNHOZ HOSPITAL VETERINARIO E PET SHOP</v>
      </c>
      <c r="C3130" s="54" t="s">
        <v>3</v>
      </c>
      <c r="D3130" s="54">
        <v>97179</v>
      </c>
      <c r="E3130" s="51">
        <v>622.86</v>
      </c>
      <c r="F3130" s="48"/>
      <c r="G3130" s="51"/>
      <c r="H3130" s="52"/>
      <c r="I3130" s="53">
        <v>46148</v>
      </c>
    </row>
    <row r="3131" spans="1:9">
      <c r="A3131" s="47">
        <v>746</v>
      </c>
      <c r="B3131" s="48" t="str">
        <f>IFERROR(VLOOKUP(A3131,CLIENTES!A:E,2,0),"CADASTRAR CLIENTE")</f>
        <v>LAB.ANAL.CLIN.BIOCLIN SC LTDA.</v>
      </c>
      <c r="C3131" s="54" t="s">
        <v>3</v>
      </c>
      <c r="D3131" s="54" t="s">
        <v>1030</v>
      </c>
      <c r="E3131" s="88">
        <v>2702.6</v>
      </c>
      <c r="F3131" s="48"/>
      <c r="G3131" s="51"/>
      <c r="H3131" s="52"/>
      <c r="I3131" s="53">
        <v>46148</v>
      </c>
    </row>
    <row r="3132" spans="1:9">
      <c r="A3132" s="47">
        <v>501035</v>
      </c>
      <c r="B3132" s="48" t="str">
        <f>IFERROR(VLOOKUP(A3132,CLIENTES!A:E,2,0),"CADASTRAR CLIENTE")</f>
        <v>EASYMED SERVICOS MEDICOS LTDA</v>
      </c>
      <c r="C3132" s="54" t="s">
        <v>3</v>
      </c>
      <c r="D3132" s="54">
        <v>96728</v>
      </c>
      <c r="E3132" s="88">
        <v>4495.95</v>
      </c>
      <c r="F3132" s="48"/>
      <c r="G3132" s="51"/>
      <c r="H3132" s="52"/>
      <c r="I3132" s="53">
        <v>46148</v>
      </c>
    </row>
    <row r="3133" spans="1:9" s="96" customFormat="1">
      <c r="A3133" s="90">
        <v>501079</v>
      </c>
      <c r="B3133" s="91" t="str">
        <f>IFERROR(VLOOKUP(A3133,CLIENTES!A:E,2,0),"CADASTRAR CLIENTE")</f>
        <v>EASYMED SERVICOS MEDICOS LTDA</v>
      </c>
      <c r="C3133" s="92" t="s">
        <v>3</v>
      </c>
      <c r="D3133" s="92">
        <v>96811</v>
      </c>
      <c r="E3133" s="93">
        <v>2962.76</v>
      </c>
      <c r="F3133" s="91"/>
      <c r="G3133" s="105"/>
      <c r="H3133" s="94"/>
      <c r="I3133" s="95">
        <v>46148</v>
      </c>
    </row>
    <row r="3134" spans="1:9">
      <c r="A3134" s="47">
        <v>501054</v>
      </c>
      <c r="B3134" s="48" t="str">
        <f>IFERROR(VLOOKUP(A3134,CLIENTES!A:E,2,0),"CADASTRAR CLIENTE")</f>
        <v>EASYMED SERVICOS MEDICOS LTDA</v>
      </c>
      <c r="C3134" s="54" t="s">
        <v>3</v>
      </c>
      <c r="D3134" s="54">
        <v>96707</v>
      </c>
      <c r="E3134" s="88">
        <v>6754.58</v>
      </c>
      <c r="F3134" s="48"/>
      <c r="G3134" s="51"/>
      <c r="H3134" s="52"/>
      <c r="I3134" s="53">
        <v>46148</v>
      </c>
    </row>
    <row r="3135" spans="1:9">
      <c r="A3135" s="47">
        <v>500507</v>
      </c>
      <c r="B3135" s="48" t="str">
        <f>IFERROR(VLOOKUP(A3135,CLIENTES!A:E,2,0),"CADASTRAR CLIENTE")</f>
        <v>LABORATORIOS DOCTOR</v>
      </c>
      <c r="C3135" s="54" t="s">
        <v>3</v>
      </c>
      <c r="D3135" s="54">
        <v>96310</v>
      </c>
      <c r="E3135" s="88">
        <v>3614.61</v>
      </c>
      <c r="F3135" s="48"/>
      <c r="G3135" s="51"/>
      <c r="H3135" s="52"/>
      <c r="I3135" s="53">
        <v>46148</v>
      </c>
    </row>
    <row r="3136" spans="1:9">
      <c r="A3136" s="47">
        <v>501070</v>
      </c>
      <c r="B3136" s="48" t="str">
        <f>IFERROR(VLOOKUP(A3136,CLIENTES!A:E,2,0),"CADASTRAR CLIENTE")</f>
        <v>EASYMED SERVICOS MEDICOS LTDA</v>
      </c>
      <c r="C3136" s="54" t="s">
        <v>3</v>
      </c>
      <c r="D3136" s="54">
        <v>96533</v>
      </c>
      <c r="E3136" s="51">
        <v>3734.68</v>
      </c>
      <c r="F3136" s="48"/>
      <c r="G3136" s="51"/>
      <c r="H3136" s="52"/>
      <c r="I3136" s="53">
        <v>46148</v>
      </c>
    </row>
    <row r="3137" spans="1:9">
      <c r="A3137" s="47">
        <v>1905</v>
      </c>
      <c r="B3137" s="48" t="str">
        <f>IFERROR(VLOOKUP(A3137,CLIENTES!A:E,2,0),"CADASTRAR CLIENTE")</f>
        <v>A.C. CORREA DE OLIVEIRA LABORATORIO CLÍNICO</v>
      </c>
      <c r="C3137" s="54" t="s">
        <v>3</v>
      </c>
      <c r="D3137" s="54">
        <v>97207</v>
      </c>
      <c r="E3137" s="51">
        <v>389</v>
      </c>
      <c r="F3137" s="48"/>
      <c r="G3137" s="51"/>
      <c r="H3137" s="52"/>
      <c r="I3137" s="53">
        <v>46148</v>
      </c>
    </row>
    <row r="3138" spans="1:9">
      <c r="A3138" s="47">
        <v>501078</v>
      </c>
      <c r="B3138" s="48" t="str">
        <f>IFERROR(VLOOKUP(A3138,CLIENTES!A:E,2,0),"CADASTRAR CLIENTE")</f>
        <v>EASYMED SERVICOS MEDICOS LTDA</v>
      </c>
      <c r="C3138" s="54" t="s">
        <v>3</v>
      </c>
      <c r="D3138" s="54">
        <v>97191</v>
      </c>
      <c r="E3138" s="51">
        <v>1947.67</v>
      </c>
      <c r="F3138" s="48"/>
      <c r="G3138" s="51"/>
      <c r="H3138" s="52"/>
      <c r="I3138" s="53">
        <v>46148</v>
      </c>
    </row>
    <row r="3139" spans="1:9">
      <c r="A3139" s="47">
        <v>1164</v>
      </c>
      <c r="B3139" s="48" t="str">
        <f>IFERROR(VLOOKUP(A3139,CLIENTES!A:E,2,0),"CADASTRAR CLIENTE")</f>
        <v>LAB. ANAL. CLIN. SAO LOURENCO S/C LTDA</v>
      </c>
      <c r="C3139" s="54" t="s">
        <v>3</v>
      </c>
      <c r="D3139" s="54">
        <v>96922</v>
      </c>
      <c r="E3139" s="51">
        <v>1203.79</v>
      </c>
      <c r="F3139" s="48"/>
      <c r="G3139" s="51"/>
      <c r="H3139" s="52"/>
      <c r="I3139" s="53">
        <v>46148</v>
      </c>
    </row>
    <row r="3140" spans="1:9">
      <c r="A3140" s="47">
        <v>51182</v>
      </c>
      <c r="B3140" s="48" t="str">
        <f>IFERROR(VLOOKUP(A3140,CLIENTES!A:E,2,0),"CADASTRAR CLIENTE")</f>
        <v>GENNER FABRIS FLORENCIO OLIVO</v>
      </c>
      <c r="C3140" s="54" t="s">
        <v>3</v>
      </c>
      <c r="D3140" s="54">
        <v>97220</v>
      </c>
      <c r="E3140" s="88">
        <v>175</v>
      </c>
      <c r="F3140" s="48"/>
      <c r="G3140" s="51"/>
      <c r="H3140" s="52"/>
      <c r="I3140" s="53">
        <v>46148</v>
      </c>
    </row>
    <row r="3141" spans="1:9">
      <c r="A3141" s="47">
        <v>432</v>
      </c>
      <c r="B3141" s="48" t="str">
        <f>IFERROR(VLOOKUP(A3141,CLIENTES!A:E,2,0),"CADASTRAR CLIENTE")</f>
        <v>LABORATORIO PASTEUR HEMATOLOGIA E MICROBIOLOGIA S/S LTDA</v>
      </c>
      <c r="C3141" s="54" t="s">
        <v>3</v>
      </c>
      <c r="D3141" s="54">
        <v>97228</v>
      </c>
      <c r="E3141" s="88">
        <v>2125.1799999999998</v>
      </c>
      <c r="F3141" s="48"/>
      <c r="G3141" s="51"/>
      <c r="H3141" s="52"/>
      <c r="I3141" s="53">
        <v>46148</v>
      </c>
    </row>
    <row r="3142" spans="1:9">
      <c r="A3142" s="47">
        <v>50465</v>
      </c>
      <c r="B3142" s="48" t="str">
        <f>IFERROR(VLOOKUP(A3142,CLIENTES!A:E,2,0),"CADASTRAR CLIENTE")</f>
        <v>LABORATORIO DE ANALISES CLINICAS VIDA BIRIGUI LTDA</v>
      </c>
      <c r="C3142" s="54" t="s">
        <v>3</v>
      </c>
      <c r="D3142" s="54">
        <v>96275</v>
      </c>
      <c r="E3142" s="51">
        <v>2570.6999999999998</v>
      </c>
      <c r="F3142" s="48"/>
      <c r="G3142" s="51"/>
      <c r="H3142" s="52"/>
      <c r="I3142" s="53">
        <v>46149</v>
      </c>
    </row>
    <row r="3143" spans="1:9">
      <c r="A3143" s="47">
        <v>311</v>
      </c>
      <c r="B3143" s="48" t="str">
        <f>IFERROR(VLOOKUP(A3143,CLIENTES!A:E,2,0),"CADASTRAR CLIENTE")</f>
        <v>CENTRO DE ANAL.CLIN. UNILAB  SC LTDA.</v>
      </c>
      <c r="C3143" s="54" t="s">
        <v>3</v>
      </c>
      <c r="D3143" s="54">
        <v>97233</v>
      </c>
      <c r="E3143" s="51">
        <v>2070</v>
      </c>
      <c r="F3143" s="48"/>
      <c r="G3143" s="51"/>
      <c r="H3143" s="52"/>
      <c r="I3143" s="53">
        <v>46149</v>
      </c>
    </row>
    <row r="3144" spans="1:9">
      <c r="A3144" s="47">
        <v>408</v>
      </c>
      <c r="B3144" s="48" t="str">
        <f>IFERROR(VLOOKUP(A3144,CLIENTES!A:E,2,0),"CADASTRAR CLIENTE")</f>
        <v>FUND.DESENV.DE CIENCIAS FARMACEUTICAS</v>
      </c>
      <c r="C3144" s="54" t="s">
        <v>2</v>
      </c>
      <c r="D3144" s="54" t="s">
        <v>1031</v>
      </c>
      <c r="E3144" s="51">
        <v>2682.15</v>
      </c>
      <c r="F3144" s="48"/>
      <c r="G3144" s="51"/>
      <c r="H3144" s="52"/>
      <c r="I3144" s="53">
        <v>46149</v>
      </c>
    </row>
    <row r="3145" spans="1:9">
      <c r="A3145" s="47">
        <v>325</v>
      </c>
      <c r="B3145" s="48" t="str">
        <f>IFERROR(VLOOKUP(A3145,CLIENTES!A:E,2,0),"CADASTRAR CLIENTE")</f>
        <v>EXAME-LABORAT. DE ANAL. CLIN. CITODIAGNOSTICO S/S LTDA</v>
      </c>
      <c r="C3145" s="54" t="s">
        <v>3</v>
      </c>
      <c r="D3145" s="54" t="s">
        <v>1032</v>
      </c>
      <c r="E3145" s="88">
        <v>2270.5500000000002</v>
      </c>
      <c r="F3145" s="48"/>
      <c r="G3145" s="51"/>
      <c r="H3145" s="52"/>
      <c r="I3145" s="53">
        <v>46149</v>
      </c>
    </row>
    <row r="3146" spans="1:9">
      <c r="A3146" s="47">
        <v>3017</v>
      </c>
      <c r="B3146" s="48" t="str">
        <f>IFERROR(VLOOKUP(A3146,CLIENTES!A:E,2,0),"CADASTRAR CLIENTE")</f>
        <v>IMUNOLAB LABORATORIO DE ANALISES CLINICAS LTDA ME</v>
      </c>
      <c r="C3146" s="54" t="s">
        <v>3</v>
      </c>
      <c r="D3146" s="54">
        <v>97250</v>
      </c>
      <c r="E3146" s="51">
        <v>874.26</v>
      </c>
      <c r="F3146" s="48"/>
      <c r="G3146" s="51"/>
      <c r="H3146" s="52"/>
      <c r="I3146" s="53">
        <v>46149</v>
      </c>
    </row>
    <row r="3147" spans="1:9">
      <c r="A3147" s="47">
        <v>3194</v>
      </c>
      <c r="B3147" s="48" t="str">
        <f>IFERROR(VLOOKUP(A3147,CLIENTES!A:E,2,0),"CADASTRAR CLIENTE")</f>
        <v>CENTRO DE DIAGNOSTICOS CONTROLE LTDA</v>
      </c>
      <c r="C3147" s="54" t="s">
        <v>3</v>
      </c>
      <c r="D3147" s="54">
        <v>97265</v>
      </c>
      <c r="E3147" s="51">
        <v>561</v>
      </c>
      <c r="F3147" s="48"/>
      <c r="G3147" s="51"/>
      <c r="H3147" s="52"/>
      <c r="I3147" s="53">
        <v>46149</v>
      </c>
    </row>
    <row r="3148" spans="1:9">
      <c r="A3148" s="47">
        <v>463</v>
      </c>
      <c r="B3148" s="48" t="str">
        <f>IFERROR(VLOOKUP(A3148,CLIENTES!A:E,2,0),"CADASTRAR CLIENTE")</f>
        <v>MASUDA &amp; MASUDA LABORATORIO CLINICO LTDA</v>
      </c>
      <c r="C3148" s="54" t="s">
        <v>3</v>
      </c>
      <c r="D3148" s="54">
        <v>97039</v>
      </c>
      <c r="E3148" s="88">
        <v>1047.2</v>
      </c>
      <c r="F3148" s="48"/>
      <c r="G3148" s="51"/>
      <c r="H3148" s="52"/>
      <c r="I3148" s="53">
        <v>46146</v>
      </c>
    </row>
    <row r="3149" spans="1:9">
      <c r="A3149" s="47">
        <v>905</v>
      </c>
      <c r="B3149" s="48" t="str">
        <f>IFERROR(VLOOKUP(A3149,CLIENTES!A:E,2,0),"CADASTRAR CLIENTE")</f>
        <v>LAB AN CLIN DR NESTOR FERRAREZZI FILHO  SC LTDA</v>
      </c>
      <c r="C3149" s="54" t="s">
        <v>816</v>
      </c>
      <c r="D3149" s="54" t="s">
        <v>1025</v>
      </c>
      <c r="E3149" s="88">
        <v>1489.9</v>
      </c>
      <c r="F3149" s="48"/>
      <c r="G3149" s="51"/>
      <c r="H3149" s="52"/>
      <c r="I3149" s="53">
        <v>46146</v>
      </c>
    </row>
    <row r="3150" spans="1:9">
      <c r="A3150" s="47">
        <v>50558</v>
      </c>
      <c r="B3150" s="48" t="str">
        <f>IFERROR(VLOOKUP(A3150,CLIENTES!A:E,2,0),"CADASTRAR CLIENTE")</f>
        <v>FUNDACAO PAULISTA DE TECNOLOGIA E EDUCACAO</v>
      </c>
      <c r="C3150" s="54" t="s">
        <v>3</v>
      </c>
      <c r="D3150" s="54">
        <v>96615</v>
      </c>
      <c r="E3150" s="88">
        <v>3856</v>
      </c>
      <c r="F3150" s="48"/>
      <c r="G3150" s="51"/>
      <c r="H3150" s="52"/>
      <c r="I3150" s="53">
        <v>46146</v>
      </c>
    </row>
    <row r="3151" spans="1:9">
      <c r="A3151" s="47">
        <v>906</v>
      </c>
      <c r="B3151" s="48" t="str">
        <f>IFERROR(VLOOKUP(A3151,CLIENTES!A:E,2,0),"CADASTRAR CLIENTE")</f>
        <v>LABORATORIO ANAL. CLIN. DESCALVADO LTDA</v>
      </c>
      <c r="C3151" s="54" t="s">
        <v>3</v>
      </c>
      <c r="D3151" s="54" t="s">
        <v>1033</v>
      </c>
      <c r="E3151" s="88">
        <v>1822.33</v>
      </c>
      <c r="F3151" s="48"/>
      <c r="G3151" s="51"/>
      <c r="H3151" s="52"/>
      <c r="I3151" s="53">
        <v>46150</v>
      </c>
    </row>
    <row r="3152" spans="1:9">
      <c r="A3152" s="47">
        <v>822</v>
      </c>
      <c r="B3152" s="48" t="str">
        <f>IFERROR(VLOOKUP(A3152,CLIENTES!A:E,2,0),"CADASTRAR CLIENTE")</f>
        <v>SAO LUCAS LABORATORIO ANAL. CLIN. S/C LTDA</v>
      </c>
      <c r="C3152" s="54" t="s">
        <v>3</v>
      </c>
      <c r="D3152" s="54" t="s">
        <v>1034</v>
      </c>
      <c r="E3152" s="88">
        <v>2769.12</v>
      </c>
      <c r="F3152" s="48"/>
      <c r="G3152" s="51"/>
      <c r="H3152" s="52"/>
      <c r="I3152" s="53">
        <v>46150</v>
      </c>
    </row>
    <row r="3153" spans="1:9">
      <c r="A3153" s="47">
        <v>581</v>
      </c>
      <c r="B3153" s="102" t="str">
        <f>IFERROR(VLOOKUP(A3153,CLIENTES!A:E,2,0),"CADASTRAR CLIENTE")</f>
        <v>CLINILAB LABORAT. ANAL. CLIN SC LTDA</v>
      </c>
      <c r="C3153" s="54" t="s">
        <v>3</v>
      </c>
      <c r="D3153" s="54" t="s">
        <v>1035</v>
      </c>
      <c r="E3153" s="88">
        <v>2640.32</v>
      </c>
      <c r="F3153" s="48"/>
      <c r="G3153" s="51"/>
      <c r="H3153" s="52"/>
      <c r="I3153" s="53">
        <v>46150</v>
      </c>
    </row>
    <row r="3154" spans="1:9">
      <c r="A3154" s="47">
        <v>690</v>
      </c>
      <c r="B3154" s="48" t="str">
        <f>IFERROR(VLOOKUP(A3154,CLIENTES!A:E,2,0),"CADASTRAR CLIENTE")</f>
        <v>SAO ROQUE MEDICINA DIAGNOSTICA LTDA EPP</v>
      </c>
      <c r="C3154" s="54" t="s">
        <v>3</v>
      </c>
      <c r="D3154" s="54" t="s">
        <v>1036</v>
      </c>
      <c r="E3154" s="51">
        <v>2654.65</v>
      </c>
      <c r="F3154" s="48"/>
      <c r="G3154" s="51"/>
      <c r="H3154" s="52"/>
      <c r="I3154" s="53">
        <v>46153</v>
      </c>
    </row>
    <row r="3155" spans="1:9">
      <c r="A3155" s="47">
        <v>50554</v>
      </c>
      <c r="B3155" s="48" t="str">
        <f>IFERROR(VLOOKUP(A3155,CLIENTES!A:E,2,0),"CADASTRAR CLIENTE")</f>
        <v>SAO ROQUE MEDICINA DIAGNOSTICA</v>
      </c>
      <c r="C3155" s="54" t="s">
        <v>3</v>
      </c>
      <c r="D3155" s="54" t="s">
        <v>1038</v>
      </c>
      <c r="E3155" s="51">
        <v>7591.7</v>
      </c>
      <c r="F3155" s="48"/>
      <c r="G3155" s="51"/>
      <c r="H3155" s="52"/>
      <c r="I3155" s="53">
        <v>46153</v>
      </c>
    </row>
    <row r="3156" spans="1:9">
      <c r="A3156" s="47">
        <v>2006</v>
      </c>
      <c r="B3156" s="48" t="str">
        <f>IFERROR(VLOOKUP(A3156,CLIENTES!A:E,2,0),"CADASTRAR CLIENTE")</f>
        <v>CLIENTE CAROL</v>
      </c>
      <c r="C3156" s="54" t="s">
        <v>3</v>
      </c>
      <c r="D3156" s="54">
        <v>97396</v>
      </c>
      <c r="E3156" s="51">
        <v>1632</v>
      </c>
      <c r="F3156" s="48"/>
      <c r="G3156" s="51"/>
      <c r="H3156" s="52"/>
      <c r="I3156" s="53">
        <v>46153</v>
      </c>
    </row>
    <row r="3157" spans="1:9">
      <c r="A3157" s="47">
        <v>2955</v>
      </c>
      <c r="B3157" s="48" t="str">
        <f>IFERROR(VLOOKUP(A3157,CLIENTES!A:E,2,0),"CADASTRAR CLIENTE")</f>
        <v>ASSOCIACAO SANTA CASA SAUDE DE ARACATUBA</v>
      </c>
      <c r="C3157" s="54" t="s">
        <v>3</v>
      </c>
      <c r="D3157" s="54">
        <v>94437</v>
      </c>
      <c r="E3157" s="88">
        <v>3712.8</v>
      </c>
      <c r="F3157" s="48"/>
      <c r="G3157" s="51"/>
      <c r="H3157" s="52"/>
      <c r="I3157" s="53">
        <v>46154</v>
      </c>
    </row>
    <row r="3158" spans="1:9">
      <c r="A3158" s="47">
        <v>2199</v>
      </c>
      <c r="B3158" s="48" t="str">
        <f>IFERROR(VLOOKUP(A3158,CLIENTES!A:E,2,0),"CADASTRAR CLIENTE")</f>
        <v>SOCIEDADE EDUCACIONAL UBERABENSE</v>
      </c>
      <c r="C3158" s="54" t="s">
        <v>3</v>
      </c>
      <c r="D3158" s="54">
        <v>97416</v>
      </c>
      <c r="E3158" s="88">
        <v>2800</v>
      </c>
      <c r="F3158" s="48"/>
      <c r="G3158" s="51"/>
      <c r="H3158" s="52"/>
      <c r="I3158" s="53">
        <v>46154</v>
      </c>
    </row>
    <row r="3159" spans="1:9">
      <c r="A3159" s="47">
        <v>761</v>
      </c>
      <c r="B3159" s="48" t="str">
        <f>IFERROR(VLOOKUP(A3159,CLIENTES!A:E,2,0),"CADASTRAR CLIENTE")</f>
        <v>EXAME CENTRO DIAG.M.ARACATUBA SC LTDA.</v>
      </c>
      <c r="C3159" s="54" t="s">
        <v>3</v>
      </c>
      <c r="D3159" s="54" t="s">
        <v>1039</v>
      </c>
      <c r="E3159" s="88">
        <v>4702.84</v>
      </c>
      <c r="F3159" s="48"/>
      <c r="G3159" s="51"/>
      <c r="H3159" s="52"/>
      <c r="I3159" s="53">
        <v>46154</v>
      </c>
    </row>
    <row r="3160" spans="1:9">
      <c r="A3160" s="47">
        <v>516</v>
      </c>
      <c r="B3160" s="48" t="str">
        <f>IFERROR(VLOOKUP(A3160,CLIENTES!A:E,2,0),"CADASTRAR CLIENTE")</f>
        <v>TECNOLAB PATOLOGIA CLINICA S/C LTDA</v>
      </c>
      <c r="C3160" s="54" t="s">
        <v>3</v>
      </c>
      <c r="D3160" s="54">
        <v>96762</v>
      </c>
      <c r="E3160" s="51">
        <v>1902</v>
      </c>
      <c r="F3160" s="48"/>
      <c r="G3160" s="51"/>
      <c r="H3160" s="52"/>
      <c r="I3160" s="53">
        <v>46154</v>
      </c>
    </row>
    <row r="3161" spans="1:9">
      <c r="A3161" s="47">
        <v>480</v>
      </c>
      <c r="B3161" s="48" t="str">
        <f>IFERROR(VLOOKUP(A3161,CLIENTES!A:E,2,0),"CADASTRAR CLIENTE")</f>
        <v>LAB SAO LUCAS</v>
      </c>
      <c r="C3161" s="54" t="s">
        <v>3</v>
      </c>
      <c r="D3161" s="54" t="s">
        <v>1046</v>
      </c>
      <c r="E3161" s="88">
        <v>3671</v>
      </c>
      <c r="F3161" s="48"/>
      <c r="G3161" s="51"/>
      <c r="H3161" s="52"/>
      <c r="I3161" s="53">
        <v>46154</v>
      </c>
    </row>
    <row r="3162" spans="1:9">
      <c r="A3162" s="47">
        <v>412</v>
      </c>
      <c r="B3162" s="48" t="str">
        <f>IFERROR(VLOOKUP(A3162,CLIENTES!A:E,2,0),"CADASTRAR CLIENTE")</f>
        <v>LAB.ANAL.CLIN.SAO MANUEL SC LTDA.</v>
      </c>
      <c r="C3162" s="54" t="s">
        <v>3</v>
      </c>
      <c r="D3162" s="54" t="s">
        <v>1040</v>
      </c>
      <c r="E3162" s="51">
        <v>1433.5</v>
      </c>
      <c r="F3162" s="48"/>
      <c r="G3162" s="51"/>
      <c r="H3162" s="52"/>
      <c r="I3162" s="53">
        <v>46154</v>
      </c>
    </row>
    <row r="3163" spans="1:9">
      <c r="A3163" s="47">
        <v>51042</v>
      </c>
      <c r="B3163" s="48" t="str">
        <f>IFERROR(VLOOKUP(A3163,CLIENTES!A:E,2,0),"CADASTRAR CLIENTE")</f>
        <v>CLINICAO ANDRADINA PET SHOP E CLINICA VETERINARIA LTDA</v>
      </c>
      <c r="C3163" s="54" t="s">
        <v>3</v>
      </c>
      <c r="D3163" s="54">
        <v>97307</v>
      </c>
      <c r="E3163" s="51">
        <v>275.89999999999998</v>
      </c>
      <c r="F3163" s="48"/>
      <c r="G3163" s="51"/>
      <c r="H3163" s="52"/>
      <c r="I3163" s="53">
        <v>46155</v>
      </c>
    </row>
    <row r="3164" spans="1:9">
      <c r="A3164" s="47">
        <v>3153</v>
      </c>
      <c r="B3164" s="48" t="str">
        <f>IFERROR(VLOOKUP(A3164,CLIENTES!A:E,2,0),"CADASTRAR CLIENTE")</f>
        <v>UNIMED DE TUPA COOPERATIVA DE TRABALHO MEDICO</v>
      </c>
      <c r="C3164" s="54" t="s">
        <v>3</v>
      </c>
      <c r="D3164" s="54">
        <v>97088</v>
      </c>
      <c r="E3164" s="51">
        <v>1592.8</v>
      </c>
      <c r="F3164" s="48"/>
      <c r="G3164" s="51"/>
      <c r="H3164" s="52"/>
      <c r="I3164" s="53">
        <v>46155</v>
      </c>
    </row>
    <row r="3165" spans="1:9">
      <c r="A3165" s="47">
        <v>784</v>
      </c>
      <c r="B3165" s="48" t="str">
        <f>IFERROR(VLOOKUP(A3165,CLIENTES!A:E,2,0),"CADASTRAR CLIENTE")</f>
        <v>LAB.ANAL.CLIN. ALBERT SABIN SC LTDA.</v>
      </c>
      <c r="C3165" s="54" t="s">
        <v>3</v>
      </c>
      <c r="D3165" s="54">
        <v>97243</v>
      </c>
      <c r="E3165" s="51">
        <v>225</v>
      </c>
      <c r="F3165" s="48"/>
      <c r="G3165" s="51"/>
      <c r="H3165" s="52"/>
      <c r="I3165" s="53">
        <v>46155</v>
      </c>
    </row>
    <row r="3166" spans="1:9">
      <c r="A3166" s="47">
        <v>663</v>
      </c>
      <c r="B3166" s="48" t="str">
        <f>IFERROR(VLOOKUP(A3166,CLIENTES!A:E,2,0),"CADASTRAR CLIENTE")</f>
        <v>LAB. MEDICO GUIMARAES</v>
      </c>
      <c r="C3166" s="54" t="s">
        <v>3</v>
      </c>
      <c r="D3166" s="54" t="s">
        <v>1041</v>
      </c>
      <c r="E3166" s="51">
        <v>509.55</v>
      </c>
      <c r="F3166" s="48"/>
      <c r="G3166" s="51"/>
      <c r="H3166" s="52"/>
      <c r="I3166" s="53">
        <v>46155</v>
      </c>
    </row>
    <row r="3167" spans="1:9">
      <c r="A3167" s="47">
        <v>1971</v>
      </c>
      <c r="B3167" s="48" t="str">
        <f>IFERROR(VLOOKUP(A3167,CLIENTES!A:E,2,0),"CADASTRAR CLIENTE")</f>
        <v>LABORATORIO POPULAR LAB 7 LTDA</v>
      </c>
      <c r="C3167" s="54" t="s">
        <v>3</v>
      </c>
      <c r="D3167" s="54">
        <v>97483</v>
      </c>
      <c r="E3167" s="51">
        <v>389</v>
      </c>
      <c r="F3167" s="48"/>
      <c r="G3167" s="51"/>
      <c r="H3167" s="52"/>
      <c r="I3167" s="53">
        <v>46155</v>
      </c>
    </row>
    <row r="3168" spans="1:9">
      <c r="A3168" s="47">
        <v>2022</v>
      </c>
      <c r="B3168" s="48" t="str">
        <f>IFERROR(VLOOKUP(A3168,CLIENTES!A:E,2,0),"CADASTRAR CLIENTE")</f>
        <v>LAB. MEDICO DR. MARICONDI S/C LTDA.</v>
      </c>
      <c r="C3168" s="54" t="s">
        <v>3</v>
      </c>
      <c r="D3168" s="54">
        <v>96982</v>
      </c>
      <c r="E3168" s="88">
        <v>820.19</v>
      </c>
      <c r="F3168" s="48"/>
      <c r="G3168" s="51"/>
      <c r="H3168" s="52"/>
      <c r="I3168" s="53">
        <v>46155</v>
      </c>
    </row>
    <row r="3169" spans="1:9">
      <c r="A3169" s="47">
        <v>1533</v>
      </c>
      <c r="B3169" s="48" t="str">
        <f>IFERROR(VLOOKUP(A3169,CLIENTES!A:E,2,0),"CADASTRAR CLIENTE")</f>
        <v>LABORATORIO BIOANALISE DIAGNOSTICO LTDA</v>
      </c>
      <c r="C3169" s="54" t="s">
        <v>3</v>
      </c>
      <c r="D3169" s="54">
        <v>97422</v>
      </c>
      <c r="E3169" s="51">
        <v>785.08</v>
      </c>
      <c r="F3169" s="48"/>
      <c r="G3169" s="51"/>
      <c r="H3169" s="52"/>
      <c r="I3169" s="53">
        <v>46155</v>
      </c>
    </row>
    <row r="3170" spans="1:9">
      <c r="A3170" s="47">
        <v>1234</v>
      </c>
      <c r="B3170" s="48" t="str">
        <f>IFERROR(VLOOKUP(A3170,CLIENTES!A:E,2,0),"CADASTRAR CLIENTE")</f>
        <v>LAB ANAL CLIN SAO JUDAS TADEU SC LTDA</v>
      </c>
      <c r="C3170" s="54" t="s">
        <v>3</v>
      </c>
      <c r="D3170" s="54">
        <v>97490</v>
      </c>
      <c r="E3170" s="51">
        <v>715.8</v>
      </c>
      <c r="F3170" s="48"/>
      <c r="G3170" s="51"/>
      <c r="H3170" s="52"/>
      <c r="I3170" s="53">
        <v>46155</v>
      </c>
    </row>
    <row r="3171" spans="1:9">
      <c r="A3171" s="47">
        <v>2702</v>
      </c>
      <c r="B3171" s="48" t="str">
        <f>IFERROR(VLOOKUP(A3171,CLIENTES!A:E,2,0),"CADASTRAR CLIENTE")</f>
        <v>SANTA CASA DE MISER. DE TAQUARITUBA</v>
      </c>
      <c r="C3171" s="54" t="s">
        <v>3</v>
      </c>
      <c r="D3171" s="54">
        <v>97381</v>
      </c>
      <c r="E3171" s="51">
        <v>550</v>
      </c>
      <c r="F3171" s="48"/>
      <c r="G3171" s="51"/>
      <c r="H3171" s="52"/>
      <c r="I3171" s="53">
        <v>46155</v>
      </c>
    </row>
    <row r="3172" spans="1:9">
      <c r="A3172" s="47">
        <v>500873</v>
      </c>
      <c r="B3172" s="48" t="str">
        <f>IFERROR(VLOOKUP(A3172,CLIENTES!A:E,2,0),"CADASTRAR CLIENTE")</f>
        <v>HOUPILLARD SERVICOS VETERINARIOS LTDA.</v>
      </c>
      <c r="C3172" s="54" t="s">
        <v>3</v>
      </c>
      <c r="D3172" s="54" t="s">
        <v>1042</v>
      </c>
      <c r="E3172" s="51">
        <v>481.62</v>
      </c>
      <c r="F3172" s="48"/>
      <c r="G3172" s="51"/>
      <c r="H3172" s="52"/>
      <c r="I3172" s="53">
        <v>46155</v>
      </c>
    </row>
    <row r="3173" spans="1:9">
      <c r="A3173" s="47">
        <v>412</v>
      </c>
      <c r="B3173" s="48" t="str">
        <f>IFERROR(VLOOKUP(A3173,CLIENTES!A:E,2,0),"CADASTRAR CLIENTE")</f>
        <v>LAB.ANAL.CLIN.SAO MANUEL SC LTDA.</v>
      </c>
      <c r="C3173" s="54" t="s">
        <v>3</v>
      </c>
      <c r="D3173" s="54">
        <v>97515</v>
      </c>
      <c r="E3173" s="51">
        <v>720.46</v>
      </c>
      <c r="F3173" s="48"/>
      <c r="G3173" s="51"/>
      <c r="H3173" s="52"/>
      <c r="I3173" s="53">
        <v>46155</v>
      </c>
    </row>
    <row r="3174" spans="1:9">
      <c r="A3174" s="47">
        <v>708</v>
      </c>
      <c r="B3174" s="48" t="str">
        <f>IFERROR(VLOOKUP(A3174,CLIENTES!A:E,2,0),"CADASTRAR CLIENTE")</f>
        <v>IMEDI INST.MEDICO DE PAT.E DIAGNOSTICO SC LTDA.</v>
      </c>
      <c r="C3174" s="54" t="s">
        <v>3</v>
      </c>
      <c r="D3174" s="54">
        <v>97376</v>
      </c>
      <c r="E3174" s="51">
        <v>2449.8000000000002</v>
      </c>
      <c r="F3174" s="48"/>
      <c r="G3174" s="51"/>
      <c r="H3174" s="52"/>
      <c r="I3174" s="53">
        <v>46156</v>
      </c>
    </row>
    <row r="3175" spans="1:9">
      <c r="A3175" s="47">
        <v>1026</v>
      </c>
      <c r="B3175" s="48" t="str">
        <f>IFERROR(VLOOKUP(A3175,CLIENTES!A:E,2,0),"CADASTRAR CLIENTE")</f>
        <v>LABSC SERVICOS LABORATORIAIS LTDA</v>
      </c>
      <c r="C3175" s="54" t="s">
        <v>3</v>
      </c>
      <c r="D3175" s="54">
        <v>97563</v>
      </c>
      <c r="E3175" s="88">
        <v>1575.8</v>
      </c>
      <c r="F3175" s="48"/>
      <c r="G3175" s="51"/>
      <c r="H3175" s="52"/>
      <c r="I3175" s="53">
        <v>46156</v>
      </c>
    </row>
    <row r="3176" spans="1:9">
      <c r="A3176" s="47">
        <v>500243</v>
      </c>
      <c r="B3176" s="48" t="str">
        <f>IFERROR(VLOOKUP(A3176,CLIENTES!A:E,2,0),"CADASTRAR CLIENTE")</f>
        <v>UNIMED DE IBITINGA COOPERATIVA DE TRABALHO MEDICO</v>
      </c>
      <c r="C3176" s="54" t="s">
        <v>3</v>
      </c>
      <c r="D3176" s="54">
        <v>97548</v>
      </c>
      <c r="E3176" s="51">
        <v>809.3</v>
      </c>
      <c r="F3176" s="48"/>
      <c r="G3176" s="51"/>
      <c r="H3176" s="52"/>
      <c r="I3176" s="53">
        <v>46156</v>
      </c>
    </row>
    <row r="3177" spans="1:9">
      <c r="A3177" s="47">
        <v>761</v>
      </c>
      <c r="B3177" s="48" t="str">
        <f>IFERROR(VLOOKUP(A3177,CLIENTES!A:E,2,0),"CADASTRAR CLIENTE")</f>
        <v>EXAME CENTRO DIAG.M.ARACATUBA SC LTDA.</v>
      </c>
      <c r="C3177" s="54" t="s">
        <v>3</v>
      </c>
      <c r="D3177" s="54" t="s">
        <v>1043</v>
      </c>
      <c r="E3177" s="88">
        <v>14566.45</v>
      </c>
      <c r="F3177" s="48"/>
      <c r="G3177" s="51"/>
      <c r="H3177" s="52"/>
      <c r="I3177" s="53">
        <v>46156</v>
      </c>
    </row>
    <row r="3178" spans="1:9">
      <c r="A3178" s="47">
        <v>2199</v>
      </c>
      <c r="B3178" s="48" t="str">
        <f>IFERROR(VLOOKUP(A3178,CLIENTES!A:E,2,0),"CADASTRAR CLIENTE")</f>
        <v>SOCIEDADE EDUCACIONAL UBERABENSE</v>
      </c>
      <c r="C3178" s="54" t="s">
        <v>3</v>
      </c>
      <c r="D3178" s="54" t="s">
        <v>1044</v>
      </c>
      <c r="E3178" s="51">
        <v>1323.7</v>
      </c>
      <c r="F3178" s="48"/>
      <c r="G3178" s="51"/>
      <c r="H3178" s="52"/>
      <c r="I3178" s="53">
        <v>46157</v>
      </c>
    </row>
    <row r="3179" spans="1:9">
      <c r="A3179" s="47">
        <v>784</v>
      </c>
      <c r="B3179" s="48" t="str">
        <f>IFERROR(VLOOKUP(A3179,CLIENTES!A:E,2,0),"CADASTRAR CLIENTE")</f>
        <v>LAB.ANAL.CLIN. ALBERT SABIN SC LTDA.</v>
      </c>
      <c r="C3179" s="54" t="s">
        <v>3</v>
      </c>
      <c r="D3179" s="54">
        <v>97625</v>
      </c>
      <c r="E3179" s="88">
        <v>2520</v>
      </c>
      <c r="F3179" s="48"/>
      <c r="G3179" s="51"/>
      <c r="H3179" s="52"/>
      <c r="I3179" s="53">
        <v>46160</v>
      </c>
    </row>
    <row r="3180" spans="1:9">
      <c r="A3180" s="47">
        <v>500149</v>
      </c>
      <c r="B3180" s="48" t="str">
        <f>IFERROR(VLOOKUP(A3180,CLIENTES!A:E,2,0),"CADASTRAR CLIENTE")</f>
        <v>SAO ROQUE MEDICINA DIAGNOSTICA LTDA</v>
      </c>
      <c r="C3180" s="54" t="s">
        <v>3</v>
      </c>
      <c r="D3180" s="54">
        <v>97512</v>
      </c>
      <c r="E3180" s="51">
        <v>1234.42</v>
      </c>
      <c r="F3180" s="48"/>
      <c r="G3180" s="51"/>
      <c r="H3180" s="52"/>
      <c r="I3180" s="53">
        <v>46160</v>
      </c>
    </row>
    <row r="3181" spans="1:9">
      <c r="A3181" s="47">
        <v>475</v>
      </c>
      <c r="B3181" s="48" t="str">
        <f>IFERROR(VLOOKUP(A3181,CLIENTES!A:E,2,0),"CADASTRAR CLIENTE")</f>
        <v>LABORATORIO DE ANALISES CLINICAS SRC LTDA</v>
      </c>
      <c r="C3181" s="54" t="s">
        <v>2</v>
      </c>
      <c r="D3181" s="54" t="s">
        <v>1045</v>
      </c>
      <c r="E3181" s="51">
        <v>18522.82</v>
      </c>
      <c r="F3181" s="48"/>
      <c r="G3181" s="51"/>
      <c r="H3181" s="52"/>
      <c r="I3181" s="53">
        <v>46161</v>
      </c>
    </row>
    <row r="3182" spans="1:9">
      <c r="A3182" s="47">
        <v>1122</v>
      </c>
      <c r="B3182" s="48" t="str">
        <f>IFERROR(VLOOKUP(A3182,CLIENTES!A:E,2,0),"CADASTRAR CLIENTE")</f>
        <v>FUNDEPAG</v>
      </c>
      <c r="C3182" s="54" t="s">
        <v>3</v>
      </c>
      <c r="D3182" s="54">
        <v>96702</v>
      </c>
      <c r="E3182" s="51">
        <v>2361.38</v>
      </c>
      <c r="F3182" s="48"/>
      <c r="G3182" s="51"/>
      <c r="H3182" s="52"/>
      <c r="I3182" s="53">
        <v>46161</v>
      </c>
    </row>
    <row r="3183" spans="1:9">
      <c r="A3183" s="47">
        <v>620</v>
      </c>
      <c r="B3183" s="48" t="str">
        <f>IFERROR(VLOOKUP(A3183,CLIENTES!A:E,2,0),"CADASTRAR CLIENTE")</f>
        <v>LAB.SAO PAULO DE ANAL.CLIN.SC LTDA.</v>
      </c>
      <c r="C3183" s="54" t="s">
        <v>3</v>
      </c>
      <c r="D3183" s="54">
        <v>97656</v>
      </c>
      <c r="E3183" s="51">
        <v>959.35</v>
      </c>
      <c r="F3183" s="48"/>
      <c r="G3183" s="51"/>
      <c r="H3183" s="52"/>
      <c r="I3183" s="53">
        <v>46161</v>
      </c>
    </row>
    <row r="3184" spans="1:9">
      <c r="A3184" s="47">
        <v>2199</v>
      </c>
      <c r="B3184" s="48" t="str">
        <f>IFERROR(VLOOKUP(A3184,CLIENTES!A:E,2,0),"CADASTRAR CLIENTE")</f>
        <v>SOCIEDADE EDUCACIONAL UBERABENSE</v>
      </c>
      <c r="C3184" s="54" t="s">
        <v>3</v>
      </c>
      <c r="D3184" s="54">
        <v>97684</v>
      </c>
      <c r="E3184" s="88">
        <v>3105.45</v>
      </c>
      <c r="F3184" s="48"/>
      <c r="G3184" s="51"/>
      <c r="H3184" s="52"/>
      <c r="I3184" s="53">
        <v>46161</v>
      </c>
    </row>
    <row r="3185" spans="1:9">
      <c r="A3185" s="47">
        <v>762</v>
      </c>
      <c r="B3185" s="48" t="str">
        <f>IFERROR(VLOOKUP(A3185,CLIENTES!A:E,2,0),"CADASTRAR CLIENTE")</f>
        <v>STA. CASA MISERICORDIA DE ARACATUBA</v>
      </c>
      <c r="C3185" s="54" t="s">
        <v>3</v>
      </c>
      <c r="D3185" s="54">
        <v>97679</v>
      </c>
      <c r="E3185" s="88">
        <v>1641</v>
      </c>
      <c r="F3185" s="48"/>
      <c r="G3185" s="51"/>
      <c r="H3185" s="52"/>
      <c r="I3185" s="53">
        <v>46161</v>
      </c>
    </row>
    <row r="3186" spans="1:9">
      <c r="A3186" s="47">
        <v>2397</v>
      </c>
      <c r="B3186" s="48" t="str">
        <f>IFERROR(VLOOKUP(A3186,CLIENTES!A:E,2,0),"CADASTRAR CLIENTE")</f>
        <v>LAB ANAL CLINICAS SANTA RITA S/C LTDA</v>
      </c>
      <c r="C3186" s="54" t="s">
        <v>3</v>
      </c>
      <c r="D3186" s="54">
        <v>97620</v>
      </c>
      <c r="E3186" s="51">
        <v>1335.3</v>
      </c>
      <c r="F3186" s="48"/>
      <c r="G3186" s="51"/>
      <c r="H3186" s="52"/>
      <c r="I3186" s="53">
        <v>46161</v>
      </c>
    </row>
    <row r="3187" spans="1:9">
      <c r="A3187" s="47">
        <v>1616</v>
      </c>
      <c r="B3187" s="48" t="str">
        <f>IFERROR(VLOOKUP(A3187,CLIENTES!A:E,2,0),"CADASTRAR CLIENTE")</f>
        <v>NOVO HORIZONTE LAB.ANAL.CLIN.S/C LTDA.</v>
      </c>
      <c r="C3187" s="54" t="s">
        <v>3</v>
      </c>
      <c r="D3187" s="54">
        <v>103205</v>
      </c>
      <c r="E3187" s="51">
        <v>311</v>
      </c>
      <c r="F3187" s="48"/>
      <c r="G3187" s="51"/>
      <c r="H3187" s="52"/>
      <c r="I3187" s="53">
        <v>46161</v>
      </c>
    </row>
    <row r="3188" spans="1:9">
      <c r="A3188" s="47">
        <v>906</v>
      </c>
      <c r="B3188" s="48" t="str">
        <f>IFERROR(VLOOKUP(A3188,CLIENTES!A:E,2,0),"CADASTRAR CLIENTE")</f>
        <v>LABORATORIO ANAL. CLIN. DESCALVADO LTDA</v>
      </c>
      <c r="C3188" s="54" t="s">
        <v>3</v>
      </c>
      <c r="D3188" s="54">
        <v>97692</v>
      </c>
      <c r="E3188" s="51">
        <v>849.5</v>
      </c>
      <c r="F3188" s="48"/>
      <c r="G3188" s="51"/>
      <c r="H3188" s="52"/>
      <c r="I3188" s="53">
        <v>46161</v>
      </c>
    </row>
    <row r="3189" spans="1:9">
      <c r="A3189" s="47">
        <v>1164</v>
      </c>
      <c r="B3189" s="48" t="str">
        <f>IFERROR(VLOOKUP(A3189,CLIENTES!A:E,2,0),"CADASTRAR CLIENTE")</f>
        <v>LAB. ANAL. CLIN. SAO LOURENCO S/C LTDA</v>
      </c>
      <c r="C3189" s="54" t="s">
        <v>3</v>
      </c>
      <c r="D3189" s="54" t="s">
        <v>1047</v>
      </c>
      <c r="E3189" s="51">
        <v>1356.79</v>
      </c>
      <c r="F3189" s="48"/>
      <c r="G3189" s="51"/>
      <c r="H3189" s="52"/>
      <c r="I3189" s="53">
        <v>46162</v>
      </c>
    </row>
    <row r="3190" spans="1:9">
      <c r="A3190" s="47">
        <v>708</v>
      </c>
      <c r="B3190" s="48" t="str">
        <f>IFERROR(VLOOKUP(A3190,CLIENTES!A:E,2,0),"CADASTRAR CLIENTE")</f>
        <v>IMEDI INST.MEDICO DE PAT.E DIAGNOSTICO SC LTDA.</v>
      </c>
      <c r="C3190" s="54" t="s">
        <v>2</v>
      </c>
      <c r="D3190" s="54">
        <v>97713</v>
      </c>
      <c r="E3190" s="88">
        <v>4740</v>
      </c>
      <c r="F3190" s="48"/>
      <c r="G3190" s="51"/>
      <c r="H3190" s="52"/>
      <c r="I3190" s="53">
        <v>46162</v>
      </c>
    </row>
    <row r="3191" spans="1:9">
      <c r="A3191" s="47">
        <v>50576</v>
      </c>
      <c r="B3191" s="48" t="str">
        <f>IFERROR(VLOOKUP(A3191,CLIENTES!A:E,2,0),"CADASTRAR CLIENTE")</f>
        <v>ANDRIAO CANEPPA E SILVA LTDA ME</v>
      </c>
      <c r="C3191" s="54" t="s">
        <v>3</v>
      </c>
      <c r="D3191" s="54" t="s">
        <v>1048</v>
      </c>
      <c r="E3191" s="51">
        <v>867.1</v>
      </c>
      <c r="F3191" s="48"/>
      <c r="G3191" s="51"/>
      <c r="H3191" s="52"/>
      <c r="I3191" s="53">
        <v>46162</v>
      </c>
    </row>
    <row r="3192" spans="1:9">
      <c r="A3192" s="47">
        <v>1240</v>
      </c>
      <c r="B3192" s="48" t="str">
        <f>IFERROR(VLOOKUP(A3192,CLIENTES!A:E,2,0),"CADASTRAR CLIENTE")</f>
        <v>MONICA VIEIRA DE CAMPOS REBELO-ME</v>
      </c>
      <c r="C3192" s="54" t="s">
        <v>3</v>
      </c>
      <c r="D3192" s="54">
        <v>97404</v>
      </c>
      <c r="E3192" s="51">
        <v>1075.5</v>
      </c>
      <c r="F3192" s="48"/>
      <c r="G3192" s="51"/>
      <c r="H3192" s="52"/>
      <c r="I3192" s="53">
        <v>46162</v>
      </c>
    </row>
    <row r="3193" spans="1:9">
      <c r="A3193" s="47">
        <v>731</v>
      </c>
      <c r="B3193" s="48" t="str">
        <f>IFERROR(VLOOKUP(A3193,CLIENTES!A:E,2,0),"CADASTRAR CLIENTE")</f>
        <v>UNILAB LABORATORIO ANALISES CLINICAS SANTA FE DO SUL LTDA</v>
      </c>
      <c r="C3193" s="54" t="s">
        <v>3</v>
      </c>
      <c r="D3193" s="54">
        <v>97726</v>
      </c>
      <c r="E3193" s="51">
        <v>83.25</v>
      </c>
      <c r="F3193" s="48"/>
      <c r="G3193" s="51"/>
      <c r="H3193" s="52"/>
      <c r="I3193" s="53">
        <v>46162</v>
      </c>
    </row>
    <row r="3194" spans="1:9">
      <c r="A3194" s="47">
        <v>1989</v>
      </c>
      <c r="B3194" s="48" t="str">
        <f>IFERROR(VLOOKUP(A3194,CLIENTES!A:E,2,0),"CADASTRAR CLIENTE")</f>
        <v>SAO FRANCISCO ANAL. CLIN.</v>
      </c>
      <c r="C3194" s="54" t="s">
        <v>3</v>
      </c>
      <c r="D3194" s="54">
        <v>97101</v>
      </c>
      <c r="E3194" s="51">
        <v>616</v>
      </c>
      <c r="F3194" s="48"/>
      <c r="G3194" s="51"/>
      <c r="H3194" s="52"/>
      <c r="I3194" s="53">
        <v>46162</v>
      </c>
    </row>
    <row r="3195" spans="1:9">
      <c r="A3195" s="47">
        <v>516</v>
      </c>
      <c r="B3195" s="48" t="str">
        <f>IFERROR(VLOOKUP(A3195,CLIENTES!A:E,2,0),"CADASTRAR CLIENTE")</f>
        <v>TECNOLAB PATOLOGIA CLINICA S/C LTDA</v>
      </c>
      <c r="C3195" s="54" t="s">
        <v>3</v>
      </c>
      <c r="D3195" s="54">
        <v>96925</v>
      </c>
      <c r="E3195" s="88">
        <v>10278.4</v>
      </c>
      <c r="F3195" s="48"/>
      <c r="G3195" s="51"/>
      <c r="H3195" s="52"/>
      <c r="I3195" s="53">
        <v>46162</v>
      </c>
    </row>
    <row r="3196" spans="1:9">
      <c r="A3196" s="47">
        <v>500243</v>
      </c>
      <c r="B3196" s="48" t="str">
        <f>IFERROR(VLOOKUP(A3196,CLIENTES!A:E,2,0),"CADASTRAR CLIENTE")</f>
        <v>UNIMED DE IBITINGA COOPERATIVA DE TRABALHO MEDICO</v>
      </c>
      <c r="C3196" s="54" t="s">
        <v>3</v>
      </c>
      <c r="D3196" s="54">
        <v>97748</v>
      </c>
      <c r="E3196" s="51">
        <v>3019.23</v>
      </c>
      <c r="F3196" s="48"/>
      <c r="G3196" s="51"/>
      <c r="H3196" s="52"/>
      <c r="I3196" s="53">
        <v>46163</v>
      </c>
    </row>
    <row r="3197" spans="1:9">
      <c r="A3197" s="47">
        <v>50554</v>
      </c>
      <c r="B3197" s="48" t="str">
        <f>IFERROR(VLOOKUP(A3197,CLIENTES!A:E,2,0),"CADASTRAR CLIENTE")</f>
        <v>SAO ROQUE MEDICINA DIAGNOSTICA</v>
      </c>
      <c r="C3197" s="54" t="s">
        <v>3</v>
      </c>
      <c r="D3197" s="54">
        <v>97100</v>
      </c>
      <c r="E3197" s="51">
        <v>189</v>
      </c>
      <c r="F3197" s="48"/>
      <c r="G3197" s="51"/>
      <c r="H3197" s="52"/>
      <c r="I3197" s="53">
        <v>46163</v>
      </c>
    </row>
    <row r="3198" spans="1:9">
      <c r="A3198" s="47">
        <v>1533</v>
      </c>
      <c r="B3198" s="48" t="str">
        <f>IFERROR(VLOOKUP(A3198,CLIENTES!A:E,2,0),"CADASTRAR CLIENTE")</f>
        <v>LABORATORIO BIOANALISE DIAGNOSTICO LTDA</v>
      </c>
      <c r="C3198" s="54" t="s">
        <v>3</v>
      </c>
      <c r="D3198" s="54">
        <v>97791</v>
      </c>
      <c r="E3198" s="88">
        <v>1032.8</v>
      </c>
      <c r="F3198" s="48"/>
      <c r="G3198" s="51"/>
      <c r="H3198" s="52"/>
      <c r="I3198" s="53">
        <v>46163</v>
      </c>
    </row>
    <row r="3199" spans="1:9">
      <c r="A3199" s="47">
        <v>501054</v>
      </c>
      <c r="B3199" s="48" t="str">
        <f>IFERROR(VLOOKUP(A3199,CLIENTES!A:E,2,0),"CADASTRAR CLIENTE")</f>
        <v>EASYMED SERVICOS MEDICOS LTDA</v>
      </c>
      <c r="C3199" s="54" t="s">
        <v>3</v>
      </c>
      <c r="D3199" s="54">
        <v>97163</v>
      </c>
      <c r="E3199" s="51">
        <v>452.7</v>
      </c>
      <c r="F3199" s="48"/>
      <c r="G3199" s="51"/>
      <c r="H3199" s="52"/>
      <c r="I3199" s="53">
        <v>46167</v>
      </c>
    </row>
    <row r="3200" spans="1:9">
      <c r="A3200" s="47">
        <v>501079</v>
      </c>
      <c r="B3200" s="48" t="str">
        <f>IFERROR(VLOOKUP(A3200,CLIENTES!A:E,2,0),"CADASTRAR CLIENTE")</f>
        <v>EASYMED SERVICOS MEDICOS LTDA</v>
      </c>
      <c r="C3200" s="54" t="s">
        <v>3</v>
      </c>
      <c r="D3200" s="54">
        <v>97186</v>
      </c>
      <c r="E3200" s="51">
        <v>332.7</v>
      </c>
      <c r="F3200" s="48"/>
      <c r="G3200" s="51"/>
      <c r="H3200" s="52"/>
      <c r="I3200" s="53">
        <v>46167</v>
      </c>
    </row>
    <row r="3201" spans="1:9">
      <c r="A3201" s="47">
        <v>501078</v>
      </c>
      <c r="B3201" s="48" t="str">
        <f>IFERROR(VLOOKUP(A3201,CLIENTES!A:E,2,0),"CADASTRAR CLIENTE")</f>
        <v>EASYMED SERVICOS MEDICOS LTDA</v>
      </c>
      <c r="C3201" s="54" t="s">
        <v>3</v>
      </c>
      <c r="D3201" s="54">
        <v>97194</v>
      </c>
      <c r="E3201" s="51">
        <v>111.9</v>
      </c>
      <c r="F3201" s="48"/>
      <c r="G3201" s="51"/>
      <c r="H3201" s="52"/>
      <c r="I3201" s="53">
        <v>46167</v>
      </c>
    </row>
    <row r="3202" spans="1:9">
      <c r="A3202" s="47">
        <v>1971</v>
      </c>
      <c r="B3202" s="48" t="str">
        <f>IFERROR(VLOOKUP(A3202,CLIENTES!A:E,2,0),"CADASTRAR CLIENTE")</f>
        <v>LABORATORIO POPULAR LAB 7 LTDA</v>
      </c>
      <c r="C3202" s="54" t="s">
        <v>3</v>
      </c>
      <c r="D3202" s="54">
        <v>97809</v>
      </c>
      <c r="E3202" s="51">
        <v>778</v>
      </c>
      <c r="F3202" s="48"/>
      <c r="G3202" s="51"/>
      <c r="H3202" s="52"/>
      <c r="I3202" s="53">
        <v>46167</v>
      </c>
    </row>
    <row r="3203" spans="1:9">
      <c r="A3203" s="47">
        <v>474</v>
      </c>
      <c r="B3203" s="48" t="str">
        <f>IFERROR(VLOOKUP(A3203,CLIENTES!A:E,2,0),"CADASTRAR CLIENTE")</f>
        <v>LABORATI LAB. ANAL. CLIN. TIETE S/C LTDA.</v>
      </c>
      <c r="C3203" s="54" t="s">
        <v>3</v>
      </c>
      <c r="D3203" s="54" t="s">
        <v>1049</v>
      </c>
      <c r="E3203" s="51">
        <v>360.05</v>
      </c>
      <c r="F3203" s="48"/>
      <c r="G3203" s="51"/>
      <c r="H3203" s="52"/>
      <c r="I3203" s="53">
        <v>46167</v>
      </c>
    </row>
    <row r="3204" spans="1:9">
      <c r="A3204" s="47">
        <v>823</v>
      </c>
      <c r="B3204" s="48" t="str">
        <f>IFERROR(VLOOKUP(A3204,CLIENTES!A:E,2,0),"CADASTRAR CLIENTE")</f>
        <v>SANCHES x SANCHES S/C LTDA</v>
      </c>
      <c r="C3204" s="54" t="s">
        <v>3</v>
      </c>
      <c r="D3204" s="54" t="s">
        <v>1050</v>
      </c>
      <c r="E3204" s="51">
        <v>6631.98</v>
      </c>
      <c r="F3204" s="48"/>
      <c r="G3204" s="51"/>
      <c r="H3204" s="52"/>
      <c r="I3204" s="53">
        <v>46167</v>
      </c>
    </row>
    <row r="3205" spans="1:9">
      <c r="A3205" s="47">
        <v>690</v>
      </c>
      <c r="B3205" s="48" t="str">
        <f>IFERROR(VLOOKUP(A3205,CLIENTES!A:E,2,0),"CADASTRAR CLIENTE")</f>
        <v>SAO ROQUE MEDICINA DIAGNOSTICA LTDA EPP</v>
      </c>
      <c r="C3205" s="54" t="s">
        <v>3</v>
      </c>
      <c r="D3205" s="54">
        <v>97694</v>
      </c>
      <c r="E3205" s="51">
        <v>880</v>
      </c>
      <c r="F3205" s="48"/>
      <c r="G3205" s="51"/>
      <c r="H3205" s="52"/>
      <c r="I3205" s="53">
        <v>46167</v>
      </c>
    </row>
    <row r="3206" spans="1:9">
      <c r="A3206" s="47">
        <v>761</v>
      </c>
      <c r="B3206" s="48" t="str">
        <f>IFERROR(VLOOKUP(A3206,CLIENTES!A:E,2,0),"CADASTRAR CLIENTE")</f>
        <v>EXAME CENTRO DIAG.M.ARACATUBA SC LTDA.</v>
      </c>
      <c r="C3206" s="54" t="s">
        <v>3</v>
      </c>
      <c r="D3206" s="54" t="s">
        <v>1051</v>
      </c>
      <c r="E3206" s="51">
        <v>2906.25</v>
      </c>
      <c r="F3206" s="48"/>
      <c r="G3206" s="51"/>
      <c r="H3206" s="52"/>
      <c r="I3206" s="53">
        <v>46167</v>
      </c>
    </row>
    <row r="3207" spans="1:9">
      <c r="A3207" s="47">
        <v>311</v>
      </c>
      <c r="B3207" s="48" t="str">
        <f>IFERROR(VLOOKUP(A3207,CLIENTES!A:E,2,0),"CADASTRAR CLIENTE")</f>
        <v>CENTRO DE ANAL.CLIN. UNILAB  SC LTDA.</v>
      </c>
      <c r="C3207" s="54" t="s">
        <v>3</v>
      </c>
      <c r="D3207" s="54">
        <v>97853</v>
      </c>
      <c r="E3207" s="88">
        <v>7957.85</v>
      </c>
      <c r="F3207" s="48"/>
      <c r="G3207" s="51"/>
      <c r="H3207" s="52"/>
      <c r="I3207" s="53">
        <v>46167</v>
      </c>
    </row>
    <row r="3208" spans="1:9">
      <c r="A3208" s="47">
        <v>500845</v>
      </c>
      <c r="B3208" s="48" t="str">
        <f>IFERROR(VLOOKUP(A3208,CLIENTES!A:E,2,0),"CADASTRAR CLIENTE")</f>
        <v>REDE D'OR SAO LUIZ S.A.</v>
      </c>
      <c r="C3208" s="54" t="s">
        <v>3</v>
      </c>
      <c r="D3208" s="54">
        <v>97859</v>
      </c>
      <c r="E3208" s="88">
        <v>9400</v>
      </c>
      <c r="F3208" s="48"/>
      <c r="G3208" s="51"/>
      <c r="H3208" s="52"/>
      <c r="I3208" s="53">
        <v>46167</v>
      </c>
    </row>
    <row r="3209" spans="1:9">
      <c r="A3209" s="47">
        <v>2752</v>
      </c>
      <c r="B3209" s="48" t="str">
        <f>IFERROR(VLOOKUP(A3209,CLIENTES!A:E,2,0),"CADASTRAR CLIENTE")</f>
        <v>ROTOLI CLINICA VETERINARIA LTDA ME</v>
      </c>
      <c r="C3209" s="54" t="s">
        <v>3</v>
      </c>
      <c r="D3209" s="54">
        <v>97833</v>
      </c>
      <c r="E3209" s="88">
        <v>407.55</v>
      </c>
      <c r="F3209" s="48"/>
      <c r="G3209" s="51"/>
      <c r="H3209" s="52"/>
      <c r="I3209" s="53">
        <v>46167</v>
      </c>
    </row>
    <row r="3210" spans="1:9">
      <c r="A3210" s="47">
        <v>3190</v>
      </c>
      <c r="B3210" s="48" t="str">
        <f>IFERROR(VLOOKUP(A3210,CLIENTES!A:E,2,0),"CADASTRAR CLIENTE")</f>
        <v>C D A CENTRO DE DIAGNOSTICO VETERINARIO</v>
      </c>
      <c r="C3210" s="54" t="s">
        <v>3</v>
      </c>
      <c r="D3210" s="54">
        <v>97222</v>
      </c>
      <c r="E3210" s="88">
        <v>1442.8</v>
      </c>
      <c r="F3210" s="48"/>
      <c r="G3210" s="51"/>
      <c r="H3210" s="52"/>
      <c r="I3210" s="53">
        <v>46168</v>
      </c>
    </row>
    <row r="3211" spans="1:9">
      <c r="A3211" s="47">
        <v>501079</v>
      </c>
      <c r="B3211" s="48" t="str">
        <f>IFERROR(VLOOKUP(A3211,CLIENTES!A:E,2,0),"CADASTRAR CLIENTE")</f>
        <v>EASYMED SERVICOS MEDICOS LTDA</v>
      </c>
      <c r="C3211" s="54" t="s">
        <v>3</v>
      </c>
      <c r="D3211" s="54">
        <v>97186</v>
      </c>
      <c r="E3211" s="88">
        <v>592.20000000000005</v>
      </c>
      <c r="F3211" s="48"/>
      <c r="G3211" s="51"/>
      <c r="H3211" s="52"/>
      <c r="I3211" s="53">
        <v>46168</v>
      </c>
    </row>
    <row r="3212" spans="1:9">
      <c r="A3212" s="47">
        <v>2702</v>
      </c>
      <c r="B3212" s="48" t="str">
        <f>IFERROR(VLOOKUP(A3212,CLIENTES!A:E,2,0),"CADASTRAR CLIENTE")</f>
        <v>SANTA CASA DE MISER. DE TAQUARITUBA</v>
      </c>
      <c r="C3212" s="54" t="s">
        <v>3</v>
      </c>
      <c r="D3212" s="54">
        <v>97832</v>
      </c>
      <c r="E3212" s="88">
        <v>1001</v>
      </c>
      <c r="F3212" s="48"/>
      <c r="G3212" s="51"/>
      <c r="H3212" s="52"/>
      <c r="I3212" s="53">
        <v>46168</v>
      </c>
    </row>
    <row r="3213" spans="1:9">
      <c r="A3213" s="47">
        <v>432</v>
      </c>
      <c r="B3213" s="48" t="str">
        <f>IFERROR(VLOOKUP(A3213,CLIENTES!A:E,2,0),"CADASTRAR CLIENTE")</f>
        <v>LABORATORIO PASTEUR HEMATOLOGIA E MICROBIOLOGIA S/S LTDA</v>
      </c>
      <c r="C3213" s="54" t="s">
        <v>3</v>
      </c>
      <c r="D3213" s="54" t="s">
        <v>1053</v>
      </c>
      <c r="E3213" s="51">
        <v>981.15</v>
      </c>
      <c r="F3213" s="48"/>
      <c r="G3213" s="51"/>
      <c r="H3213" s="52"/>
      <c r="I3213" s="53">
        <v>46168</v>
      </c>
    </row>
    <row r="3214" spans="1:9">
      <c r="A3214" s="47">
        <v>463</v>
      </c>
      <c r="B3214" s="48" t="str">
        <f>IFERROR(VLOOKUP(A3214,CLIENTES!A:E,2,0),"CADASTRAR CLIENTE")</f>
        <v>MASUDA &amp; MASUDA LABORATORIO CLINICO LTDA</v>
      </c>
      <c r="C3214" s="54" t="s">
        <v>3</v>
      </c>
      <c r="D3214" s="54">
        <v>97900</v>
      </c>
      <c r="E3214" s="51">
        <v>544.9</v>
      </c>
      <c r="F3214" s="48"/>
      <c r="G3214" s="51"/>
      <c r="H3214" s="52"/>
      <c r="I3214" s="53">
        <v>46168</v>
      </c>
    </row>
    <row r="3215" spans="1:9">
      <c r="A3215" s="47">
        <v>50861</v>
      </c>
      <c r="B3215" s="48" t="str">
        <f>IFERROR(VLOOKUP(A3215,CLIENTES!A:E,2,0),"CADASTRAR CLIENTE")</f>
        <v>JAQUELINE MARTINS RUIZ LAB DE ANALISES CLINICAS</v>
      </c>
      <c r="C3215" s="54" t="s">
        <v>3</v>
      </c>
      <c r="D3215" s="54">
        <v>97902</v>
      </c>
      <c r="E3215" s="51">
        <v>374.55</v>
      </c>
      <c r="F3215" s="48"/>
      <c r="G3215" s="51"/>
      <c r="H3215" s="52"/>
      <c r="I3215" s="53">
        <v>46168</v>
      </c>
    </row>
    <row r="3216" spans="1:9">
      <c r="A3216" s="47">
        <v>3557</v>
      </c>
      <c r="B3216" s="48" t="str">
        <f>IFERROR(VLOOKUP(A3216,CLIENTES!A:E,2,0),"CADASTRAR CLIENTE")</f>
        <v>ASSOCIACAO BENEFICIENTE NOSSA SENHORA DE NAZARE</v>
      </c>
      <c r="C3216" s="54" t="s">
        <v>3</v>
      </c>
      <c r="D3216" s="54">
        <v>97931</v>
      </c>
      <c r="E3216" s="51">
        <v>7350</v>
      </c>
      <c r="F3216" s="48"/>
      <c r="G3216" s="51"/>
      <c r="H3216" s="52"/>
      <c r="I3216" s="53">
        <v>46168</v>
      </c>
    </row>
    <row r="3217" spans="1:9">
      <c r="A3217" s="47">
        <v>3105</v>
      </c>
      <c r="B3217" s="48" t="str">
        <f>IFERROR(VLOOKUP(A3217,CLIENTES!A:E,2,0),"CADASTRAR CLIENTE")</f>
        <v>BATISTA &amp; BATISTA ANALISES CLINICAS LTDA</v>
      </c>
      <c r="C3217" s="54" t="s">
        <v>3</v>
      </c>
      <c r="D3217" s="54">
        <v>97348</v>
      </c>
      <c r="E3217" s="88"/>
      <c r="F3217" s="48"/>
      <c r="G3217" s="51">
        <v>4690</v>
      </c>
      <c r="H3217" s="52"/>
      <c r="I3217" s="53">
        <v>46169</v>
      </c>
    </row>
    <row r="3218" spans="1:9">
      <c r="A3218" s="47">
        <v>412</v>
      </c>
      <c r="B3218" s="48" t="str">
        <f>IFERROR(VLOOKUP(A3218,CLIENTES!A:E,2,0),"CADASTRAR CLIENTE")</f>
        <v>LAB.ANAL.CLIN.SAO MANUEL SC LTDA.</v>
      </c>
      <c r="C3218" s="54" t="s">
        <v>3</v>
      </c>
      <c r="D3218" s="54">
        <v>97934</v>
      </c>
      <c r="E3218" s="51">
        <v>1668.26</v>
      </c>
      <c r="F3218" s="48"/>
      <c r="G3218" s="51"/>
      <c r="H3218" s="52"/>
      <c r="I3218" s="53">
        <v>46169</v>
      </c>
    </row>
    <row r="3219" spans="1:9">
      <c r="A3219" s="47">
        <v>705</v>
      </c>
      <c r="B3219" s="48" t="str">
        <f>IFERROR(VLOOKUP(A3219,CLIENTES!A:E,2,0),"CADASTRAR CLIENTE")</f>
        <v>JOAO JOSE SCHIAVUZZO ME</v>
      </c>
      <c r="C3219" s="54" t="s">
        <v>3</v>
      </c>
      <c r="D3219" s="54">
        <v>97956</v>
      </c>
      <c r="E3219" s="51">
        <v>400</v>
      </c>
      <c r="F3219" s="48"/>
      <c r="G3219" s="51"/>
      <c r="H3219" s="52"/>
      <c r="I3219" s="53">
        <v>46169</v>
      </c>
    </row>
    <row r="3220" spans="1:9">
      <c r="A3220" s="47">
        <v>1493</v>
      </c>
      <c r="B3220" s="48" t="str">
        <f>IFERROR(VLOOKUP(A3220,CLIENTES!A:E,2,0),"CADASTRAR CLIENTE")</f>
        <v>CEDIMA  CENTRO DE DIAG MONTE AZUL ANAL CLIN E CIT</v>
      </c>
      <c r="C3220" s="54" t="s">
        <v>816</v>
      </c>
      <c r="D3220" s="54">
        <v>97976</v>
      </c>
      <c r="E3220" s="88">
        <v>787.93</v>
      </c>
      <c r="F3220" s="48"/>
      <c r="G3220" s="51"/>
      <c r="H3220" s="52"/>
      <c r="I3220" s="53">
        <v>46170</v>
      </c>
    </row>
    <row r="3221" spans="1:9">
      <c r="A3221" s="47">
        <v>51175</v>
      </c>
      <c r="B3221" s="48" t="str">
        <f>IFERROR(VLOOKUP(A3221,CLIENTES!A:E,2,0),"CADASTRAR CLIENTE")</f>
        <v>CLINICA MEDICA E ODONTOLOGICA AMOR SAUDE TUPA LTDA</v>
      </c>
      <c r="C3221" s="54" t="s">
        <v>3</v>
      </c>
      <c r="D3221" s="54">
        <v>97977</v>
      </c>
      <c r="E3221" s="51">
        <v>78.5</v>
      </c>
      <c r="F3221" s="48"/>
      <c r="G3221" s="51"/>
      <c r="H3221" s="52"/>
      <c r="I3221" s="53">
        <v>46170</v>
      </c>
    </row>
    <row r="3222" spans="1:9">
      <c r="A3222" s="47">
        <v>572</v>
      </c>
      <c r="B3222" s="48" t="str">
        <f>IFERROR(VLOOKUP(A3222,CLIENTES!A:E,2,0),"CADASTRAR CLIENTE")</f>
        <v>LABORATORIO MULTIANALISES LTDA-ME</v>
      </c>
      <c r="C3222" s="54" t="s">
        <v>3</v>
      </c>
      <c r="D3222" s="54">
        <v>97987</v>
      </c>
      <c r="E3222" s="51">
        <v>710</v>
      </c>
      <c r="F3222" s="48"/>
      <c r="G3222" s="51"/>
      <c r="H3222" s="52"/>
      <c r="I3222" s="53">
        <v>46170</v>
      </c>
    </row>
    <row r="3223" spans="1:9">
      <c r="A3223" s="47">
        <v>1122</v>
      </c>
      <c r="B3223" s="48" t="str">
        <f>IFERROR(VLOOKUP(A3223,CLIENTES!A:E,2,0),"CADASTRAR CLIENTE")</f>
        <v>FUNDEPAG</v>
      </c>
      <c r="C3223" s="54" t="s">
        <v>2</v>
      </c>
      <c r="D3223" s="54">
        <v>97663</v>
      </c>
      <c r="E3223" s="88">
        <v>3237.7</v>
      </c>
      <c r="F3223" s="48"/>
      <c r="G3223" s="51"/>
      <c r="H3223" s="52"/>
      <c r="I3223" s="53">
        <v>46170</v>
      </c>
    </row>
    <row r="3224" spans="1:9">
      <c r="A3224" s="47">
        <v>2911</v>
      </c>
      <c r="B3224" s="48" t="str">
        <f>IFERROR(VLOOKUP(A3224,CLIENTES!A:E,2,0),"CADASTRAR CLIENTE")</f>
        <v>BIOLIFE-LABORATORIO DE ANALISES CLINICAS LTDA</v>
      </c>
      <c r="C3224" s="54" t="s">
        <v>1055</v>
      </c>
      <c r="D3224" s="54" t="s">
        <v>1056</v>
      </c>
      <c r="E3224" s="51">
        <v>2406.86</v>
      </c>
      <c r="F3224" s="48"/>
      <c r="G3224" s="51"/>
      <c r="H3224" s="52"/>
      <c r="I3224" s="53">
        <v>46170</v>
      </c>
    </row>
    <row r="3225" spans="1:9">
      <c r="A3225" s="47">
        <v>3017</v>
      </c>
      <c r="B3225" s="48" t="str">
        <f>IFERROR(VLOOKUP(A3225,CLIENTES!A:E,2,0),"CADASTRAR CLIENTE")</f>
        <v>IMUNOLAB LABORATORIO DE ANALISES CLINICAS LTDA ME</v>
      </c>
      <c r="C3225" s="54" t="s">
        <v>3</v>
      </c>
      <c r="D3225" s="54">
        <v>98009</v>
      </c>
      <c r="E3225" s="51">
        <v>1115.44</v>
      </c>
      <c r="F3225" s="48"/>
      <c r="G3225" s="51"/>
      <c r="H3225" s="52"/>
      <c r="I3225" s="53">
        <v>46170</v>
      </c>
    </row>
    <row r="3226" spans="1:9">
      <c r="A3226" s="47">
        <v>3105</v>
      </c>
      <c r="B3226" s="48" t="str">
        <f>IFERROR(VLOOKUP(A3226,CLIENTES!A:E,2,0),"CADASTRAR CLIENTE")</f>
        <v>BATISTA &amp; BATISTA ANALISES CLINICAS LTDA</v>
      </c>
      <c r="C3226" s="54" t="s">
        <v>3</v>
      </c>
      <c r="D3226" s="54">
        <v>98012</v>
      </c>
      <c r="E3226" s="51">
        <v>593.6</v>
      </c>
      <c r="F3226" s="48"/>
      <c r="G3226" s="51"/>
      <c r="H3226" s="52"/>
      <c r="I3226" s="53">
        <v>46170</v>
      </c>
    </row>
    <row r="3227" spans="1:9">
      <c r="A3227" s="47">
        <v>2415</v>
      </c>
      <c r="B3227" s="48" t="str">
        <f>IFERROR(VLOOKUP(A3227,CLIENTES!A:E,2,0),"CADASTRAR CLIENTE")</f>
        <v>ROSSETTO E BARROS LABORATORIO DE ANALISES CLINICAS LTDA</v>
      </c>
      <c r="C3227" s="54" t="s">
        <v>3</v>
      </c>
      <c r="D3227" s="54">
        <v>98015</v>
      </c>
      <c r="E3227" s="51">
        <v>1410</v>
      </c>
      <c r="F3227" s="48"/>
      <c r="G3227" s="51"/>
      <c r="H3227" s="52"/>
      <c r="I3227" s="53">
        <v>46170</v>
      </c>
    </row>
    <row r="3228" spans="1:9">
      <c r="A3228" s="47">
        <v>2199</v>
      </c>
      <c r="B3228" s="48" t="str">
        <f>IFERROR(VLOOKUP(A3228,CLIENTES!A:E,2,0),"CADASTRAR CLIENTE")</f>
        <v>SOCIEDADE EDUCACIONAL UBERABENSE</v>
      </c>
      <c r="C3228" s="54" t="s">
        <v>3</v>
      </c>
      <c r="D3228" s="54">
        <v>97878</v>
      </c>
      <c r="E3228" s="51">
        <v>4774.05</v>
      </c>
      <c r="F3228" s="48"/>
      <c r="G3228" s="51"/>
      <c r="H3228" s="52"/>
      <c r="I3228" s="53">
        <v>46171</v>
      </c>
    </row>
    <row r="3229" spans="1:9">
      <c r="A3229" s="47">
        <v>960</v>
      </c>
      <c r="B3229" s="48" t="str">
        <f>IFERROR(VLOOKUP(A3229,CLIENTES!A:E,2,0),"CADASTRAR CLIENTE")</f>
        <v>LUIS VALERIO FILHO-ME</v>
      </c>
      <c r="C3229" s="54" t="s">
        <v>3</v>
      </c>
      <c r="D3229" s="54" t="s">
        <v>1057</v>
      </c>
      <c r="E3229" s="51">
        <v>397.9</v>
      </c>
      <c r="F3229" s="48"/>
      <c r="G3229" s="51"/>
      <c r="H3229" s="52"/>
      <c r="I3229" s="53">
        <v>46171</v>
      </c>
    </row>
    <row r="3230" spans="1:9">
      <c r="A3230" s="62">
        <v>500873</v>
      </c>
      <c r="B3230" s="48" t="str">
        <f>IFERROR(VLOOKUP(A3230,CLIENTES!A:E,2,0),"CADASTRAR CLIENTE")</f>
        <v>HOUPILLARD SERVICOS VETERINARIOS LTDA.</v>
      </c>
      <c r="C3230" s="54" t="s">
        <v>3</v>
      </c>
      <c r="D3230" s="54" t="s">
        <v>1058</v>
      </c>
      <c r="E3230" s="88">
        <v>2607.73</v>
      </c>
      <c r="F3230" s="48"/>
      <c r="G3230" s="51"/>
      <c r="H3230" s="52"/>
      <c r="I3230" s="53">
        <v>46171</v>
      </c>
    </row>
    <row r="3231" spans="1:9">
      <c r="A3231" s="47">
        <v>1813</v>
      </c>
      <c r="B3231" s="48" t="str">
        <f>IFERROR(VLOOKUP(A3231,CLIENTES!A:E,2,0),"CADASTRAR CLIENTE")</f>
        <v>BIOMED LAB.ANAL.CLIN. SC  LTDA</v>
      </c>
      <c r="C3231" s="54" t="s">
        <v>3</v>
      </c>
      <c r="D3231" s="54">
        <v>98090</v>
      </c>
      <c r="E3231" s="88">
        <v>986</v>
      </c>
      <c r="F3231" s="48"/>
      <c r="G3231" s="51"/>
      <c r="H3231" s="52"/>
      <c r="I3231" s="53">
        <v>46174</v>
      </c>
    </row>
    <row r="3232" spans="1:9">
      <c r="A3232" s="47">
        <v>724</v>
      </c>
      <c r="B3232" s="48" t="str">
        <f>IFERROR(VLOOKUP(A3232,CLIENTES!A:E,2,0),"CADASTRAR CLIENTE")</f>
        <v>LAB. ANAL. CLIN. DRA SILVIA M.MANZATO LARANJO SC LTDA.</v>
      </c>
      <c r="C3232" s="54" t="s">
        <v>3</v>
      </c>
      <c r="D3232" s="54" t="s">
        <v>1059</v>
      </c>
      <c r="E3232" s="51">
        <v>366.29</v>
      </c>
      <c r="F3232" s="48"/>
      <c r="G3232" s="51"/>
      <c r="H3232" s="52"/>
      <c r="I3232" s="53">
        <v>46174</v>
      </c>
    </row>
    <row r="3233" spans="1:9">
      <c r="A3233" s="47">
        <v>2163</v>
      </c>
      <c r="B3233" s="48" t="str">
        <f>IFERROR(VLOOKUP(A3233,CLIENTES!A:E,2,0),"CADASTRAR CLIENTE")</f>
        <v>BIO-LAB SAO JUDAS TADEU S/C LTDA - ME</v>
      </c>
      <c r="C3233" s="54" t="s">
        <v>3</v>
      </c>
      <c r="D3233" s="54" t="s">
        <v>1060</v>
      </c>
      <c r="E3233" s="51">
        <v>2515.35</v>
      </c>
      <c r="F3233" s="48"/>
      <c r="G3233" s="51"/>
      <c r="H3233" s="52"/>
      <c r="I3233" s="53">
        <v>46174</v>
      </c>
    </row>
    <row r="3234" spans="1:9">
      <c r="A3234" s="47">
        <v>687</v>
      </c>
      <c r="B3234" s="48" t="str">
        <f>IFERROR(VLOOKUP(A3234,CLIENTES!A:E,2,0),"CADASTRAR CLIENTE")</f>
        <v>LAB ANAL CLIN VENDRAMINI S/S LTDA</v>
      </c>
      <c r="C3234" s="54" t="s">
        <v>3</v>
      </c>
      <c r="D3234" s="54">
        <v>98101</v>
      </c>
      <c r="E3234" s="51">
        <v>838</v>
      </c>
      <c r="F3234" s="48"/>
      <c r="G3234" s="51"/>
      <c r="H3234" s="52"/>
      <c r="I3234" s="53">
        <v>46174</v>
      </c>
    </row>
    <row r="3235" spans="1:9">
      <c r="A3235" s="47">
        <v>761</v>
      </c>
      <c r="B3235" s="48" t="str">
        <f>IFERROR(VLOOKUP(A3235,CLIENTES!A:E,2,0),"CADASTRAR CLIENTE")</f>
        <v>EXAME CENTRO DIAG.M.ARACATUBA SC LTDA.</v>
      </c>
      <c r="C3235" s="54" t="s">
        <v>3</v>
      </c>
      <c r="D3235" s="54" t="s">
        <v>1061</v>
      </c>
      <c r="E3235" s="51">
        <v>5380.55</v>
      </c>
      <c r="F3235" s="48"/>
      <c r="G3235" s="51"/>
      <c r="H3235" s="52"/>
      <c r="I3235" s="53">
        <v>46174</v>
      </c>
    </row>
    <row r="3236" spans="1:9">
      <c r="A3236" s="47">
        <v>51061</v>
      </c>
      <c r="B3236" s="48" t="str">
        <f>IFERROR(VLOOKUP(A3236,CLIENTES!A:E,2,0),"CADASTRAR CLIENTE")</f>
        <v>UNIMED AMPARO COOPERATIVA DE TRABALHO MEDICO</v>
      </c>
      <c r="C3236" s="54" t="s">
        <v>738</v>
      </c>
      <c r="D3236" s="54">
        <v>98112</v>
      </c>
      <c r="E3236" s="51">
        <v>316</v>
      </c>
      <c r="F3236" s="48"/>
      <c r="G3236" s="51"/>
      <c r="H3236" s="52"/>
      <c r="I3236" s="53">
        <v>46174</v>
      </c>
    </row>
    <row r="3237" spans="1:9">
      <c r="A3237" s="47">
        <v>3492</v>
      </c>
      <c r="B3237" s="48" t="str">
        <f>IFERROR(VLOOKUP(A3237,CLIENTES!A:E,2,0),"CADASTRAR CLIENTE")</f>
        <v>SOCIEDADE EDUCACIONAL UBERABENSE</v>
      </c>
      <c r="C3237" s="54" t="s">
        <v>3</v>
      </c>
      <c r="D3237" s="54">
        <v>98115</v>
      </c>
      <c r="E3237" s="51">
        <v>978.6</v>
      </c>
      <c r="F3237" s="48"/>
      <c r="G3237" s="51"/>
      <c r="H3237" s="52"/>
      <c r="I3237" s="53">
        <v>46174</v>
      </c>
    </row>
    <row r="3238" spans="1:9">
      <c r="A3238" s="47">
        <v>408</v>
      </c>
      <c r="B3238" s="48" t="str">
        <f>IFERROR(VLOOKUP(A3238,CLIENTES!A:E,2,0),"CADASTRAR CLIENTE")</f>
        <v>FUND.DESENV.DE CIENCIAS FARMACEUTICAS</v>
      </c>
      <c r="C3238" s="54" t="s">
        <v>2</v>
      </c>
      <c r="D3238" s="54">
        <v>98085</v>
      </c>
      <c r="E3238" s="51">
        <v>2600.1</v>
      </c>
      <c r="F3238" s="48"/>
      <c r="G3238" s="51"/>
      <c r="H3238" s="52"/>
      <c r="I3238" s="53">
        <v>46175</v>
      </c>
    </row>
    <row r="3239" spans="1:9">
      <c r="A3239" s="47">
        <v>50418</v>
      </c>
      <c r="B3239" s="48" t="str">
        <f>IFERROR(VLOOKUP(A3239,CLIENTES!A:E,2,0),"CADASTRAR CLIENTE")</f>
        <v>LABORATORIO SAO LUCAS DE BROTAS SS LTDA</v>
      </c>
      <c r="C3239" s="54" t="s">
        <v>3</v>
      </c>
      <c r="D3239" s="54">
        <v>98102</v>
      </c>
      <c r="E3239" s="51">
        <v>1391.28</v>
      </c>
      <c r="F3239" s="48"/>
      <c r="G3239" s="51"/>
      <c r="H3239" s="52"/>
      <c r="I3239" s="53">
        <v>46175</v>
      </c>
    </row>
    <row r="3240" spans="1:9">
      <c r="A3240" s="47">
        <v>50185</v>
      </c>
      <c r="B3240" s="48" t="str">
        <f>IFERROR(VLOOKUP(A3240,CLIENTES!A:E,2,0),"CADASTRAR CLIENTE")</f>
        <v>ANIMALAB SS LTDA</v>
      </c>
      <c r="C3240" s="54" t="s">
        <v>3</v>
      </c>
      <c r="D3240" s="54">
        <v>98126</v>
      </c>
      <c r="E3240" s="51">
        <v>738.65</v>
      </c>
      <c r="F3240" s="48"/>
      <c r="G3240" s="51"/>
      <c r="H3240" s="52"/>
      <c r="I3240" s="53">
        <v>46175</v>
      </c>
    </row>
    <row r="3241" spans="1:9">
      <c r="A3241" s="47">
        <v>708</v>
      </c>
      <c r="B3241" s="48" t="str">
        <f>IFERROR(VLOOKUP(A3241,CLIENTES!A:E,2,0),"CADASTRAR CLIENTE")</f>
        <v>IMEDI INST.MEDICO DE PAT.E DIAGNOSTICO SC LTDA.</v>
      </c>
      <c r="C3241" s="54" t="s">
        <v>3</v>
      </c>
      <c r="D3241" s="54">
        <v>103271</v>
      </c>
      <c r="E3241" s="51">
        <v>161.74</v>
      </c>
      <c r="F3241" s="48"/>
      <c r="G3241" s="51"/>
      <c r="H3241" s="52"/>
      <c r="I3241" s="53">
        <v>46175</v>
      </c>
    </row>
    <row r="3242" spans="1:9">
      <c r="A3242" s="47">
        <v>762</v>
      </c>
      <c r="B3242" s="48" t="str">
        <f>IFERROR(VLOOKUP(A3242,CLIENTES!A:E,2,0),"CADASTRAR CLIENTE")</f>
        <v>STA. CASA MISERICORDIA DE ARACATUBA</v>
      </c>
      <c r="C3242" s="54" t="s">
        <v>3</v>
      </c>
      <c r="D3242" s="54">
        <v>98113</v>
      </c>
      <c r="E3242" s="88">
        <v>2796</v>
      </c>
      <c r="F3242" s="48"/>
      <c r="G3242" s="51"/>
      <c r="H3242" s="52"/>
      <c r="I3242" s="53">
        <v>46175</v>
      </c>
    </row>
    <row r="3243" spans="1:9">
      <c r="A3243" s="47">
        <v>2980</v>
      </c>
      <c r="B3243" s="48" t="str">
        <f>IFERROR(VLOOKUP(A3243,CLIENTES!A:E,2,0),"CADASTRAR CLIENTE")</f>
        <v>ALMEIDA &amp; FLAITT LABORATORIOS DE ANALISES CLINICAS LTDA</v>
      </c>
      <c r="C3243" s="54" t="s">
        <v>3</v>
      </c>
      <c r="D3243" s="54">
        <v>98092</v>
      </c>
      <c r="E3243" s="51">
        <v>979.42</v>
      </c>
      <c r="F3243" s="48"/>
      <c r="G3243" s="51"/>
      <c r="H3243" s="52"/>
      <c r="I3243" s="53">
        <v>46175</v>
      </c>
    </row>
    <row r="3244" spans="1:9">
      <c r="A3244" s="47">
        <v>171</v>
      </c>
      <c r="B3244" s="48" t="str">
        <f>IFERROR(VLOOKUP(A3244,CLIENTES!A:E,2,0),"CADASTRAR CLIENTE")</f>
        <v>HOSPITAL BENEFICENTE SAO JOSE</v>
      </c>
      <c r="C3244" s="54" t="s">
        <v>3</v>
      </c>
      <c r="D3244" s="54">
        <v>97755</v>
      </c>
      <c r="E3244" s="88">
        <v>4465.58</v>
      </c>
      <c r="F3244" s="48"/>
      <c r="G3244" s="51"/>
      <c r="H3244" s="52"/>
      <c r="I3244" s="53">
        <v>46175</v>
      </c>
    </row>
    <row r="3245" spans="1:9">
      <c r="A3245" s="47">
        <v>1164</v>
      </c>
      <c r="B3245" s="48" t="str">
        <f>IFERROR(VLOOKUP(A3245,CLIENTES!A:E,2,0),"CADASTRAR CLIENTE")</f>
        <v>LAB. ANAL. CLIN. SAO LOURENCO S/C LTDA</v>
      </c>
      <c r="C3245" s="54" t="s">
        <v>3</v>
      </c>
      <c r="D3245" s="54" t="s">
        <v>1062</v>
      </c>
      <c r="E3245" s="51">
        <v>1498.49</v>
      </c>
      <c r="F3245" s="48"/>
      <c r="G3245" s="51"/>
      <c r="H3245" s="52"/>
      <c r="I3245" s="53">
        <v>46175</v>
      </c>
    </row>
    <row r="3246" spans="1:9">
      <c r="A3246" s="47">
        <v>618</v>
      </c>
      <c r="B3246" s="48" t="str">
        <f>IFERROR(VLOOKUP(A3246,CLIENTES!A:E,2,0),"CADASTRAR CLIENTE")</f>
        <v>LAB. ANAL. CLIN. POMPEIA</v>
      </c>
      <c r="C3246" s="54" t="s">
        <v>3</v>
      </c>
      <c r="D3246" s="54" t="s">
        <v>1063</v>
      </c>
      <c r="E3246" s="51">
        <v>463</v>
      </c>
      <c r="F3246" s="48"/>
      <c r="G3246" s="51"/>
      <c r="H3246" s="52"/>
      <c r="I3246" s="53">
        <v>46175</v>
      </c>
    </row>
    <row r="3247" spans="1:9">
      <c r="A3247" s="47">
        <v>50465</v>
      </c>
      <c r="B3247" s="48" t="str">
        <f>IFERROR(VLOOKUP(A3247,CLIENTES!A:E,2,0),"CADASTRAR CLIENTE")</f>
        <v>LABORATORIO DE ANALISES CLINICAS VIDA BIRIGUI LTDA</v>
      </c>
      <c r="C3247" s="54" t="s">
        <v>3</v>
      </c>
      <c r="D3247" s="54">
        <v>98190</v>
      </c>
      <c r="E3247" s="88">
        <v>3054.55</v>
      </c>
      <c r="F3247" s="48"/>
      <c r="G3247" s="51"/>
      <c r="H3247" s="52"/>
      <c r="I3247" s="53">
        <v>46176</v>
      </c>
    </row>
    <row r="3248" spans="1:9">
      <c r="A3248" s="47">
        <v>501070</v>
      </c>
      <c r="B3248" s="48" t="str">
        <f>IFERROR(VLOOKUP(A3248,CLIENTES!A:E,2,0),"CADASTRAR CLIENTE")</f>
        <v>EASYMED SERVICOS MEDICOS LTDA</v>
      </c>
      <c r="C3248" s="54" t="s">
        <v>3</v>
      </c>
      <c r="D3248" s="54">
        <v>98134</v>
      </c>
      <c r="E3248" s="88">
        <v>3426.64</v>
      </c>
      <c r="F3248" s="48"/>
      <c r="G3248" s="51"/>
      <c r="H3248" s="52"/>
      <c r="I3248" s="53">
        <v>46176</v>
      </c>
    </row>
    <row r="3249" spans="1:9">
      <c r="A3249" s="47">
        <v>500507</v>
      </c>
      <c r="B3249" s="48" t="str">
        <f>IFERROR(VLOOKUP(A3249,CLIENTES!A:E,2,0),"CADASTRAR CLIENTE")</f>
        <v>LABORATORIOS DOCTOR</v>
      </c>
      <c r="C3249" s="54" t="s">
        <v>3</v>
      </c>
      <c r="D3249" s="54">
        <v>98132</v>
      </c>
      <c r="E3249" s="88">
        <v>2106.9299999999998</v>
      </c>
      <c r="F3249" s="48"/>
      <c r="G3249" s="51"/>
      <c r="H3249" s="52"/>
      <c r="I3249" s="53">
        <v>46176</v>
      </c>
    </row>
    <row r="3250" spans="1:9">
      <c r="A3250" s="47">
        <v>501054</v>
      </c>
      <c r="B3250" s="48" t="str">
        <f>IFERROR(VLOOKUP(A3250,CLIENTES!A:E,2,0),"CADASTRAR CLIENTE")</f>
        <v>EASYMED SERVICOS MEDICOS LTDA</v>
      </c>
      <c r="C3250" s="54" t="s">
        <v>3</v>
      </c>
      <c r="D3250" s="54">
        <v>98136</v>
      </c>
      <c r="E3250" s="88">
        <v>2466.7600000000002</v>
      </c>
      <c r="F3250" s="48"/>
      <c r="G3250" s="51"/>
      <c r="H3250" s="52"/>
      <c r="I3250" s="53">
        <v>46176</v>
      </c>
    </row>
    <row r="3251" spans="1:9">
      <c r="A3251" s="47">
        <v>501078</v>
      </c>
      <c r="B3251" s="48" t="str">
        <f>IFERROR(VLOOKUP(A3251,CLIENTES!A:E,2,0),"CADASTRAR CLIENTE")</f>
        <v>EASYMED SERVICOS MEDICOS LTDA</v>
      </c>
      <c r="C3251" s="54" t="s">
        <v>3</v>
      </c>
      <c r="D3251" s="54">
        <v>98129</v>
      </c>
      <c r="E3251" s="88">
        <v>256</v>
      </c>
      <c r="F3251" s="48"/>
      <c r="G3251" s="51"/>
      <c r="H3251" s="52"/>
      <c r="I3251" s="53">
        <v>46176</v>
      </c>
    </row>
    <row r="3252" spans="1:9">
      <c r="A3252" s="47">
        <v>501079</v>
      </c>
      <c r="B3252" s="48" t="str">
        <f>IFERROR(VLOOKUP(A3252,CLIENTES!A:E,2,0),"CADASTRAR CLIENTE")</f>
        <v>EASYMED SERVICOS MEDICOS LTDA</v>
      </c>
      <c r="C3252" s="54" t="s">
        <v>3</v>
      </c>
      <c r="D3252" s="54">
        <v>98128</v>
      </c>
      <c r="E3252" s="88">
        <v>1845.24</v>
      </c>
      <c r="F3252" s="48"/>
      <c r="G3252" s="51"/>
      <c r="H3252" s="52"/>
      <c r="I3252" s="53">
        <v>46176</v>
      </c>
    </row>
    <row r="3253" spans="1:9">
      <c r="A3253" s="62">
        <v>500982</v>
      </c>
      <c r="B3253" s="48" t="str">
        <f>IFERROR(VLOOKUP(A3253,CLIENTES!A:E,2,0),"CADASTRAR CLIENTE")</f>
        <v>INOVA LABORATORIO DE ANALISES CLINICAS LTDA</v>
      </c>
      <c r="C3253" s="54" t="s">
        <v>3</v>
      </c>
      <c r="D3253" s="54">
        <v>98209</v>
      </c>
      <c r="E3253" s="88">
        <v>1032.2</v>
      </c>
      <c r="F3253" s="48"/>
      <c r="G3253" s="51"/>
      <c r="H3253" s="52"/>
      <c r="I3253" s="53">
        <v>46176</v>
      </c>
    </row>
    <row r="3254" spans="1:9">
      <c r="A3254" s="47">
        <v>620</v>
      </c>
      <c r="B3254" s="48" t="str">
        <f>IFERROR(VLOOKUP(A3254,CLIENTES!A:E,2,0),"CADASTRAR CLIENTE")</f>
        <v>LAB.SAO PAULO DE ANAL.CLIN.SC LTDA.</v>
      </c>
      <c r="C3254" s="54" t="s">
        <v>3</v>
      </c>
      <c r="D3254" s="54">
        <v>97771</v>
      </c>
      <c r="E3254" s="51">
        <v>781.75</v>
      </c>
      <c r="F3254" s="48"/>
      <c r="G3254" s="51"/>
      <c r="H3254" s="52"/>
      <c r="I3254" s="53">
        <v>46176</v>
      </c>
    </row>
    <row r="3255" spans="1:9">
      <c r="A3255" s="47">
        <v>687</v>
      </c>
      <c r="B3255" s="48" t="str">
        <f>IFERROR(VLOOKUP(A3255,CLIENTES!A:E,2,0),"CADASTRAR CLIENTE")</f>
        <v>LAB ANAL CLIN VENDRAMINI S/S LTDA</v>
      </c>
      <c r="C3255" s="54" t="s">
        <v>3</v>
      </c>
      <c r="D3255" s="54">
        <v>98215</v>
      </c>
      <c r="E3255" s="88">
        <v>452.4</v>
      </c>
      <c r="F3255" s="48"/>
      <c r="G3255" s="51"/>
      <c r="H3255" s="52"/>
      <c r="I3255" s="53">
        <v>46176</v>
      </c>
    </row>
    <row r="3256" spans="1:9">
      <c r="A3256" s="47">
        <v>50554</v>
      </c>
      <c r="B3256" s="48" t="str">
        <f>IFERROR(VLOOKUP(A3256,CLIENTES!A:E,2,0),"CADASTRAR CLIENTE")</f>
        <v>SAO ROQUE MEDICINA DIAGNOSTICA</v>
      </c>
      <c r="C3256" s="54" t="s">
        <v>3</v>
      </c>
      <c r="D3256" s="54">
        <v>103215</v>
      </c>
      <c r="E3256" s="51">
        <v>67.2</v>
      </c>
      <c r="F3256" s="48"/>
      <c r="G3256" s="51"/>
      <c r="H3256" s="52"/>
      <c r="I3256" s="53">
        <v>46176</v>
      </c>
    </row>
    <row r="3257" spans="1:9">
      <c r="A3257" s="47">
        <v>434</v>
      </c>
      <c r="B3257" s="48" t="str">
        <f>IFERROR(VLOOKUP(A3257,CLIENTES!A:E,2,0),"CADASTRAR CLIENTE")</f>
        <v>BIOLABOR LAB. ANAL. CLIN. SC LTDA.</v>
      </c>
      <c r="C3257" s="54" t="s">
        <v>3</v>
      </c>
      <c r="D3257" s="54">
        <v>103282</v>
      </c>
      <c r="E3257" s="51">
        <v>481.65</v>
      </c>
      <c r="F3257" s="48"/>
      <c r="G3257" s="51"/>
      <c r="H3257" s="52"/>
      <c r="I3257" s="53">
        <v>46176</v>
      </c>
    </row>
    <row r="3258" spans="1:9">
      <c r="A3258" s="47">
        <v>412</v>
      </c>
      <c r="B3258" s="48" t="str">
        <f>IFERROR(VLOOKUP(A3258,CLIENTES!A:E,2,0),"CADASTRAR CLIENTE")</f>
        <v>LAB.ANAL.CLIN.SAO MANUEL SC LTDA.</v>
      </c>
      <c r="C3258" s="54" t="s">
        <v>3</v>
      </c>
      <c r="D3258" s="54">
        <v>98229</v>
      </c>
      <c r="E3258" s="51">
        <v>1312.2</v>
      </c>
      <c r="F3258" s="48"/>
      <c r="G3258" s="51"/>
      <c r="H3258" s="52"/>
      <c r="I3258" s="53">
        <v>46176</v>
      </c>
    </row>
    <row r="3259" spans="1:9">
      <c r="A3259" s="47">
        <v>3017</v>
      </c>
      <c r="B3259" s="48" t="str">
        <f>IFERROR(VLOOKUP(A3259,CLIENTES!A:E,2,0),"CADASTRAR CLIENTE")</f>
        <v>IMUNOLAB LABORATORIO DE ANALISES CLINICAS LTDA ME</v>
      </c>
      <c r="C3259" s="54" t="s">
        <v>3</v>
      </c>
      <c r="D3259" s="54">
        <v>98242</v>
      </c>
      <c r="E3259" s="51">
        <v>904.95</v>
      </c>
      <c r="F3259" s="48"/>
      <c r="G3259" s="51"/>
      <c r="H3259" s="52"/>
      <c r="I3259" s="53">
        <v>46176</v>
      </c>
    </row>
    <row r="3260" spans="1:9">
      <c r="A3260" s="47">
        <v>500005</v>
      </c>
      <c r="B3260" s="48" t="str">
        <f>IFERROR(VLOOKUP(A3260,CLIENTES!A:E,2,0),"CADASTRAR CLIENTE")</f>
        <v>ASSOCIACAO EDUCACIONAL DE ENSINO SUPERIOR</v>
      </c>
      <c r="C3260" s="54" t="s">
        <v>3</v>
      </c>
      <c r="D3260" s="54">
        <v>98237</v>
      </c>
      <c r="E3260" s="51">
        <v>59.64</v>
      </c>
      <c r="F3260" s="48"/>
      <c r="G3260" s="51"/>
      <c r="H3260" s="52"/>
      <c r="I3260" s="53">
        <v>47272</v>
      </c>
    </row>
    <row r="3261" spans="1:9">
      <c r="A3261" s="47">
        <v>311</v>
      </c>
      <c r="B3261" s="48" t="str">
        <f>IFERROR(VLOOKUP(A3261,CLIENTES!A:E,2,0),"CADASTRAR CLIENTE")</f>
        <v>CENTRO DE ANAL.CLIN. UNILAB  SC LTDA.</v>
      </c>
      <c r="C3261" s="54" t="s">
        <v>3</v>
      </c>
      <c r="D3261" s="54">
        <v>98251</v>
      </c>
      <c r="E3261" s="88">
        <v>7200</v>
      </c>
      <c r="F3261" s="48"/>
      <c r="G3261" s="51"/>
      <c r="H3261" s="52"/>
      <c r="I3261" s="53">
        <v>46176</v>
      </c>
    </row>
    <row r="3262" spans="1:9">
      <c r="A3262" s="47">
        <v>3018</v>
      </c>
      <c r="B3262" s="48" t="str">
        <f>IFERROR(VLOOKUP(A3262,CLIENTES!A:E,2,0),"CADASTRAR CLIENTE")</f>
        <v>NP- LABORATORIO DE ANALISES CLINICAS LTDA</v>
      </c>
      <c r="C3262" s="54" t="s">
        <v>3</v>
      </c>
      <c r="D3262" s="54" t="s">
        <v>1064</v>
      </c>
      <c r="E3262" s="88">
        <v>446</v>
      </c>
      <c r="F3262" s="48"/>
      <c r="G3262" s="51"/>
      <c r="H3262" s="52"/>
      <c r="I3262" s="53">
        <v>46176</v>
      </c>
    </row>
    <row r="3263" spans="1:9">
      <c r="A3263" s="47">
        <v>3190</v>
      </c>
      <c r="B3263" s="48" t="str">
        <f>IFERROR(VLOOKUP(A3263,CLIENTES!A:E,2,0),"CADASTRAR CLIENTE")</f>
        <v>C D A CENTRO DE DIAGNOSTICO VETERINARIO</v>
      </c>
      <c r="C3263" s="54" t="s">
        <v>3</v>
      </c>
      <c r="D3263" s="54">
        <v>98257</v>
      </c>
      <c r="E3263" s="88">
        <v>597.38</v>
      </c>
      <c r="F3263" s="48"/>
      <c r="G3263" s="51"/>
      <c r="H3263" s="52"/>
      <c r="I3263" s="53">
        <v>46176</v>
      </c>
    </row>
    <row r="3264" spans="1:9">
      <c r="A3264" s="47">
        <v>2702</v>
      </c>
      <c r="B3264" s="48" t="str">
        <f>IFERROR(VLOOKUP(A3264,CLIENTES!A:E,2,0),"CADASTRAR CLIENTE")</f>
        <v>SANTA CASA DE MISER. DE TAQUARITUBA</v>
      </c>
      <c r="C3264" s="54" t="s">
        <v>3</v>
      </c>
      <c r="D3264" s="54">
        <v>98272</v>
      </c>
      <c r="E3264" s="51">
        <v>2067</v>
      </c>
      <c r="F3264" s="48"/>
      <c r="G3264" s="51"/>
      <c r="H3264" s="52"/>
      <c r="I3264" s="53">
        <v>46178</v>
      </c>
    </row>
    <row r="3265" spans="1:9">
      <c r="A3265" s="47">
        <v>475</v>
      </c>
      <c r="B3265" s="48" t="str">
        <f>IFERROR(VLOOKUP(A3265,CLIENTES!A:E,2,0),"CADASTRAR CLIENTE")</f>
        <v>LABORATORIO DE ANALISES CLINICAS SRC LTDA</v>
      </c>
      <c r="C3265" s="54" t="s">
        <v>3</v>
      </c>
      <c r="D3265" s="54" t="s">
        <v>1065</v>
      </c>
      <c r="E3265" s="88">
        <v>11581.2</v>
      </c>
      <c r="F3265" s="48"/>
      <c r="G3265" s="51"/>
      <c r="H3265" s="52"/>
      <c r="I3265" s="53">
        <v>46178</v>
      </c>
    </row>
    <row r="3266" spans="1:9">
      <c r="A3266" s="47">
        <v>500005</v>
      </c>
      <c r="B3266" s="48" t="str">
        <f>IFERROR(VLOOKUP(A3266,CLIENTES!A:E,2,0),"CADASTRAR CLIENTE")</f>
        <v>ASSOCIACAO EDUCACIONAL DE ENSINO SUPERIOR</v>
      </c>
      <c r="C3266" s="54" t="s">
        <v>3</v>
      </c>
      <c r="D3266" s="54">
        <v>97883</v>
      </c>
      <c r="E3266" s="88">
        <v>4668.8500000000004</v>
      </c>
      <c r="F3266" s="48"/>
      <c r="G3266" s="51"/>
      <c r="H3266" s="52"/>
      <c r="I3266" s="53">
        <v>46178</v>
      </c>
    </row>
    <row r="3267" spans="1:9">
      <c r="A3267" s="47">
        <v>500005</v>
      </c>
      <c r="B3267" s="48" t="str">
        <f>IFERROR(VLOOKUP(A3267,CLIENTES!A:E,2,0),"CADASTRAR CLIENTE")</f>
        <v>ASSOCIACAO EDUCACIONAL DE ENSINO SUPERIOR</v>
      </c>
      <c r="C3267" s="54" t="s">
        <v>3</v>
      </c>
      <c r="D3267" s="54">
        <v>97922</v>
      </c>
      <c r="E3267" s="88">
        <v>5146.3999999999996</v>
      </c>
      <c r="F3267" s="48"/>
      <c r="G3267" s="51"/>
      <c r="H3267" s="52"/>
      <c r="I3267" s="53">
        <v>46178</v>
      </c>
    </row>
    <row r="3268" spans="1:9">
      <c r="A3268" s="47">
        <v>500005</v>
      </c>
      <c r="B3268" s="48" t="str">
        <f>IFERROR(VLOOKUP(A3268,CLIENTES!A:E,2,0),"CADASTRAR CLIENTE")</f>
        <v>ASSOCIACAO EDUCACIONAL DE ENSINO SUPERIOR</v>
      </c>
      <c r="C3268" s="54" t="s">
        <v>3</v>
      </c>
      <c r="D3268" s="54">
        <v>97866</v>
      </c>
      <c r="E3268" s="88">
        <v>2580</v>
      </c>
      <c r="F3268" s="48"/>
      <c r="G3268" s="51"/>
      <c r="H3268" s="52"/>
      <c r="I3268" s="53">
        <v>46178</v>
      </c>
    </row>
    <row r="3269" spans="1:9">
      <c r="A3269" s="47">
        <v>687</v>
      </c>
      <c r="B3269" s="48" t="str">
        <f>IFERROR(VLOOKUP(A3269,CLIENTES!A:E,2,0),"CADASTRAR CLIENTE")</f>
        <v>LAB ANAL CLIN VENDRAMINI S/S LTDA</v>
      </c>
      <c r="C3269" s="54" t="s">
        <v>3</v>
      </c>
      <c r="D3269" s="54">
        <v>98215</v>
      </c>
      <c r="E3269" s="51">
        <v>452.4</v>
      </c>
      <c r="F3269" s="48"/>
      <c r="G3269" s="51"/>
      <c r="H3269" s="52"/>
      <c r="I3269" s="53">
        <v>46178</v>
      </c>
    </row>
    <row r="3270" spans="1:9">
      <c r="A3270" s="47">
        <v>3153</v>
      </c>
      <c r="B3270" s="48" t="str">
        <f>IFERROR(VLOOKUP(A3270,CLIENTES!A:E,2,0),"CADASTRAR CLIENTE")</f>
        <v>UNIMED DE TUPA COOPERATIVA DE TRABALHO MEDICO</v>
      </c>
      <c r="C3270" s="54" t="s">
        <v>3</v>
      </c>
      <c r="D3270" s="54">
        <v>98284</v>
      </c>
      <c r="E3270" s="88">
        <v>3143.7</v>
      </c>
      <c r="F3270" s="48"/>
      <c r="G3270" s="51"/>
      <c r="H3270" s="52"/>
      <c r="I3270" s="53">
        <v>46178</v>
      </c>
    </row>
    <row r="3271" spans="1:9">
      <c r="A3271" s="47">
        <v>2199</v>
      </c>
      <c r="B3271" s="48" t="str">
        <f>IFERROR(VLOOKUP(A3271,CLIENTES!A:E,2,0),"CADASTRAR CLIENTE")</f>
        <v>SOCIEDADE EDUCACIONAL UBERABENSE</v>
      </c>
      <c r="C3271" s="54" t="s">
        <v>738</v>
      </c>
      <c r="D3271" s="54">
        <v>103190</v>
      </c>
      <c r="E3271" s="88">
        <v>688.7</v>
      </c>
      <c r="F3271" s="48"/>
      <c r="G3271" s="51"/>
      <c r="H3271" s="52"/>
      <c r="I3271" s="53">
        <v>46178</v>
      </c>
    </row>
    <row r="3272" spans="1:9">
      <c r="A3272" s="47">
        <v>311</v>
      </c>
      <c r="B3272" s="48" t="str">
        <f>IFERROR(VLOOKUP(A3272,CLIENTES!A:E,2,0),"CADASTRAR CLIENTE")</f>
        <v>CENTRO DE ANAL.CLIN. UNILAB  SC LTDA.</v>
      </c>
      <c r="C3272" s="54" t="s">
        <v>3</v>
      </c>
      <c r="D3272" s="54">
        <v>103285</v>
      </c>
      <c r="E3272" s="51">
        <v>1416.35</v>
      </c>
      <c r="F3272" s="48"/>
      <c r="G3272" s="51"/>
      <c r="H3272" s="52"/>
      <c r="I3272" s="53">
        <v>46178</v>
      </c>
    </row>
    <row r="3273" spans="1:9">
      <c r="A3273" s="47">
        <v>50219</v>
      </c>
      <c r="B3273" s="48" t="str">
        <f>IFERROR(VLOOKUP(A3273,CLIENTES!A:E,2,0),"CADASTRAR CLIENTE")</f>
        <v>UNIPREV LAB DE ANALISES LOCACAO DE BENS E REPAROS LTDA EPP</v>
      </c>
      <c r="C3273" s="54" t="s">
        <v>3</v>
      </c>
      <c r="D3273" s="54">
        <v>98300</v>
      </c>
      <c r="E3273" s="51">
        <v>2835.05</v>
      </c>
      <c r="F3273" s="48"/>
      <c r="G3273" s="51"/>
      <c r="H3273" s="52"/>
      <c r="I3273" s="53">
        <v>46181</v>
      </c>
    </row>
    <row r="3274" spans="1:9">
      <c r="A3274" s="47">
        <v>501079</v>
      </c>
      <c r="B3274" s="48" t="str">
        <f>IFERROR(VLOOKUP(A3274,CLIENTES!A:E,2,0),"CADASTRAR CLIENTE")</f>
        <v>EASYMED SERVICOS MEDICOS LTDA</v>
      </c>
      <c r="C3274" s="54" t="s">
        <v>3</v>
      </c>
      <c r="D3274" s="54">
        <v>98313</v>
      </c>
      <c r="E3274" s="51">
        <v>2696.5</v>
      </c>
      <c r="F3274" s="48"/>
      <c r="G3274" s="51"/>
      <c r="H3274" s="52"/>
      <c r="I3274" s="53">
        <v>46181</v>
      </c>
    </row>
    <row r="3275" spans="1:9">
      <c r="A3275" s="47">
        <v>761</v>
      </c>
      <c r="B3275" s="48" t="str">
        <f>IFERROR(VLOOKUP(A3275,CLIENTES!A:E,2,0),"CADASTRAR CLIENTE")</f>
        <v>EXAME CENTRO DIAG.M.ARACATUBA SC LTDA.</v>
      </c>
      <c r="C3275" s="54" t="s">
        <v>3</v>
      </c>
      <c r="D3275" s="54" t="s">
        <v>1066</v>
      </c>
      <c r="E3275" s="88">
        <v>19891.79</v>
      </c>
      <c r="F3275" s="48"/>
      <c r="G3275" s="51"/>
      <c r="H3275" s="52"/>
      <c r="I3275" s="53">
        <v>46181</v>
      </c>
    </row>
    <row r="3276" spans="1:9">
      <c r="A3276" s="47">
        <v>980</v>
      </c>
      <c r="B3276" s="48" t="str">
        <f>IFERROR(VLOOKUP(A3276,CLIENTES!A:E,2,0),"CADASTRAR CLIENTE")</f>
        <v>LAB. GUARARAPES  ANAL. CLIN. SC LTDA</v>
      </c>
      <c r="C3276" s="54" t="s">
        <v>3</v>
      </c>
      <c r="D3276" s="54">
        <v>98203</v>
      </c>
      <c r="E3276" s="51">
        <v>261.17</v>
      </c>
      <c r="F3276" s="48"/>
      <c r="G3276" s="51"/>
      <c r="H3276" s="52"/>
      <c r="I3276" s="53">
        <v>46182</v>
      </c>
    </row>
    <row r="3277" spans="1:9">
      <c r="A3277" s="47">
        <v>50861</v>
      </c>
      <c r="B3277" s="48" t="str">
        <f>IFERROR(VLOOKUP(A3277,CLIENTES!A:E,2,0),"CADASTRAR CLIENTE")</f>
        <v>JAQUELINE MARTINS RUIZ LAB DE ANALISES CLINICAS</v>
      </c>
      <c r="C3277" s="54" t="s">
        <v>3</v>
      </c>
      <c r="D3277" s="54">
        <v>98426</v>
      </c>
      <c r="E3277" s="51">
        <v>778</v>
      </c>
      <c r="F3277" s="48"/>
      <c r="G3277" s="51"/>
      <c r="H3277" s="52"/>
      <c r="I3277" s="53">
        <v>46182</v>
      </c>
    </row>
    <row r="3278" spans="1:9">
      <c r="A3278" s="47">
        <v>705</v>
      </c>
      <c r="B3278" s="48" t="str">
        <f>IFERROR(VLOOKUP(A3278,CLIENTES!A:E,2,0),"CADASTRAR CLIENTE")</f>
        <v>JOAO JOSE SCHIAVUZZO ME</v>
      </c>
      <c r="C3278" s="54" t="s">
        <v>3</v>
      </c>
      <c r="D3278" s="54" t="s">
        <v>1067</v>
      </c>
      <c r="E3278" s="51">
        <v>615.70000000000005</v>
      </c>
      <c r="F3278" s="48"/>
      <c r="G3278" s="51"/>
      <c r="H3278" s="52"/>
      <c r="I3278" s="53">
        <v>46182</v>
      </c>
    </row>
    <row r="3279" spans="1:9">
      <c r="A3279" s="47">
        <v>746</v>
      </c>
      <c r="B3279" s="48" t="str">
        <f>IFERROR(VLOOKUP(A3279,CLIENTES!A:E,2,0),"CADASTRAR CLIENTE")</f>
        <v>LAB.ANAL.CLIN.BIOCLIN SC LTDA.</v>
      </c>
      <c r="C3279" s="54" t="s">
        <v>3</v>
      </c>
      <c r="D3279" s="54" t="s">
        <v>1068</v>
      </c>
      <c r="E3279" s="51">
        <v>2550.2600000000002</v>
      </c>
      <c r="F3279" s="48"/>
      <c r="G3279" s="51"/>
      <c r="H3279" s="52"/>
      <c r="I3279" s="53">
        <v>46182</v>
      </c>
    </row>
    <row r="3280" spans="1:9">
      <c r="A3280" s="47">
        <v>618</v>
      </c>
      <c r="B3280" s="48" t="str">
        <f>IFERROR(VLOOKUP(A3280,CLIENTES!A:E,2,0),"CADASTRAR CLIENTE")</f>
        <v>LAB. ANAL. CLIN. POMPEIA</v>
      </c>
      <c r="C3280" s="54" t="s">
        <v>3</v>
      </c>
      <c r="D3280" s="54">
        <v>103308</v>
      </c>
      <c r="E3280" s="51">
        <v>327.75</v>
      </c>
      <c r="F3280" s="48"/>
      <c r="G3280" s="51"/>
      <c r="H3280" s="52"/>
      <c r="I3280" s="53">
        <v>46182</v>
      </c>
    </row>
    <row r="3281" spans="1:9">
      <c r="A3281" s="47">
        <v>501153</v>
      </c>
      <c r="B3281" s="48" t="str">
        <f>IFERROR(VLOOKUP(A3281,CLIENTES!A:E,2,0),"CADASTRAR CLIENTE")</f>
        <v>LABORATORIO SAO ROQUE LTDA</v>
      </c>
      <c r="C3281" s="54" t="s">
        <v>3</v>
      </c>
      <c r="D3281" s="54" t="s">
        <v>1070</v>
      </c>
      <c r="E3281" s="51">
        <v>6418.89</v>
      </c>
      <c r="F3281" s="48"/>
      <c r="G3281" s="51"/>
      <c r="H3281" s="52"/>
      <c r="I3281" s="53">
        <v>46183</v>
      </c>
    </row>
    <row r="3282" spans="1:9">
      <c r="A3282" s="47">
        <v>1493</v>
      </c>
      <c r="B3282" s="48" t="str">
        <f>IFERROR(VLOOKUP(A3282,CLIENTES!A:E,2,0),"CADASTRAR CLIENTE")</f>
        <v>CEDIMA  CENTRO DE DIAG MONTE AZUL ANAL CLIN E CIT</v>
      </c>
      <c r="C3282" s="54" t="s">
        <v>3</v>
      </c>
      <c r="D3282" s="54">
        <v>98150</v>
      </c>
      <c r="E3282" s="51">
        <v>528.74</v>
      </c>
      <c r="F3282" s="48"/>
      <c r="G3282" s="51"/>
      <c r="H3282" s="52"/>
      <c r="I3282" s="53">
        <v>46183</v>
      </c>
    </row>
    <row r="3283" spans="1:9">
      <c r="A3283" s="47">
        <v>501079</v>
      </c>
      <c r="B3283" s="48" t="str">
        <f>IFERROR(VLOOKUP(A3283,CLIENTES!A:E,2,0),"CADASTRAR CLIENTE")</f>
        <v>EASYMED SERVICOS MEDICOS LTDA</v>
      </c>
      <c r="C3283" s="54" t="s">
        <v>3</v>
      </c>
      <c r="D3283" s="54">
        <v>98451</v>
      </c>
      <c r="E3283" s="51">
        <v>827.75</v>
      </c>
      <c r="F3283" s="48"/>
      <c r="G3283" s="51"/>
      <c r="H3283" s="52"/>
      <c r="I3283" s="53">
        <v>46183</v>
      </c>
    </row>
    <row r="3284" spans="1:9">
      <c r="A3284" s="47">
        <v>3194</v>
      </c>
      <c r="B3284" s="48" t="str">
        <f>IFERROR(VLOOKUP(A3284,CLIENTES!A:E,2,0),"CADASTRAR CLIENTE")</f>
        <v>CENTRO DE DIAGNOSTICOS CONTROLE LTDA</v>
      </c>
      <c r="C3284" s="54" t="s">
        <v>3</v>
      </c>
      <c r="D3284" s="54">
        <v>98447</v>
      </c>
      <c r="E3284" s="51">
        <v>961.44</v>
      </c>
      <c r="F3284" s="48"/>
      <c r="G3284" s="51"/>
      <c r="H3284" s="52"/>
      <c r="I3284" s="53">
        <v>46183</v>
      </c>
    </row>
    <row r="3285" spans="1:9">
      <c r="A3285" s="47">
        <v>501153</v>
      </c>
      <c r="B3285" s="48" t="str">
        <f>IFERROR(VLOOKUP(A3285,CLIENTES!A:E,2,0),"CADASTRAR CLIENTE")</f>
        <v>LABORATORIO SAO ROQUE LTDA</v>
      </c>
      <c r="C3285" s="54" t="s">
        <v>3</v>
      </c>
      <c r="D3285" s="54">
        <v>98464</v>
      </c>
      <c r="E3285" s="103">
        <v>559</v>
      </c>
      <c r="F3285" s="48"/>
      <c r="G3285" s="51"/>
      <c r="H3285" s="52"/>
      <c r="I3285" s="53">
        <v>46183</v>
      </c>
    </row>
    <row r="3286" spans="1:9">
      <c r="A3286" s="47">
        <v>690</v>
      </c>
      <c r="B3286" s="48" t="str">
        <f>IFERROR(VLOOKUP(A3286,CLIENTES!A:E,2,0),"CADASTRAR CLIENTE")</f>
        <v>SAO ROQUE MEDICINA DIAGNOSTICA LTDA EPP</v>
      </c>
      <c r="C3286" s="54" t="s">
        <v>3</v>
      </c>
      <c r="D3286" s="54" t="s">
        <v>1071</v>
      </c>
      <c r="E3286" s="51">
        <v>2946.43</v>
      </c>
      <c r="F3286" s="48"/>
      <c r="G3286" s="51"/>
      <c r="H3286" s="52"/>
      <c r="I3286" s="53">
        <v>46183</v>
      </c>
    </row>
    <row r="3287" spans="1:9">
      <c r="A3287" s="47">
        <v>480</v>
      </c>
      <c r="B3287" s="48" t="str">
        <f>IFERROR(VLOOKUP(A3287,CLIENTES!A:E,2,0),"CADASTRAR CLIENTE")</f>
        <v>LAB SAO LUCAS</v>
      </c>
      <c r="C3287" s="54" t="s">
        <v>3</v>
      </c>
      <c r="D3287" s="54">
        <v>97942</v>
      </c>
      <c r="E3287" s="51">
        <v>1281</v>
      </c>
      <c r="F3287" s="48"/>
      <c r="G3287" s="51"/>
      <c r="H3287" s="52"/>
      <c r="I3287" s="53">
        <v>46183</v>
      </c>
    </row>
    <row r="3288" spans="1:9">
      <c r="A3288" s="47">
        <v>1533</v>
      </c>
      <c r="B3288" s="48" t="str">
        <f>IFERROR(VLOOKUP(A3288,CLIENTES!A:E,2,0),"CADASTRAR CLIENTE")</f>
        <v>LABORATORIO BIOANALISE DIAGNOSTICO LTDA</v>
      </c>
      <c r="C3288" s="54" t="s">
        <v>3</v>
      </c>
      <c r="D3288" s="54" t="s">
        <v>1072</v>
      </c>
      <c r="E3288" s="88">
        <v>303</v>
      </c>
      <c r="F3288" s="48"/>
      <c r="G3288" s="51"/>
      <c r="H3288" s="52"/>
      <c r="I3288" s="53">
        <v>46183</v>
      </c>
    </row>
    <row r="3289" spans="1:9">
      <c r="A3289" s="47">
        <v>1016</v>
      </c>
      <c r="B3289" s="48" t="str">
        <f>IFERROR(VLOOKUP(A3289,CLIENTES!A:E,2,0),"CADASTRAR CLIENTE")</f>
        <v>LAB.ANAL.CLIN. SAO LUCAS SC LTDA.</v>
      </c>
      <c r="C3289" s="54" t="s">
        <v>3</v>
      </c>
      <c r="D3289" s="54" t="s">
        <v>1073</v>
      </c>
      <c r="E3289" s="88">
        <v>3564.45</v>
      </c>
      <c r="F3289" s="48"/>
      <c r="G3289" s="51"/>
      <c r="H3289" s="52"/>
      <c r="I3289" s="53">
        <v>46183</v>
      </c>
    </row>
    <row r="3290" spans="1:9">
      <c r="A3290" s="47">
        <v>432</v>
      </c>
      <c r="B3290" s="48" t="str">
        <f>IFERROR(VLOOKUP(A3290,CLIENTES!A:E,2,0),"CADASTRAR CLIENTE")</f>
        <v>LABORATORIO PASTEUR HEMATOLOGIA E MICROBIOLOGIA S/S LTDA</v>
      </c>
      <c r="C3290" s="54" t="s">
        <v>3</v>
      </c>
      <c r="D3290" s="54">
        <v>97828</v>
      </c>
      <c r="E3290" s="51">
        <v>804.35</v>
      </c>
      <c r="F3290" s="48"/>
      <c r="G3290" s="51"/>
      <c r="H3290" s="52"/>
      <c r="I3290" s="53">
        <v>46183</v>
      </c>
    </row>
    <row r="3291" spans="1:9">
      <c r="A3291" s="47">
        <v>1026</v>
      </c>
      <c r="B3291" s="48" t="str">
        <f>IFERROR(VLOOKUP(A3291,CLIENTES!A:E,2,0),"CADASTRAR CLIENTE")</f>
        <v>LABSC SERVICOS LABORATORIAIS LTDA</v>
      </c>
      <c r="C3291" s="54" t="s">
        <v>3</v>
      </c>
      <c r="D3291" s="54">
        <v>98497</v>
      </c>
      <c r="E3291" s="51">
        <v>1954.78</v>
      </c>
      <c r="F3291" s="48"/>
      <c r="G3291" s="51"/>
      <c r="H3291" s="52"/>
      <c r="I3291" s="53">
        <v>46183</v>
      </c>
    </row>
    <row r="3292" spans="1:9">
      <c r="A3292" s="47">
        <v>2199</v>
      </c>
      <c r="B3292" s="48" t="str">
        <f>IFERROR(VLOOKUP(A3292,CLIENTES!A:E,2,0),"CADASTRAR CLIENTE")</f>
        <v>SOCIEDADE EDUCACIONAL UBERABENSE</v>
      </c>
      <c r="C3292" s="54" t="s">
        <v>738</v>
      </c>
      <c r="D3292" s="54" t="s">
        <v>1083</v>
      </c>
      <c r="E3292" s="88">
        <v>12118.25</v>
      </c>
      <c r="F3292" s="48"/>
      <c r="G3292" s="51"/>
      <c r="H3292" s="52"/>
      <c r="I3292" s="53">
        <v>46188</v>
      </c>
    </row>
    <row r="3293" spans="1:9">
      <c r="A3293" s="18">
        <v>2199</v>
      </c>
      <c r="B3293" s="19" t="str">
        <f>IFERROR(VLOOKUP(A3293,CLIENTES!A:E,2,0),"CADASTRAR CLIENTE")</f>
        <v>SOCIEDADE EDUCACIONAL UBERABENSE</v>
      </c>
      <c r="C3293" s="60" t="s">
        <v>738</v>
      </c>
      <c r="D3293" s="60">
        <v>98319</v>
      </c>
      <c r="E3293" s="99">
        <v>890</v>
      </c>
      <c r="F3293" s="19"/>
      <c r="G3293" s="21"/>
      <c r="H3293" s="22"/>
      <c r="I3293" s="20">
        <v>46188</v>
      </c>
    </row>
    <row r="3294" spans="1:9">
      <c r="A3294" s="18">
        <v>2199</v>
      </c>
      <c r="B3294" s="19" t="str">
        <f>IFERROR(VLOOKUP(A3294,CLIENTES!A:E,2,0),"CADASTRAR CLIENTE")</f>
        <v>SOCIEDADE EDUCACIONAL UBERABENSE</v>
      </c>
      <c r="C3294" s="60" t="s">
        <v>738</v>
      </c>
      <c r="D3294" s="60">
        <v>98583</v>
      </c>
      <c r="E3294" s="99">
        <v>968</v>
      </c>
      <c r="F3294" s="19"/>
      <c r="G3294" s="21"/>
      <c r="H3294" s="22"/>
      <c r="I3294" s="20">
        <v>46188</v>
      </c>
    </row>
    <row r="3295" spans="1:9">
      <c r="A3295" s="47">
        <v>3017</v>
      </c>
      <c r="B3295" s="48" t="str">
        <f>IFERROR(VLOOKUP(A3295,CLIENTES!A:E,2,0),"CADASTRAR CLIENTE")</f>
        <v>IMUNOLAB LABORATORIO DE ANALISES CLINICAS LTDA ME</v>
      </c>
      <c r="C3295" s="54" t="s">
        <v>3</v>
      </c>
      <c r="D3295" s="54">
        <v>98016</v>
      </c>
      <c r="E3295" s="51">
        <v>1082.24</v>
      </c>
      <c r="F3295" s="48"/>
      <c r="G3295" s="51"/>
      <c r="H3295" s="52"/>
      <c r="I3295" s="53">
        <v>46184</v>
      </c>
    </row>
    <row r="3296" spans="1:9">
      <c r="A3296" s="47">
        <v>1277</v>
      </c>
      <c r="B3296" s="48" t="str">
        <f>IFERROR(VLOOKUP(A3296,CLIENTES!A:E,2,0),"CADASTRAR CLIENTE")</f>
        <v>SAO ROQUE MEDICINA DIAGNOSTICA LTDA</v>
      </c>
      <c r="C3296" s="54" t="s">
        <v>3</v>
      </c>
      <c r="D3296" s="54">
        <v>98526</v>
      </c>
      <c r="E3296" s="51">
        <v>2660</v>
      </c>
      <c r="F3296" s="48"/>
      <c r="G3296" s="51"/>
      <c r="H3296" s="52"/>
      <c r="I3296" s="53">
        <v>46184</v>
      </c>
    </row>
    <row r="3297" spans="1:9">
      <c r="A3297" s="47">
        <v>1616</v>
      </c>
      <c r="B3297" s="48" t="str">
        <f>IFERROR(VLOOKUP(A3297,CLIENTES!A:E,2,0),"CADASTRAR CLIENTE")</f>
        <v>NOVO HORIZONTE LAB.ANAL.CLIN.S/C LTDA.</v>
      </c>
      <c r="C3297" s="54" t="s">
        <v>3</v>
      </c>
      <c r="D3297" s="54">
        <v>98533</v>
      </c>
      <c r="E3297" s="88">
        <v>440.4</v>
      </c>
      <c r="F3297" s="48"/>
      <c r="G3297" s="51"/>
      <c r="H3297" s="52"/>
      <c r="I3297" s="53">
        <v>46184</v>
      </c>
    </row>
    <row r="3298" spans="1:9">
      <c r="A3298" s="47">
        <v>725</v>
      </c>
      <c r="B3298" s="48" t="str">
        <f>IFERROR(VLOOKUP(A3298,CLIENTES!A:E,2,0),"CADASTRAR CLIENTE")</f>
        <v>LAB. ANAL. CLIN. DR. ALUISIO CASELLA</v>
      </c>
      <c r="C3298" s="54" t="s">
        <v>3</v>
      </c>
      <c r="D3298" s="54">
        <v>98534</v>
      </c>
      <c r="E3298" s="88">
        <v>366.95</v>
      </c>
      <c r="F3298" s="48"/>
      <c r="G3298" s="51"/>
      <c r="H3298" s="52"/>
      <c r="I3298" s="53">
        <v>46185</v>
      </c>
    </row>
    <row r="3299" spans="1:9">
      <c r="A3299" s="47">
        <v>434</v>
      </c>
      <c r="B3299" s="48" t="str">
        <f>IFERROR(VLOOKUP(A3299,CLIENTES!A:E,2,0),"CADASTRAR CLIENTE")</f>
        <v>BIOLABOR LAB. ANAL. CLIN. SC LTDA.</v>
      </c>
      <c r="C3299" s="54" t="s">
        <v>3</v>
      </c>
      <c r="D3299" s="54">
        <v>98530</v>
      </c>
      <c r="E3299" s="88">
        <v>2589.69</v>
      </c>
      <c r="F3299" s="48"/>
      <c r="G3299" s="51"/>
      <c r="H3299" s="52"/>
      <c r="I3299" s="53">
        <v>46185</v>
      </c>
    </row>
    <row r="3300" spans="1:9">
      <c r="A3300" s="47">
        <v>171</v>
      </c>
      <c r="B3300" s="48" t="str">
        <f>IFERROR(VLOOKUP(A3300,CLIENTES!A:E,2,0),"CADASTRAR CLIENTE")</f>
        <v>HOSPITAL BENEFICENTE SAO JOSE</v>
      </c>
      <c r="C3300" s="54" t="s">
        <v>3</v>
      </c>
      <c r="D3300" s="54">
        <v>97888</v>
      </c>
      <c r="E3300" s="88">
        <v>2888.4</v>
      </c>
      <c r="F3300" s="48"/>
      <c r="G3300" s="51"/>
      <c r="H3300" s="52"/>
      <c r="I3300" s="53">
        <v>46185</v>
      </c>
    </row>
    <row r="3301" spans="1:9">
      <c r="A3301" s="47">
        <v>501160</v>
      </c>
      <c r="B3301" s="48" t="str">
        <f>IFERROR(VLOOKUP(A3301,CLIENTES!A:E,2,0),"CADASTRAR CLIENTE")</f>
        <v>SAO ROQUE MEDICINA DIAGNOSTICA LTDA</v>
      </c>
      <c r="C3301" s="54" t="s">
        <v>3</v>
      </c>
      <c r="D3301" s="54">
        <v>98559</v>
      </c>
      <c r="E3301" s="88">
        <v>4662.6000000000004</v>
      </c>
      <c r="F3301" s="48"/>
      <c r="G3301" s="51"/>
      <c r="H3301" s="52"/>
      <c r="I3301" s="53">
        <v>46185</v>
      </c>
    </row>
    <row r="3302" spans="1:9">
      <c r="A3302" s="47">
        <v>708</v>
      </c>
      <c r="B3302" s="48" t="str">
        <f>IFERROR(VLOOKUP(A3302,CLIENTES!A:E,2,0),"CADASTRAR CLIENTE")</f>
        <v>IMEDI INST.MEDICO DE PAT.E DIAGNOSTICO SC LTDA.</v>
      </c>
      <c r="C3302" s="54" t="s">
        <v>3</v>
      </c>
      <c r="D3302" s="54">
        <v>98563</v>
      </c>
      <c r="E3302" s="88">
        <v>1653.83</v>
      </c>
      <c r="F3302" s="48"/>
      <c r="G3302" s="51"/>
      <c r="H3302" s="52"/>
      <c r="I3302" s="53">
        <v>46185</v>
      </c>
    </row>
    <row r="3303" spans="1:9">
      <c r="A3303" s="47">
        <v>823</v>
      </c>
      <c r="B3303" s="48" t="str">
        <f>IFERROR(VLOOKUP(A3303,CLIENTES!A:E,2,0),"CADASTRAR CLIENTE")</f>
        <v>SANCHES x SANCHES S/C LTDA</v>
      </c>
      <c r="C3303" s="54" t="s">
        <v>3</v>
      </c>
      <c r="D3303" s="54">
        <v>97830</v>
      </c>
      <c r="E3303" s="51">
        <v>1368</v>
      </c>
      <c r="F3303" s="48"/>
      <c r="G3303" s="51"/>
      <c r="H3303" s="52"/>
      <c r="I3303" s="53">
        <v>46185</v>
      </c>
    </row>
    <row r="3304" spans="1:9">
      <c r="A3304" s="47">
        <v>1234</v>
      </c>
      <c r="B3304" s="48" t="str">
        <f>IFERROR(VLOOKUP(A3304,CLIENTES!A:E,2,0),"CADASTRAR CLIENTE")</f>
        <v>LAB ANAL CLIN SAO JUDAS TADEU SC LTDA</v>
      </c>
      <c r="C3304" s="54" t="s">
        <v>3</v>
      </c>
      <c r="D3304" s="54">
        <v>98431</v>
      </c>
      <c r="E3304" s="51">
        <v>550.6</v>
      </c>
      <c r="F3304" s="48"/>
      <c r="G3304" s="51"/>
      <c r="H3304" s="52"/>
      <c r="I3304" s="53">
        <v>46185</v>
      </c>
    </row>
    <row r="3305" spans="1:9" ht="14.25" customHeight="1">
      <c r="A3305" s="47">
        <v>325</v>
      </c>
      <c r="B3305" s="48" t="str">
        <f>IFERROR(VLOOKUP(A3305,CLIENTES!A:E,2,0),"CADASTRAR CLIENTE")</f>
        <v>EXAME-LABORAT. DE ANAL. CLIN. CITODIAGNOSTICO S/S LTDA</v>
      </c>
      <c r="C3305" s="54" t="s">
        <v>3</v>
      </c>
      <c r="D3305" s="54">
        <v>98568</v>
      </c>
      <c r="E3305" s="51">
        <v>728</v>
      </c>
      <c r="F3305" s="48"/>
      <c r="G3305" s="51"/>
      <c r="H3305" s="52"/>
      <c r="I3305" s="53">
        <v>46185</v>
      </c>
    </row>
    <row r="3306" spans="1:9">
      <c r="A3306" s="47">
        <v>581</v>
      </c>
      <c r="B3306" s="48" t="str">
        <f>IFERROR(VLOOKUP(A3306,CLIENTES!A:E,2,0),"CADASTRAR CLIENTE")</f>
        <v>CLINILAB LABORAT. ANAL. CLIN SC LTDA</v>
      </c>
      <c r="C3306" s="54" t="s">
        <v>3</v>
      </c>
      <c r="D3306" s="54" t="s">
        <v>1074</v>
      </c>
      <c r="E3306" s="88">
        <v>2930.15</v>
      </c>
      <c r="F3306" s="48"/>
      <c r="G3306" s="51"/>
      <c r="H3306" s="52"/>
      <c r="I3306" s="53">
        <v>46185</v>
      </c>
    </row>
    <row r="3307" spans="1:9">
      <c r="A3307" s="47">
        <v>480</v>
      </c>
      <c r="B3307" s="48" t="str">
        <f>IFERROR(VLOOKUP(A3307,CLIENTES!A:E,2,0),"CADASTRAR CLIENTE")</f>
        <v>LAB SAO LUCAS</v>
      </c>
      <c r="C3307" s="54" t="s">
        <v>3</v>
      </c>
      <c r="D3307" s="54">
        <v>98591</v>
      </c>
      <c r="E3307" s="51">
        <v>5346.67</v>
      </c>
      <c r="F3307" s="48"/>
      <c r="G3307" s="51"/>
      <c r="H3307" s="52"/>
      <c r="I3307" s="53">
        <v>46188</v>
      </c>
    </row>
    <row r="3308" spans="1:9">
      <c r="A3308" s="47">
        <v>1842</v>
      </c>
      <c r="B3308" s="48" t="str">
        <f>IFERROR(VLOOKUP(A3308,CLIENTES!A:E,2,0),"CADASTRAR CLIENTE")</f>
        <v>LABORATORIO UNILABVET EIRELI</v>
      </c>
      <c r="C3308" s="54" t="s">
        <v>3</v>
      </c>
      <c r="D3308" s="54">
        <v>98356</v>
      </c>
      <c r="E3308" s="88">
        <v>903.45</v>
      </c>
      <c r="F3308" s="48"/>
      <c r="G3308" s="51"/>
      <c r="H3308" s="52"/>
      <c r="I3308" s="53">
        <v>46188</v>
      </c>
    </row>
    <row r="3309" spans="1:9">
      <c r="A3309" s="47">
        <v>325</v>
      </c>
      <c r="B3309" s="48" t="str">
        <f>IFERROR(VLOOKUP(A3309,CLIENTES!A:E,2,0),"CADASTRAR CLIENTE")</f>
        <v>EXAME-LABORAT. DE ANAL. CLIN. CITODIAGNOSTICO S/S LTDA</v>
      </c>
      <c r="C3309" s="54" t="s">
        <v>3</v>
      </c>
      <c r="D3309" s="54" t="s">
        <v>1075</v>
      </c>
      <c r="E3309" s="51">
        <v>1471.45</v>
      </c>
      <c r="F3309" s="48"/>
      <c r="G3309" s="51"/>
      <c r="H3309" s="52"/>
      <c r="I3309" s="53">
        <v>46188</v>
      </c>
    </row>
    <row r="3310" spans="1:9">
      <c r="A3310" s="47">
        <v>311</v>
      </c>
      <c r="B3310" s="48" t="str">
        <f>IFERROR(VLOOKUP(A3310,CLIENTES!A:E,2,0),"CADASTRAR CLIENTE")</f>
        <v>CENTRO DE ANAL.CLIN. UNILAB  SC LTDA.</v>
      </c>
      <c r="C3310" s="54" t="s">
        <v>3</v>
      </c>
      <c r="D3310" s="54">
        <v>98641</v>
      </c>
      <c r="E3310" s="88">
        <v>296</v>
      </c>
      <c r="F3310" s="48"/>
      <c r="G3310" s="51"/>
      <c r="H3310" s="52"/>
      <c r="I3310" s="53">
        <v>46189</v>
      </c>
    </row>
    <row r="3311" spans="1:9">
      <c r="A3311" s="47">
        <v>463</v>
      </c>
      <c r="B3311" s="48" t="str">
        <f>IFERROR(VLOOKUP(A3311,CLIENTES!A:E,2,0),"CADASTRAR CLIENTE")</f>
        <v>MASUDA &amp; MASUDA LABORATORIO CLINICO LTDA</v>
      </c>
      <c r="C3311" s="54" t="s">
        <v>3</v>
      </c>
      <c r="D3311" s="54">
        <v>98642</v>
      </c>
      <c r="E3311" s="88">
        <v>1059.75</v>
      </c>
      <c r="F3311" s="48"/>
      <c r="G3311" s="51"/>
      <c r="H3311" s="52"/>
      <c r="I3311" s="53">
        <v>46189</v>
      </c>
    </row>
    <row r="3312" spans="1:9">
      <c r="A3312" s="47">
        <v>311</v>
      </c>
      <c r="B3312" s="48" t="str">
        <f>IFERROR(VLOOKUP(A3312,CLIENTES!A:E,2,0),"CADASTRAR CLIENTE")</f>
        <v>CENTRO DE ANAL.CLIN. UNILAB  SC LTDA.</v>
      </c>
      <c r="C3312" s="54" t="s">
        <v>3</v>
      </c>
      <c r="D3312" s="54">
        <v>98685</v>
      </c>
      <c r="E3312" s="88">
        <v>320</v>
      </c>
      <c r="F3312" s="48"/>
      <c r="G3312" s="51"/>
      <c r="H3312" s="52"/>
      <c r="I3312" s="53">
        <v>46189</v>
      </c>
    </row>
    <row r="3313" spans="1:9">
      <c r="A3313" s="47">
        <v>501153</v>
      </c>
      <c r="B3313" s="48" t="str">
        <f>IFERROR(VLOOKUP(A3313,CLIENTES!A:E,2,0),"CADASTRAR CLIENTE")</f>
        <v>LABORATORIO SAO ROQUE LTDA</v>
      </c>
      <c r="C3313" s="54" t="s">
        <v>3</v>
      </c>
      <c r="D3313" s="54" t="s">
        <v>1076</v>
      </c>
      <c r="E3313" s="88">
        <v>378</v>
      </c>
      <c r="F3313" s="48"/>
      <c r="G3313" s="51"/>
      <c r="H3313" s="52"/>
      <c r="I3313" s="53">
        <v>46190</v>
      </c>
    </row>
    <row r="3314" spans="1:9">
      <c r="A3314" s="47">
        <v>1989</v>
      </c>
      <c r="B3314" s="48" t="str">
        <f>IFERROR(VLOOKUP(A3314,CLIENTES!A:E,2,0),"CADASTRAR CLIENTE")</f>
        <v>SAO FRANCISCO ANAL. CLIN.</v>
      </c>
      <c r="C3314" s="54" t="s">
        <v>2</v>
      </c>
      <c r="D3314" s="54">
        <v>98392</v>
      </c>
      <c r="E3314" s="88">
        <v>616.03</v>
      </c>
      <c r="F3314" s="48"/>
      <c r="G3314" s="51"/>
      <c r="H3314" s="52"/>
      <c r="I3314" s="53">
        <v>46190</v>
      </c>
    </row>
    <row r="3315" spans="1:9">
      <c r="A3315" s="47">
        <v>761</v>
      </c>
      <c r="B3315" s="48" t="str">
        <f>IFERROR(VLOOKUP(A3315,CLIENTES!A:E,2,0),"CADASTRAR CLIENTE")</f>
        <v>EXAME CENTRO DIAG.M.ARACATUBA SC LTDA.</v>
      </c>
      <c r="C3315" s="54" t="s">
        <v>3</v>
      </c>
      <c r="D3315" s="54">
        <v>98704</v>
      </c>
      <c r="E3315" s="51">
        <v>6371.84</v>
      </c>
      <c r="F3315" s="48"/>
      <c r="G3315" s="51"/>
      <c r="H3315" s="52"/>
      <c r="I3315" s="53">
        <v>46190</v>
      </c>
    </row>
    <row r="3316" spans="1:9">
      <c r="A3316" s="47">
        <v>475</v>
      </c>
      <c r="B3316" s="48" t="str">
        <f>IFERROR(VLOOKUP(A3316,CLIENTES!A:E,2,0),"CADASTRAR CLIENTE")</f>
        <v>LABORATORIO DE ANALISES CLINICAS SRC LTDA</v>
      </c>
      <c r="C3316" s="54" t="s">
        <v>3</v>
      </c>
      <c r="D3316" s="54" t="s">
        <v>1077</v>
      </c>
      <c r="E3316" s="88">
        <v>12730.59</v>
      </c>
      <c r="F3316" s="48"/>
      <c r="G3316" s="51"/>
      <c r="H3316" s="52"/>
      <c r="I3316" s="53">
        <v>46190</v>
      </c>
    </row>
    <row r="3317" spans="1:9">
      <c r="A3317" s="47">
        <v>311</v>
      </c>
      <c r="B3317" s="48" t="str">
        <f>IFERROR(VLOOKUP(A3317,CLIENTES!A:E,2,0),"CADASTRAR CLIENTE")</f>
        <v>CENTRO DE ANAL.CLIN. UNILAB  SC LTDA.</v>
      </c>
      <c r="C3317" s="54" t="s">
        <v>3</v>
      </c>
      <c r="D3317" s="54">
        <v>98723</v>
      </c>
      <c r="E3317" s="88"/>
      <c r="F3317" s="48"/>
      <c r="G3317" s="88">
        <v>6480</v>
      </c>
      <c r="H3317" s="52"/>
      <c r="I3317" s="53">
        <v>46203</v>
      </c>
    </row>
    <row r="3318" spans="1:9">
      <c r="A3318" s="47">
        <v>500982</v>
      </c>
      <c r="B3318" s="48" t="str">
        <f>IFERROR(VLOOKUP(A3318,CLIENTES!A:E,2,0),"CADASTRAR CLIENTE")</f>
        <v>INOVA LABORATORIO DE ANALISES CLINICAS LTDA</v>
      </c>
      <c r="C3318" s="54" t="s">
        <v>3</v>
      </c>
      <c r="D3318" s="54">
        <v>98713</v>
      </c>
      <c r="E3318" s="88">
        <v>1189.95</v>
      </c>
      <c r="F3318" s="48"/>
      <c r="G3318" s="88">
        <v>6850</v>
      </c>
      <c r="H3318" s="52"/>
      <c r="I3318" s="53">
        <v>46190</v>
      </c>
    </row>
    <row r="3319" spans="1:9">
      <c r="A3319" s="47">
        <v>3190</v>
      </c>
      <c r="B3319" s="48" t="str">
        <f>IFERROR(VLOOKUP(A3319,CLIENTES!A:E,2,0),"CADASTRAR CLIENTE")</f>
        <v>C D A CENTRO DE DIAGNOSTICO VETERINARIO</v>
      </c>
      <c r="C3319" s="54" t="s">
        <v>3</v>
      </c>
      <c r="D3319" s="54" t="s">
        <v>1078</v>
      </c>
      <c r="E3319" s="88">
        <v>706.7</v>
      </c>
      <c r="F3319" s="48"/>
      <c r="G3319" s="51"/>
      <c r="H3319" s="52"/>
      <c r="I3319" s="53">
        <v>46191</v>
      </c>
    </row>
    <row r="3320" spans="1:9">
      <c r="A3320" s="47">
        <v>501156</v>
      </c>
      <c r="B3320" s="48" t="str">
        <f>IFERROR(VLOOKUP(A3320,CLIENTES!A:E,2,0),"CADASTRAR CLIENTE")</f>
        <v>SERRA MAYOR SERVICOS MEDICOS S/A</v>
      </c>
      <c r="C3320" s="54" t="s">
        <v>2</v>
      </c>
      <c r="D3320" s="54">
        <v>98371</v>
      </c>
      <c r="E3320" s="88">
        <v>3920</v>
      </c>
      <c r="F3320" s="48"/>
      <c r="G3320" s="88"/>
      <c r="H3320" s="52"/>
      <c r="I3320" s="53">
        <v>46191</v>
      </c>
    </row>
    <row r="3321" spans="1:9">
      <c r="A3321" s="47">
        <v>3441</v>
      </c>
      <c r="B3321" s="48" t="str">
        <f>IFERROR(VLOOKUP(A3321,CLIENTES!A:E,2,0),"CADASTRAR CLIENTE")</f>
        <v>SOCIEDADE EDUCACIONAL UBERABENSE</v>
      </c>
      <c r="C3321" s="54" t="s">
        <v>738</v>
      </c>
      <c r="D3321" s="54">
        <v>98737</v>
      </c>
      <c r="E3321" s="51">
        <v>672</v>
      </c>
      <c r="F3321" s="48"/>
      <c r="G3321" s="51"/>
      <c r="H3321" s="52"/>
      <c r="I3321" s="53">
        <v>46191</v>
      </c>
    </row>
    <row r="3322" spans="1:9">
      <c r="A3322" s="47">
        <v>2415</v>
      </c>
      <c r="B3322" s="48" t="str">
        <f>IFERROR(VLOOKUP(A3322,CLIENTES!A:E,2,0),"CADASTRAR CLIENTE")</f>
        <v>ROSSETTO E BARROS LABORATORIO DE ANALISES CLINICAS LTDA</v>
      </c>
      <c r="C3322" s="54" t="s">
        <v>3</v>
      </c>
      <c r="D3322" s="54">
        <v>98745</v>
      </c>
      <c r="E3322" s="51">
        <v>648</v>
      </c>
      <c r="F3322" s="48"/>
      <c r="G3322" s="51"/>
      <c r="H3322" s="52"/>
      <c r="I3322" s="53">
        <v>46191</v>
      </c>
    </row>
    <row r="3323" spans="1:9">
      <c r="A3323" s="47">
        <v>2752</v>
      </c>
      <c r="B3323" s="48" t="str">
        <f>IFERROR(VLOOKUP(A3323,CLIENTES!A:E,2,0),"CADASTRAR CLIENTE")</f>
        <v>ROTOLI CLINICA VETERINARIA LTDA ME</v>
      </c>
      <c r="C3323" s="54" t="s">
        <v>3</v>
      </c>
      <c r="D3323" s="54">
        <v>98750</v>
      </c>
      <c r="E3323" s="51">
        <v>96</v>
      </c>
      <c r="F3323" s="48"/>
      <c r="G3323" s="51"/>
      <c r="H3323" s="52"/>
      <c r="I3323" s="53">
        <v>46191</v>
      </c>
    </row>
    <row r="3324" spans="1:9">
      <c r="A3324" s="47">
        <v>311</v>
      </c>
      <c r="B3324" s="48" t="str">
        <f>IFERROR(VLOOKUP(A3324,CLIENTES!A:E,2,0),"CADASTRAR CLIENTE")</f>
        <v>CENTRO DE ANAL.CLIN. UNILAB  SC LTDA.</v>
      </c>
      <c r="C3324" s="54" t="s">
        <v>3</v>
      </c>
      <c r="D3324" s="54">
        <v>103285</v>
      </c>
      <c r="E3324" s="51">
        <v>1732.95</v>
      </c>
      <c r="F3324" s="48"/>
      <c r="G3324" s="51"/>
      <c r="H3324" s="52"/>
      <c r="I3324" s="53">
        <v>46191</v>
      </c>
    </row>
    <row r="3325" spans="1:9">
      <c r="A3325" s="47">
        <v>663</v>
      </c>
      <c r="B3325" s="48" t="str">
        <f>IFERROR(VLOOKUP(A3325,CLIENTES!A:E,2,0),"CADASTRAR CLIENTE")</f>
        <v>LAB. MEDICO GUIMARAES</v>
      </c>
      <c r="C3325" s="54" t="s">
        <v>3</v>
      </c>
      <c r="D3325" s="54" t="s">
        <v>1080</v>
      </c>
      <c r="E3325" s="51">
        <v>2539.4</v>
      </c>
      <c r="F3325" s="48"/>
      <c r="G3325" s="51"/>
      <c r="H3325" s="52"/>
      <c r="I3325" s="53">
        <v>46191</v>
      </c>
    </row>
    <row r="3326" spans="1:9">
      <c r="A3326" s="47">
        <v>50418</v>
      </c>
      <c r="B3326" s="48" t="str">
        <f>IFERROR(VLOOKUP(A3326,CLIENTES!A:E,2,0),"CADASTRAR CLIENTE")</f>
        <v>LABORATORIO SAO LUCAS DE BROTAS SS LTDA</v>
      </c>
      <c r="C3326" s="54" t="s">
        <v>3</v>
      </c>
      <c r="D3326" s="54">
        <v>98773</v>
      </c>
      <c r="E3326" s="88">
        <v>1282.8</v>
      </c>
      <c r="F3326" s="48"/>
      <c r="G3326" s="51"/>
      <c r="H3326" s="52"/>
      <c r="I3326" s="53">
        <v>46191</v>
      </c>
    </row>
    <row r="3327" spans="1:9">
      <c r="A3327" s="47">
        <v>51182</v>
      </c>
      <c r="B3327" s="48" t="str">
        <f>IFERROR(VLOOKUP(A3327,CLIENTES!A:E,2,0),"CADASTRAR CLIENTE")</f>
        <v>GENNER FABRIS FLORENCIO OLIVO</v>
      </c>
      <c r="C3327" s="54" t="s">
        <v>3</v>
      </c>
      <c r="D3327" s="54" t="s">
        <v>1082</v>
      </c>
      <c r="E3327" s="51">
        <v>557.79999999999995</v>
      </c>
      <c r="F3327" s="48"/>
      <c r="G3327" s="21">
        <v>1899</v>
      </c>
      <c r="H3327" s="52"/>
      <c r="I3327" s="53">
        <v>46192</v>
      </c>
    </row>
    <row r="3328" spans="1:9">
      <c r="A3328" s="47">
        <v>704</v>
      </c>
      <c r="B3328" s="48" t="str">
        <f>IFERROR(VLOOKUP(A3328,CLIENTES!A:E,2,0),"CADASTRAR CLIENTE")</f>
        <v>LAB. ONUMA E BASILIO S/C LTDA</v>
      </c>
      <c r="C3328" s="54" t="s">
        <v>3</v>
      </c>
      <c r="D3328" s="54" t="s">
        <v>1081</v>
      </c>
      <c r="E3328" s="88">
        <v>1166.55</v>
      </c>
      <c r="F3328" s="48"/>
      <c r="G3328" s="51"/>
      <c r="H3328" s="52"/>
      <c r="I3328" s="53">
        <v>46192</v>
      </c>
    </row>
    <row r="3329" spans="1:9">
      <c r="A3329" s="47">
        <v>408</v>
      </c>
      <c r="B3329" s="48" t="str">
        <f>IFERROR(VLOOKUP(A3329,CLIENTES!A:E,2,0),"CADASTRAR CLIENTE")</f>
        <v>FUND.DESENV.DE CIENCIAS FARMACEUTICAS</v>
      </c>
      <c r="C3329" s="54" t="s">
        <v>3</v>
      </c>
      <c r="D3329" s="54">
        <v>98086</v>
      </c>
      <c r="E3329" s="51">
        <v>1540</v>
      </c>
      <c r="F3329" s="48"/>
      <c r="G3329" s="51"/>
      <c r="H3329" s="52"/>
      <c r="I3329" s="53">
        <v>46195</v>
      </c>
    </row>
    <row r="3330" spans="1:9">
      <c r="A3330" s="47">
        <v>1164</v>
      </c>
      <c r="B3330" s="48" t="str">
        <f>IFERROR(VLOOKUP(A3330,CLIENTES!A:E,2,0),"CADASTRAR CLIENTE")</f>
        <v>LAB. ANAL. CLIN. SAO LOURENCO S/C LTDA</v>
      </c>
      <c r="C3330" s="54" t="s">
        <v>3</v>
      </c>
      <c r="D3330" s="54">
        <v>98835</v>
      </c>
      <c r="E3330" s="51">
        <v>1714.09</v>
      </c>
      <c r="F3330" s="48"/>
      <c r="G3330" s="51"/>
      <c r="H3330" s="52"/>
      <c r="I3330" s="53">
        <v>46195</v>
      </c>
    </row>
    <row r="3331" spans="1:9">
      <c r="A3331" s="47">
        <v>761</v>
      </c>
      <c r="B3331" s="48" t="str">
        <f>IFERROR(VLOOKUP(A3331,CLIENTES!A:E,2,0),"CADASTRAR CLIENTE")</f>
        <v>EXAME CENTRO DIAG.M.ARACATUBA SC LTDA.</v>
      </c>
      <c r="C3331" s="54" t="s">
        <v>3</v>
      </c>
      <c r="D3331" s="54">
        <v>98297</v>
      </c>
      <c r="E3331" s="51">
        <v>3391.99</v>
      </c>
      <c r="F3331" s="48"/>
      <c r="G3331" s="51"/>
      <c r="H3331" s="52"/>
      <c r="I3331" s="53">
        <v>46195</v>
      </c>
    </row>
    <row r="3332" spans="1:9">
      <c r="A3332" s="47">
        <v>500243</v>
      </c>
      <c r="B3332" s="48" t="str">
        <f>IFERROR(VLOOKUP(A3332,CLIENTES!A:E,2,0),"CADASTRAR CLIENTE")</f>
        <v>UNIMED DE IBITINGA COOPERATIVA DE TRABALHO MEDICO</v>
      </c>
      <c r="C3332" s="54" t="s">
        <v>3</v>
      </c>
      <c r="D3332" s="54">
        <v>98443</v>
      </c>
      <c r="E3332" s="51">
        <v>922.11</v>
      </c>
      <c r="F3332" s="48"/>
      <c r="G3332" s="51"/>
      <c r="H3332" s="52"/>
      <c r="I3332" s="53">
        <v>46196</v>
      </c>
    </row>
    <row r="3333" spans="1:9">
      <c r="A3333" s="47">
        <v>2199</v>
      </c>
      <c r="B3333" s="48" t="str">
        <f>IFERROR(VLOOKUP(A3333,CLIENTES!A:E,2,0),"CADASTRAR CLIENTE")</f>
        <v>SOCIEDADE EDUCACIONAL UBERABENSE</v>
      </c>
      <c r="C3333" s="54" t="s">
        <v>738</v>
      </c>
      <c r="D3333" s="54">
        <v>98877</v>
      </c>
      <c r="E3333" s="51"/>
      <c r="F3333" s="48"/>
      <c r="G3333" s="51">
        <v>1450</v>
      </c>
      <c r="H3333" s="52"/>
      <c r="I3333" s="53">
        <v>46196</v>
      </c>
    </row>
    <row r="3334" spans="1:9">
      <c r="A3334" s="47">
        <v>874</v>
      </c>
      <c r="B3334" s="48" t="str">
        <f>IFERROR(VLOOKUP(A3334,CLIENTES!A:E,2,0),"CADASTRAR CLIENTE")</f>
        <v>LAB.ANAL.CLIN ABI JAUDI SC LTDA.</v>
      </c>
      <c r="C3334" s="54" t="s">
        <v>3</v>
      </c>
      <c r="D3334" s="54">
        <v>98891</v>
      </c>
      <c r="E3334" s="51">
        <v>3446.32</v>
      </c>
      <c r="F3334" s="48"/>
      <c r="G3334" s="51"/>
      <c r="H3334" s="52"/>
      <c r="I3334" s="53">
        <v>46196</v>
      </c>
    </row>
    <row r="3335" spans="1:9">
      <c r="A3335" s="47">
        <v>708</v>
      </c>
      <c r="B3335" s="48" t="str">
        <f>IFERROR(VLOOKUP(A3335,CLIENTES!A:E,2,0),"CADASTRAR CLIENTE")</f>
        <v>IMEDI INST.MEDICO DE PAT.E DIAGNOSTICO SC LTDA.</v>
      </c>
      <c r="C3335" s="54" t="s">
        <v>3</v>
      </c>
      <c r="D3335" s="49">
        <v>98883</v>
      </c>
      <c r="E3335" s="51">
        <v>508</v>
      </c>
      <c r="F3335" s="48"/>
      <c r="G3335" s="51"/>
      <c r="H3335" s="52"/>
      <c r="I3335" s="53">
        <v>46196</v>
      </c>
    </row>
    <row r="3336" spans="1:9">
      <c r="A3336" s="47">
        <v>516</v>
      </c>
      <c r="B3336" s="48" t="str">
        <f>IFERROR(VLOOKUP(A3336,CLIENTES!A:E,2,0),"CADASTRAR CLIENTE")</f>
        <v>TECNOLAB PATOLOGIA CLINICA S/C LTDA</v>
      </c>
      <c r="C3336" s="54" t="s">
        <v>3</v>
      </c>
      <c r="D3336" s="54">
        <v>98826</v>
      </c>
      <c r="E3336" s="88">
        <v>14222.29</v>
      </c>
      <c r="F3336" s="48"/>
      <c r="G3336" s="51"/>
      <c r="H3336" s="52"/>
      <c r="I3336" s="53">
        <v>46196</v>
      </c>
    </row>
    <row r="3337" spans="1:9">
      <c r="A3337" s="47">
        <v>620</v>
      </c>
      <c r="B3337" s="48" t="str">
        <f>IFERROR(VLOOKUP(A3337,CLIENTES!A:E,2,0),"CADASTRAR CLIENTE")</f>
        <v>LAB.SAO PAULO DE ANAL.CLIN.SC LTDA.</v>
      </c>
      <c r="C3337" s="54" t="s">
        <v>3</v>
      </c>
      <c r="D3337" s="54" t="s">
        <v>1084</v>
      </c>
      <c r="E3337" s="88">
        <v>1449.15</v>
      </c>
      <c r="F3337" s="48"/>
      <c r="G3337" s="51"/>
      <c r="H3337" s="52"/>
      <c r="I3337" s="53">
        <v>46196</v>
      </c>
    </row>
    <row r="3338" spans="1:9">
      <c r="A3338" s="47">
        <v>3557</v>
      </c>
      <c r="B3338" s="48" t="str">
        <f>IFERROR(VLOOKUP(A3338,CLIENTES!A:E,2,0),"CADASTRAR CLIENTE")</f>
        <v>ASSOCIACAO BENEFICIENTE NOSSA SENHORA DE NAZARE</v>
      </c>
      <c r="C3338" s="54" t="s">
        <v>3</v>
      </c>
      <c r="D3338" s="54">
        <v>98931</v>
      </c>
      <c r="E3338" s="51">
        <v>6250</v>
      </c>
      <c r="F3338" s="48"/>
      <c r="G3338" s="51"/>
      <c r="H3338" s="52"/>
      <c r="I3338" s="53">
        <v>46197</v>
      </c>
    </row>
    <row r="3339" spans="1:9">
      <c r="A3339" s="47">
        <v>412</v>
      </c>
      <c r="B3339" s="48" t="str">
        <f>IFERROR(VLOOKUP(A3339,CLIENTES!A:E,2,0),"CADASTRAR CLIENTE")</f>
        <v>LAB.ANAL.CLIN.SAO MANUEL SC LTDA.</v>
      </c>
      <c r="C3339" s="54" t="s">
        <v>3</v>
      </c>
      <c r="D3339" s="54">
        <v>98931</v>
      </c>
      <c r="E3339" s="51">
        <v>655.07000000000005</v>
      </c>
      <c r="F3339" s="48"/>
      <c r="G3339" s="51"/>
      <c r="H3339" s="52"/>
      <c r="I3339" s="53">
        <v>46197</v>
      </c>
    </row>
    <row r="3340" spans="1:9">
      <c r="A3340" s="47">
        <v>2415</v>
      </c>
      <c r="B3340" s="48" t="str">
        <f>IFERROR(VLOOKUP(A3340,CLIENTES!A:E,2,0),"CADASTRAR CLIENTE")</f>
        <v>ROSSETTO E BARROS LABORATORIO DE ANALISES CLINICAS LTDA</v>
      </c>
      <c r="C3340" s="54" t="s">
        <v>3</v>
      </c>
      <c r="D3340" s="54">
        <v>98882</v>
      </c>
      <c r="E3340" s="51">
        <v>1118.2</v>
      </c>
      <c r="F3340" s="48"/>
      <c r="G3340" s="51"/>
      <c r="H3340" s="52"/>
      <c r="I3340" s="53">
        <v>46197</v>
      </c>
    </row>
    <row r="3341" spans="1:9">
      <c r="A3341" s="47">
        <v>2022</v>
      </c>
      <c r="B3341" s="48" t="str">
        <f>IFERROR(VLOOKUP(A3341,CLIENTES!A:E,2,0),"CADASTRAR CLIENTE")</f>
        <v>LAB. MEDICO DR. MARICONDI S/C LTDA.</v>
      </c>
      <c r="C3341" s="54" t="s">
        <v>3</v>
      </c>
      <c r="D3341" s="54">
        <v>98872</v>
      </c>
      <c r="E3341" s="51">
        <v>210.6</v>
      </c>
      <c r="F3341" s="48"/>
      <c r="G3341" s="51"/>
      <c r="H3341" s="52"/>
      <c r="I3341" s="53">
        <v>46197</v>
      </c>
    </row>
    <row r="3342" spans="1:9">
      <c r="A3342" s="47">
        <v>784</v>
      </c>
      <c r="B3342" s="48" t="str">
        <f>IFERROR(VLOOKUP(A3342,CLIENTES!A:E,2,0),"CADASTRAR CLIENTE")</f>
        <v>LAB.ANAL.CLIN. ALBERT SABIN SC LTDA.</v>
      </c>
      <c r="C3342" s="54" t="s">
        <v>3</v>
      </c>
      <c r="D3342" s="54">
        <v>98960</v>
      </c>
      <c r="E3342" s="51">
        <v>2948.2</v>
      </c>
      <c r="F3342" s="48"/>
      <c r="G3342" s="51"/>
      <c r="H3342" s="52"/>
      <c r="I3342" s="53">
        <v>46197</v>
      </c>
    </row>
    <row r="3343" spans="1:9">
      <c r="A3343" s="47">
        <v>761</v>
      </c>
      <c r="B3343" s="48" t="str">
        <f>IFERROR(VLOOKUP(A3343,CLIENTES!A:E,2,0),"CADASTRAR CLIENTE")</f>
        <v>EXAME CENTRO DIAG.M.ARACATUBA SC LTDA.</v>
      </c>
      <c r="C3343" s="54" t="s">
        <v>3</v>
      </c>
      <c r="D3343" s="54">
        <v>98988</v>
      </c>
      <c r="E3343" s="88">
        <v>21344.31</v>
      </c>
      <c r="F3343" s="48"/>
      <c r="G3343" s="51"/>
      <c r="H3343" s="52"/>
      <c r="I3343" s="53">
        <v>46202</v>
      </c>
    </row>
    <row r="3344" spans="1:9">
      <c r="A3344" s="104">
        <v>500982</v>
      </c>
      <c r="B3344" s="48" t="str">
        <f>IFERROR(VLOOKUP(A3344,CLIENTES!A:E,2,0),"CADASTRAR CLIENTE")</f>
        <v>INOVA LABORATORIO DE ANALISES CLINICAS LTDA</v>
      </c>
      <c r="C3344" s="54" t="s">
        <v>3</v>
      </c>
      <c r="D3344" s="54">
        <v>98982</v>
      </c>
      <c r="E3344" s="51">
        <v>1471.54</v>
      </c>
      <c r="F3344" s="48"/>
      <c r="G3344" s="51"/>
      <c r="H3344" s="52"/>
      <c r="I3344" s="53">
        <v>46198</v>
      </c>
    </row>
    <row r="3345" spans="1:9">
      <c r="A3345" s="47">
        <v>2199</v>
      </c>
      <c r="B3345" s="48" t="str">
        <f>IFERROR(VLOOKUP(A3345,CLIENTES!A:E,2,0),"CADASTRAR CLIENTE")</f>
        <v>SOCIEDADE EDUCACIONAL UBERABENSE</v>
      </c>
      <c r="C3345" s="54" t="s">
        <v>3</v>
      </c>
      <c r="D3345" s="54">
        <v>99012</v>
      </c>
      <c r="E3345" s="88">
        <v>2207</v>
      </c>
      <c r="F3345" s="48"/>
      <c r="G3345" s="51"/>
      <c r="H3345" s="52"/>
      <c r="I3345" s="53">
        <v>46198</v>
      </c>
    </row>
    <row r="3346" spans="1:9">
      <c r="A3346" s="47">
        <v>1493</v>
      </c>
      <c r="B3346" s="48" t="str">
        <f>IFERROR(VLOOKUP(A3346,CLIENTES!A:E,2,0),"CADASTRAR CLIENTE")</f>
        <v>CEDIMA  CENTRO DE DIAG MONTE AZUL ANAL CLIN E CIT</v>
      </c>
      <c r="C3346" s="54" t="s">
        <v>3</v>
      </c>
      <c r="D3346" s="54">
        <v>98456</v>
      </c>
      <c r="E3346" s="88">
        <v>712.8</v>
      </c>
      <c r="F3346" s="48"/>
      <c r="G3346" s="51"/>
      <c r="H3346" s="52"/>
      <c r="I3346" s="53">
        <v>46199</v>
      </c>
    </row>
    <row r="3347" spans="1:9">
      <c r="A3347" s="47">
        <v>2199</v>
      </c>
      <c r="B3347" s="48" t="str">
        <f>IFERROR(VLOOKUP(A3347,CLIENTES!A:E,2,0),"CADASTRAR CLIENTE")</f>
        <v>SOCIEDADE EDUCACIONAL UBERABENSE</v>
      </c>
      <c r="C3347" s="54" t="s">
        <v>3</v>
      </c>
      <c r="D3347" s="54">
        <v>99066</v>
      </c>
      <c r="E3347" s="51">
        <v>112</v>
      </c>
      <c r="F3347" s="48"/>
      <c r="G3347" s="51"/>
      <c r="H3347" s="52"/>
      <c r="I3347" s="53">
        <v>46202</v>
      </c>
    </row>
    <row r="3348" spans="1:9">
      <c r="A3348" s="47">
        <v>3492</v>
      </c>
      <c r="B3348" s="48" t="str">
        <f>IFERROR(VLOOKUP(A3348,CLIENTES!A:E,2,0),"CADASTRAR CLIENTE")</f>
        <v>SOCIEDADE EDUCACIONAL UBERABENSE</v>
      </c>
      <c r="C3348" s="54" t="s">
        <v>738</v>
      </c>
      <c r="D3348" s="54" t="s">
        <v>1086</v>
      </c>
      <c r="E3348" s="88">
        <v>353.8</v>
      </c>
      <c r="F3348" s="48"/>
      <c r="G3348" s="51"/>
      <c r="H3348" s="52"/>
      <c r="I3348" s="53">
        <v>46202</v>
      </c>
    </row>
    <row r="3349" spans="1:9">
      <c r="A3349" s="47">
        <v>2199</v>
      </c>
      <c r="B3349" s="48" t="str">
        <f>IFERROR(VLOOKUP(A3349,CLIENTES!A:E,2,0),"CADASTRAR CLIENTE")</f>
        <v>SOCIEDADE EDUCACIONAL UBERABENSE</v>
      </c>
      <c r="C3349" s="54" t="s">
        <v>3</v>
      </c>
      <c r="D3349" s="54">
        <v>103437</v>
      </c>
      <c r="E3349" s="88">
        <v>115.5</v>
      </c>
      <c r="F3349" s="48"/>
      <c r="G3349" s="51"/>
      <c r="H3349" s="52"/>
      <c r="I3349" s="53">
        <v>46202</v>
      </c>
    </row>
    <row r="3350" spans="1:9">
      <c r="A3350" s="47">
        <v>1534</v>
      </c>
      <c r="B3350" s="48" t="str">
        <f>IFERROR(VLOOKUP(A3350,CLIENTES!A:E,2,0),"CADASTRAR CLIENTE")</f>
        <v>CISCRE IMPORTACAO E DISTRIBUICAO DE PRODUTOS MEDICOS LTDA</v>
      </c>
      <c r="C3350" s="54" t="s">
        <v>3</v>
      </c>
      <c r="D3350" s="54">
        <v>99086</v>
      </c>
      <c r="E3350" s="51">
        <v>88</v>
      </c>
      <c r="F3350" s="48"/>
      <c r="G3350" s="51"/>
      <c r="H3350" s="52"/>
      <c r="I3350" s="53">
        <v>46203</v>
      </c>
    </row>
    <row r="3351" spans="1:9">
      <c r="A3351" s="47">
        <v>500005</v>
      </c>
      <c r="B3351" s="48" t="str">
        <f>IFERROR(VLOOKUP(A3351,CLIENTES!A:E,2,0),"CADASTRAR CLIENTE")</f>
        <v>ASSOCIACAO EDUCACIONAL DE ENSINO SUPERIOR</v>
      </c>
      <c r="C3351" s="54" t="s">
        <v>3</v>
      </c>
      <c r="D3351" s="54">
        <v>99102</v>
      </c>
      <c r="E3351" s="51"/>
      <c r="F3351" s="48"/>
      <c r="G3351" s="51">
        <v>4590</v>
      </c>
      <c r="H3351" s="52"/>
      <c r="I3351" s="53">
        <v>46203</v>
      </c>
    </row>
    <row r="3352" spans="1:9">
      <c r="A3352" s="47">
        <v>1813</v>
      </c>
      <c r="B3352" s="48" t="str">
        <f>IFERROR(VLOOKUP(A3352,CLIENTES!A:E,2,0),"CADASTRAR CLIENTE")</f>
        <v>BIOMED LAB.ANAL.CLIN. SC  LTDA</v>
      </c>
      <c r="C3352" s="54" t="s">
        <v>3</v>
      </c>
      <c r="D3352" s="54">
        <v>99109</v>
      </c>
      <c r="E3352" s="51">
        <v>1299.7</v>
      </c>
      <c r="F3352" s="48"/>
      <c r="G3352" s="51"/>
      <c r="H3352" s="52"/>
      <c r="I3352" s="53">
        <v>46203</v>
      </c>
    </row>
    <row r="3353" spans="1:9">
      <c r="A3353" s="47">
        <v>762</v>
      </c>
      <c r="B3353" s="48" t="str">
        <f>IFERROR(VLOOKUP(A3353,CLIENTES!A:E,2,0),"CADASTRAR CLIENTE")</f>
        <v>STA. CASA MISERICORDIA DE ARACATUBA</v>
      </c>
      <c r="C3353" s="54" t="s">
        <v>3</v>
      </c>
      <c r="D3353" s="108">
        <v>98754</v>
      </c>
      <c r="E3353" s="51">
        <v>4121.1000000000004</v>
      </c>
      <c r="F3353" s="48"/>
      <c r="G3353" s="51"/>
      <c r="H3353" s="52"/>
      <c r="I3353" s="53">
        <v>46204</v>
      </c>
    </row>
    <row r="3354" spans="1:9">
      <c r="A3354" s="47">
        <v>50936</v>
      </c>
      <c r="B3354" s="48" t="str">
        <f>IFERROR(VLOOKUP(A3354,CLIENTES!A:E,2,0),"CADASTRAR CLIENTE")</f>
        <v>LABORATORIO DE ANALISES CLINICAS SAO JOSE LTDA</v>
      </c>
      <c r="C3354" s="54" t="s">
        <v>3</v>
      </c>
      <c r="D3354" s="54">
        <v>99153</v>
      </c>
      <c r="E3354" s="51">
        <v>850</v>
      </c>
      <c r="F3354" s="48"/>
      <c r="G3354" s="51"/>
      <c r="H3354" s="52"/>
      <c r="I3354" s="53">
        <v>46204</v>
      </c>
    </row>
    <row r="3355" spans="1:9">
      <c r="A3355" s="47">
        <v>408</v>
      </c>
      <c r="B3355" s="48" t="str">
        <f>IFERROR(VLOOKUP(A3355,CLIENTES!A:E,2,0),"CADASTRAR CLIENTE")</f>
        <v>FUND.DESENV.DE CIENCIAS FARMACEUTICAS</v>
      </c>
      <c r="C3355" s="54" t="s">
        <v>3</v>
      </c>
      <c r="D3355" s="54" t="s">
        <v>1087</v>
      </c>
      <c r="E3355" s="88">
        <v>2649.8</v>
      </c>
      <c r="F3355" s="48"/>
      <c r="G3355" s="88"/>
      <c r="H3355" s="52"/>
      <c r="I3355" s="53">
        <v>46204</v>
      </c>
    </row>
    <row r="3356" spans="1:9">
      <c r="A3356" s="47">
        <v>2911</v>
      </c>
      <c r="B3356" s="48" t="str">
        <f>IFERROR(VLOOKUP(A3356,CLIENTES!A:E,2,0),"CADASTRAR CLIENTE")</f>
        <v>BIOLIFE-LABORATORIO DE ANALISES CLINICAS LTDA</v>
      </c>
      <c r="C3356" s="54" t="s">
        <v>3</v>
      </c>
      <c r="D3356" s="54" t="s">
        <v>1085</v>
      </c>
      <c r="E3356" s="88">
        <v>2532.1999999999998</v>
      </c>
      <c r="F3356" s="48"/>
      <c r="G3356" s="88"/>
      <c r="H3356" s="52"/>
      <c r="I3356" s="53">
        <v>46205</v>
      </c>
    </row>
    <row r="3357" spans="1:9">
      <c r="A3357" s="47">
        <v>1234</v>
      </c>
      <c r="B3357" s="48" t="str">
        <f>IFERROR(VLOOKUP(A3357,CLIENTES!A:E,2,0),"CADASTRAR CLIENTE")</f>
        <v>LAB ANAL CLIN SAO JUDAS TADEU SC LTDA</v>
      </c>
      <c r="C3357" s="54" t="s">
        <v>3</v>
      </c>
      <c r="D3357" s="54">
        <v>99138</v>
      </c>
      <c r="E3357" s="51">
        <v>1049</v>
      </c>
      <c r="F3357" s="48"/>
      <c r="G3357" s="51"/>
      <c r="H3357" s="52"/>
      <c r="I3357" s="53">
        <v>46204</v>
      </c>
    </row>
    <row r="3358" spans="1:9">
      <c r="A3358" s="47">
        <v>1616</v>
      </c>
      <c r="B3358" s="48" t="str">
        <f>IFERROR(VLOOKUP(A3358,CLIENTES!A:E,2,0),"CADASTRAR CLIENTE")</f>
        <v>NOVO HORIZONTE LAB.ANAL.CLIN.S/C LTDA.</v>
      </c>
      <c r="C3358" s="54" t="s">
        <v>3</v>
      </c>
      <c r="D3358" s="54">
        <v>99140</v>
      </c>
      <c r="E3358" s="51">
        <v>696</v>
      </c>
      <c r="F3358" s="48"/>
      <c r="G3358" s="51"/>
      <c r="H3358" s="52"/>
      <c r="I3358" s="53">
        <v>46204</v>
      </c>
    </row>
    <row r="3359" spans="1:9">
      <c r="A3359" s="47">
        <v>2980</v>
      </c>
      <c r="B3359" s="48" t="str">
        <f>IFERROR(VLOOKUP(A3359,CLIENTES!A:E,2,0),"CADASTRAR CLIENTE")</f>
        <v>ALMEIDA &amp; FLAITT LABORATORIOS DE ANALISES CLINICAS LTDA</v>
      </c>
      <c r="C3359" s="54" t="s">
        <v>3</v>
      </c>
      <c r="D3359" s="54" t="s">
        <v>1088</v>
      </c>
      <c r="E3359" s="51">
        <v>1494.17</v>
      </c>
      <c r="F3359" s="48"/>
      <c r="G3359" s="51"/>
      <c r="H3359" s="52"/>
      <c r="I3359" s="53">
        <v>46204</v>
      </c>
    </row>
    <row r="3360" spans="1:9">
      <c r="A3360" s="47">
        <v>906</v>
      </c>
      <c r="B3360" s="48" t="str">
        <f>IFERROR(VLOOKUP(A3360,CLIENTES!A:E,2,0),"CADASTRAR CLIENTE")</f>
        <v>LABORATORIO ANAL. CLIN. DESCALVADO LTDA</v>
      </c>
      <c r="C3360" s="54" t="s">
        <v>3</v>
      </c>
      <c r="D3360" s="54" t="s">
        <v>1089</v>
      </c>
      <c r="E3360" s="51">
        <v>950.68</v>
      </c>
      <c r="F3360" s="48"/>
      <c r="G3360" s="51"/>
      <c r="H3360" s="52"/>
      <c r="I3360" s="53">
        <v>46204</v>
      </c>
    </row>
    <row r="3361" spans="1:9">
      <c r="A3361" s="47">
        <v>3240</v>
      </c>
      <c r="B3361" s="48" t="str">
        <f>IFERROR(VLOOKUP(A3361,CLIENTES!A:E,2,0),"CADASTRAR CLIENTE")</f>
        <v>LABORLOPES LABORATORIO DE  ANALISES CLINICAS LTDA</v>
      </c>
      <c r="C3361" s="54" t="s">
        <v>3</v>
      </c>
      <c r="D3361" s="54" t="s">
        <v>1090</v>
      </c>
      <c r="E3361" s="88">
        <v>414</v>
      </c>
      <c r="F3361" s="48"/>
      <c r="G3361" s="88"/>
      <c r="H3361" s="52"/>
      <c r="I3361" s="53">
        <v>46204</v>
      </c>
    </row>
    <row r="3362" spans="1:9">
      <c r="A3362" s="47">
        <v>822</v>
      </c>
      <c r="B3362" s="48" t="str">
        <f>IFERROR(VLOOKUP(A3362,CLIENTES!A:E,2,0),"CADASTRAR CLIENTE")</f>
        <v>SAO LUCAS LABORATORIO ANAL. CLIN. S/C LTDA</v>
      </c>
      <c r="C3362" s="54" t="s">
        <v>3</v>
      </c>
      <c r="D3362" s="54" t="s">
        <v>1091</v>
      </c>
      <c r="E3362" s="51">
        <v>3158.63</v>
      </c>
      <c r="F3362" s="48"/>
      <c r="G3362" s="51"/>
      <c r="H3362" s="52"/>
      <c r="I3362" s="53">
        <v>46205</v>
      </c>
    </row>
    <row r="3363" spans="1:9">
      <c r="A3363" s="47">
        <v>3492</v>
      </c>
      <c r="B3363" s="48" t="str">
        <f>IFERROR(VLOOKUP(A3363,CLIENTES!A:E,2,0),"CADASTRAR CLIENTE")</f>
        <v>SOCIEDADE EDUCACIONAL UBERABENSE</v>
      </c>
      <c r="C3363" s="54" t="s">
        <v>3</v>
      </c>
      <c r="D3363" s="54">
        <v>103434</v>
      </c>
      <c r="E3363" s="51">
        <v>96</v>
      </c>
      <c r="F3363" s="48"/>
      <c r="G3363" s="51"/>
      <c r="H3363" s="52"/>
      <c r="I3363" s="53">
        <v>46205</v>
      </c>
    </row>
    <row r="3364" spans="1:9">
      <c r="A3364" s="47">
        <v>2199</v>
      </c>
      <c r="B3364" s="48" t="str">
        <f>IFERROR(VLOOKUP(A3364,CLIENTES!A:E,2,0),"CADASTRAR CLIENTE")</f>
        <v>SOCIEDADE EDUCACIONAL UBERABENSE</v>
      </c>
      <c r="C3364" s="54" t="s">
        <v>3</v>
      </c>
      <c r="D3364" s="54" t="s">
        <v>1092</v>
      </c>
      <c r="E3364" s="51">
        <v>1306.3499999999999</v>
      </c>
      <c r="F3364" s="48"/>
      <c r="G3364" s="51"/>
      <c r="H3364" s="52"/>
      <c r="I3364" s="53">
        <v>46205</v>
      </c>
    </row>
    <row r="3365" spans="1:9">
      <c r="A3365" s="47">
        <v>3017</v>
      </c>
      <c r="B3365" s="48" t="str">
        <f>IFERROR(VLOOKUP(A3365,CLIENTES!A:E,2,0),"CADASTRAR CLIENTE")</f>
        <v>IMUNOLAB LABORATORIO DE ANALISES CLINICAS LTDA ME</v>
      </c>
      <c r="C3365" s="54" t="s">
        <v>3</v>
      </c>
      <c r="D3365" s="54">
        <v>99233</v>
      </c>
      <c r="E3365" s="51">
        <v>704.7</v>
      </c>
      <c r="F3365" s="48"/>
      <c r="G3365" s="51"/>
      <c r="H3365" s="52"/>
      <c r="I3365" s="53">
        <v>46205</v>
      </c>
    </row>
    <row r="3366" spans="1:9">
      <c r="A3366" s="47">
        <v>687</v>
      </c>
      <c r="B3366" s="48" t="str">
        <f>IFERROR(VLOOKUP(A3366,CLIENTES!A:E,2,0),"CADASTRAR CLIENTE")</f>
        <v>LAB ANAL CLIN VENDRAMINI S/S LTDA</v>
      </c>
      <c r="C3366" s="54" t="s">
        <v>3</v>
      </c>
      <c r="D3366" s="54" t="s">
        <v>1093</v>
      </c>
      <c r="E3366" s="51">
        <v>924.3</v>
      </c>
      <c r="F3366" s="48"/>
      <c r="G3366" s="51"/>
      <c r="H3366" s="52"/>
      <c r="I3366" s="53">
        <v>46205</v>
      </c>
    </row>
    <row r="3367" spans="1:9">
      <c r="A3367" s="47">
        <v>50418</v>
      </c>
      <c r="B3367" s="48" t="str">
        <f>IFERROR(VLOOKUP(A3367,CLIENTES!A:E,2,0),"CADASTRAR CLIENTE")</f>
        <v>LABORATORIO SAO LUCAS DE BROTAS SS LTDA</v>
      </c>
      <c r="C3367" s="54" t="s">
        <v>3</v>
      </c>
      <c r="D3367" s="54">
        <v>99210</v>
      </c>
      <c r="E3367" s="51">
        <v>351.33</v>
      </c>
      <c r="F3367" s="48"/>
      <c r="G3367" s="51"/>
      <c r="H3367" s="52"/>
      <c r="I3367" s="53">
        <v>46205</v>
      </c>
    </row>
    <row r="3368" spans="1:9">
      <c r="A3368" s="47">
        <v>50861</v>
      </c>
      <c r="B3368" s="48" t="str">
        <f>IFERROR(VLOOKUP(A3368,CLIENTES!A:E,2,0),"CADASTRAR CLIENTE")</f>
        <v>JAQUELINE MARTINS RUIZ LAB DE ANALISES CLINICAS</v>
      </c>
      <c r="C3368" s="54" t="s">
        <v>3</v>
      </c>
      <c r="D3368" s="54">
        <v>99231</v>
      </c>
      <c r="E3368" s="51">
        <v>647</v>
      </c>
      <c r="F3368" s="48"/>
      <c r="G3368" s="51"/>
      <c r="H3368" s="52"/>
      <c r="I3368" s="53">
        <v>46205</v>
      </c>
    </row>
    <row r="3369" spans="1:9">
      <c r="A3369" s="47">
        <v>960</v>
      </c>
      <c r="B3369" s="48" t="str">
        <f>IFERROR(VLOOKUP(A3369,CLIENTES!A:E,2,0),"CADASTRAR CLIENTE")</f>
        <v>LUIS VALERIO FILHO-ME</v>
      </c>
      <c r="C3369" s="54" t="s">
        <v>3</v>
      </c>
      <c r="D3369" s="54" t="s">
        <v>1094</v>
      </c>
      <c r="E3369" s="88">
        <v>962.38</v>
      </c>
      <c r="F3369" s="48"/>
      <c r="G3369" s="88"/>
      <c r="H3369" s="52"/>
      <c r="I3369" s="53">
        <v>46205</v>
      </c>
    </row>
    <row r="3370" spans="1:9">
      <c r="A3370" s="47">
        <v>2415</v>
      </c>
      <c r="B3370" s="48" t="str">
        <f>IFERROR(VLOOKUP(A3370,CLIENTES!A:E,2,0),"CADASTRAR CLIENTE")</f>
        <v>ROSSETTO E BARROS LABORATORIO DE ANALISES CLINICAS LTDA</v>
      </c>
      <c r="C3370" s="54" t="s">
        <v>3</v>
      </c>
      <c r="D3370" s="54">
        <v>99253</v>
      </c>
      <c r="E3370" s="51">
        <v>912.8</v>
      </c>
      <c r="F3370" s="48"/>
      <c r="G3370" s="51"/>
      <c r="H3370" s="52"/>
      <c r="I3370" s="53">
        <v>46206</v>
      </c>
    </row>
    <row r="3371" spans="1:9">
      <c r="A3371" s="47">
        <v>3153</v>
      </c>
      <c r="B3371" s="48" t="str">
        <f>IFERROR(VLOOKUP(A3371,CLIENTES!A:E,2,0),"CADASTRAR CLIENTE")</f>
        <v>UNIMED DE TUPA COOPERATIVA DE TRABALHO MEDICO</v>
      </c>
      <c r="C3371" s="54" t="s">
        <v>3</v>
      </c>
      <c r="D3371" s="54">
        <v>99314</v>
      </c>
      <c r="E3371" s="51">
        <v>3424.8</v>
      </c>
      <c r="F3371" s="48"/>
      <c r="G3371" s="51"/>
      <c r="H3371" s="52"/>
      <c r="I3371" s="53">
        <v>46209</v>
      </c>
    </row>
    <row r="3372" spans="1:9">
      <c r="A3372" s="47">
        <v>50219</v>
      </c>
      <c r="B3372" s="48" t="str">
        <f>IFERROR(VLOOKUP(A3372,CLIENTES!A:E,2,0),"CADASTRAR CLIENTE")</f>
        <v>UNIPREV LAB DE ANALISES LOCACAO DE BENS E REPAROS LTDA EPP</v>
      </c>
      <c r="C3372" s="54" t="s">
        <v>3</v>
      </c>
      <c r="D3372" s="54" t="s">
        <v>1095</v>
      </c>
      <c r="E3372" s="51">
        <v>1828.4</v>
      </c>
      <c r="F3372" s="48"/>
      <c r="G3372" s="51"/>
      <c r="H3372" s="52"/>
      <c r="I3372" s="53">
        <v>46209</v>
      </c>
    </row>
    <row r="3373" spans="1:9">
      <c r="A3373" s="47">
        <v>2702</v>
      </c>
      <c r="B3373" s="48" t="str">
        <f>IFERROR(VLOOKUP(A3373,CLIENTES!A:E,2,0),"CADASTRAR CLIENTE")</f>
        <v>SANTA CASA DE MISER. DE TAQUARITUBA</v>
      </c>
      <c r="C3373" s="54" t="s">
        <v>3</v>
      </c>
      <c r="D3373" s="54">
        <v>99288</v>
      </c>
      <c r="E3373" s="51">
        <v>3446.7</v>
      </c>
      <c r="F3373" s="48"/>
      <c r="G3373" s="51"/>
      <c r="H3373" s="52"/>
      <c r="I3373" s="53">
        <v>46209</v>
      </c>
    </row>
    <row r="3374" spans="1:9">
      <c r="A3374" s="47">
        <v>311</v>
      </c>
      <c r="B3374" s="48" t="str">
        <f>IFERROR(VLOOKUP(A3374,CLIENTES!A:E,2,0),"CADASTRAR CLIENTE")</f>
        <v>CENTRO DE ANAL.CLIN. UNILAB  SC LTDA.</v>
      </c>
      <c r="C3374" s="54" t="s">
        <v>3</v>
      </c>
      <c r="D3374" s="54" t="s">
        <v>1096</v>
      </c>
      <c r="E3374" s="51">
        <v>1226.4000000000001</v>
      </c>
      <c r="F3374" s="48"/>
      <c r="G3374" s="51"/>
      <c r="H3374" s="52"/>
      <c r="I3374" s="53">
        <v>46209</v>
      </c>
    </row>
    <row r="3375" spans="1:9">
      <c r="A3375" s="47">
        <v>50558</v>
      </c>
      <c r="B3375" s="48" t="str">
        <f>IFERROR(VLOOKUP(A3375,CLIENTES!A:E,2,0),"CADASTRAR CLIENTE")</f>
        <v>FUNDACAO PAULISTA DE TECNOLOGIA E EDUCACAO</v>
      </c>
      <c r="C3375" s="54" t="s">
        <v>3</v>
      </c>
      <c r="D3375" s="54">
        <v>99017</v>
      </c>
      <c r="E3375" s="88">
        <v>811.96</v>
      </c>
      <c r="F3375" s="48"/>
      <c r="G3375" s="88"/>
      <c r="H3375" s="52"/>
      <c r="I3375" s="53">
        <v>46209</v>
      </c>
    </row>
    <row r="3376" spans="1:9">
      <c r="A3376" s="47">
        <v>2022</v>
      </c>
      <c r="B3376" s="48" t="str">
        <f>IFERROR(VLOOKUP(A3376,CLIENTES!A:E,2,0),"CADASTRAR CLIENTE")</f>
        <v>LAB. MEDICO DR. MARICONDI S/C LTDA.</v>
      </c>
      <c r="C3376" s="54" t="s">
        <v>2</v>
      </c>
      <c r="D3376" s="54">
        <v>99081</v>
      </c>
      <c r="E3376" s="88">
        <v>741.19</v>
      </c>
      <c r="F3376" s="48"/>
      <c r="G3376" s="88"/>
      <c r="H3376" s="52"/>
      <c r="I3376" s="53">
        <v>46209</v>
      </c>
    </row>
    <row r="3377" spans="1:9">
      <c r="A3377" s="47">
        <v>3153</v>
      </c>
      <c r="B3377" s="48" t="str">
        <f>IFERROR(VLOOKUP(A3377,CLIENTES!A:E,2,0),"CADASTRAR CLIENTE")</f>
        <v>UNIMED DE TUPA COOPERATIVA DE TRABALHO MEDICO</v>
      </c>
      <c r="C3377" s="54" t="s">
        <v>3</v>
      </c>
      <c r="D3377" s="54">
        <v>99368</v>
      </c>
      <c r="E3377" s="51">
        <v>1530</v>
      </c>
      <c r="F3377" s="48"/>
      <c r="G3377" s="51"/>
      <c r="H3377" s="52"/>
      <c r="I3377" s="53">
        <v>46210</v>
      </c>
    </row>
    <row r="3378" spans="1:9">
      <c r="A3378" s="47">
        <v>2199</v>
      </c>
      <c r="B3378" s="48" t="str">
        <f>IFERROR(VLOOKUP(A3378,CLIENTES!A:E,2,0),"CADASTRAR CLIENTE")</f>
        <v>SOCIEDADE EDUCACIONAL UBERABENSE</v>
      </c>
      <c r="C3378" s="54" t="s">
        <v>738</v>
      </c>
      <c r="D3378" s="54">
        <v>99190</v>
      </c>
      <c r="E3378" s="51">
        <v>672</v>
      </c>
      <c r="F3378" s="48"/>
      <c r="G3378" s="51"/>
      <c r="H3378" s="52"/>
      <c r="I3378" s="53">
        <v>46210</v>
      </c>
    </row>
    <row r="3379" spans="1:9">
      <c r="A3379" s="62">
        <v>50465</v>
      </c>
      <c r="B3379" s="48" t="str">
        <f>IFERROR(VLOOKUP(A3379,CLIENTES!A:E,2,0),"CADASTRAR CLIENTE")</f>
        <v>LABORATORIO DE ANALISES CLINICAS VIDA BIRIGUI LTDA</v>
      </c>
      <c r="C3379" s="54" t="s">
        <v>3</v>
      </c>
      <c r="D3379" s="54">
        <v>99369</v>
      </c>
      <c r="E3379" s="51">
        <v>1717.63</v>
      </c>
      <c r="F3379" s="48"/>
      <c r="G3379" s="51"/>
      <c r="H3379" s="52"/>
      <c r="I3379" s="53">
        <v>46210</v>
      </c>
    </row>
    <row r="3380" spans="1:9">
      <c r="A3380" s="47">
        <v>620</v>
      </c>
      <c r="B3380" s="48" t="str">
        <f>IFERROR(VLOOKUP(A3380,CLIENTES!A:E,2,0),"CADASTRAR CLIENTE")</f>
        <v>LAB.SAO PAULO DE ANAL.CLIN.SC LTDA.</v>
      </c>
      <c r="C3380" s="54" t="s">
        <v>3</v>
      </c>
      <c r="D3380" s="54">
        <v>98145</v>
      </c>
      <c r="E3380" s="51">
        <v>1082.56</v>
      </c>
      <c r="F3380" s="48"/>
      <c r="G3380" s="51"/>
      <c r="H3380" s="52"/>
      <c r="I3380" s="53">
        <v>46210</v>
      </c>
    </row>
    <row r="3381" spans="1:9">
      <c r="A3381" s="47">
        <v>2022</v>
      </c>
      <c r="B3381" s="48" t="str">
        <f>IFERROR(VLOOKUP(A3381,CLIENTES!A:E,2,0),"CADASTRAR CLIENTE")</f>
        <v>LAB. MEDICO DR. MARICONDI S/C LTDA.</v>
      </c>
      <c r="C3381" s="54" t="s">
        <v>3</v>
      </c>
      <c r="D3381" s="54">
        <v>99390</v>
      </c>
      <c r="E3381" s="51">
        <v>120</v>
      </c>
      <c r="F3381" s="48"/>
      <c r="G3381" s="51"/>
      <c r="H3381" s="52"/>
      <c r="I3381" s="53">
        <v>46210</v>
      </c>
    </row>
    <row r="3382" spans="1:9">
      <c r="A3382" s="47">
        <v>2415</v>
      </c>
      <c r="B3382" s="48" t="str">
        <f>IFERROR(VLOOKUP(A3382,CLIENTES!A:E,2,0),"CADASTRAR CLIENTE")</f>
        <v>ROSSETTO E BARROS LABORATORIO DE ANALISES CLINICAS LTDA</v>
      </c>
      <c r="C3382" s="54" t="s">
        <v>3</v>
      </c>
      <c r="D3382" s="54">
        <v>99398</v>
      </c>
      <c r="E3382" s="51">
        <v>375.6</v>
      </c>
      <c r="F3382" s="48"/>
      <c r="G3382" s="51"/>
      <c r="H3382" s="52"/>
      <c r="I3382" s="53">
        <v>46210</v>
      </c>
    </row>
    <row r="3383" spans="1:9">
      <c r="A3383" s="47">
        <v>516</v>
      </c>
      <c r="B3383" s="48" t="str">
        <f>IFERROR(VLOOKUP(A3383,CLIENTES!A:E,2,0),"CADASTRAR CLIENTE")</f>
        <v>TECNOLAB PATOLOGIA CLINICA S/C LTDA</v>
      </c>
      <c r="C3383" s="54" t="s">
        <v>3</v>
      </c>
      <c r="D3383" s="54">
        <v>99289</v>
      </c>
      <c r="E3383" s="51">
        <v>493.45</v>
      </c>
      <c r="F3383" s="48"/>
      <c r="G3383" s="51"/>
      <c r="H3383" s="52"/>
      <c r="I3383" s="53">
        <v>46210</v>
      </c>
    </row>
    <row r="3384" spans="1:9">
      <c r="A3384" s="47">
        <v>1164</v>
      </c>
      <c r="B3384" s="48" t="str">
        <f>IFERROR(VLOOKUP(A3384,CLIENTES!A:E,2,0),"CADASTRAR CLIENTE")</f>
        <v>LAB. ANAL. CLIN. SAO LOURENCO S/C LTDA</v>
      </c>
      <c r="C3384" s="54" t="s">
        <v>3</v>
      </c>
      <c r="D3384" s="54" t="s">
        <v>1097</v>
      </c>
      <c r="E3384" s="88">
        <v>466.59</v>
      </c>
      <c r="F3384" s="48"/>
      <c r="G3384" s="88"/>
      <c r="H3384" s="52"/>
      <c r="I3384" s="53">
        <v>46210</v>
      </c>
    </row>
    <row r="3385" spans="1:9">
      <c r="A3385" s="47">
        <v>432</v>
      </c>
      <c r="B3385" s="48" t="str">
        <f>IFERROR(VLOOKUP(A3385,CLIENTES!A:E,2,0),"CADASTRAR CLIENTE")</f>
        <v>LABORATORIO PASTEUR HEMATOLOGIA E MICROBIOLOGIA S/S LTDA</v>
      </c>
      <c r="C3385" s="54" t="s">
        <v>3</v>
      </c>
      <c r="D3385" s="54">
        <v>99429</v>
      </c>
      <c r="E3385" s="51">
        <v>110.25</v>
      </c>
      <c r="F3385" s="48"/>
      <c r="G3385" s="51"/>
      <c r="H3385" s="52"/>
      <c r="I3385" s="53">
        <v>46210</v>
      </c>
    </row>
    <row r="3386" spans="1:9">
      <c r="A3386" s="47">
        <v>1371</v>
      </c>
      <c r="B3386" s="48" t="str">
        <f>IFERROR(VLOOKUP(A3386,CLIENTES!A:E,2,0),"CADASTRAR CLIENTE")</f>
        <v>MICHELE LOPES BERGAMIM-ME</v>
      </c>
      <c r="C3386" s="54" t="s">
        <v>3</v>
      </c>
      <c r="D3386" s="54">
        <v>99426</v>
      </c>
      <c r="E3386" s="51">
        <v>1172.8</v>
      </c>
      <c r="F3386" s="48"/>
      <c r="G3386" s="51"/>
      <c r="H3386" s="52"/>
      <c r="I3386" s="53">
        <v>46211</v>
      </c>
    </row>
    <row r="3387" spans="1:9">
      <c r="A3387" s="47">
        <v>501153</v>
      </c>
      <c r="B3387" s="48" t="str">
        <f>IFERROR(VLOOKUP(A3387,CLIENTES!A:E,2,0),"CADASTRAR CLIENTE")</f>
        <v>LABORATORIO SAO ROQUE LTDA</v>
      </c>
      <c r="C3387" s="54" t="s">
        <v>3</v>
      </c>
      <c r="D3387" s="54" t="s">
        <v>1098</v>
      </c>
      <c r="E3387" s="51">
        <v>7635.08</v>
      </c>
      <c r="F3387" s="48"/>
      <c r="G3387" s="51"/>
      <c r="H3387" s="52"/>
      <c r="I3387" s="53">
        <v>46211</v>
      </c>
    </row>
    <row r="3388" spans="1:9">
      <c r="A3388" s="47">
        <v>1616</v>
      </c>
      <c r="B3388" s="48" t="str">
        <f>IFERROR(VLOOKUP(A3388,CLIENTES!A:E,2,0),"CADASTRAR CLIENTE")</f>
        <v>NOVO HORIZONTE LAB.ANAL.CLIN.S/C LTDA.</v>
      </c>
      <c r="C3388" s="54" t="s">
        <v>3</v>
      </c>
      <c r="D3388" s="54" t="s">
        <v>1099</v>
      </c>
      <c r="E3388" s="51">
        <v>1150.9000000000001</v>
      </c>
      <c r="F3388" s="48"/>
      <c r="G3388" s="51"/>
      <c r="H3388" s="52"/>
      <c r="I3388" s="53">
        <v>46211</v>
      </c>
    </row>
    <row r="3389" spans="1:9">
      <c r="A3389" s="47">
        <v>761</v>
      </c>
      <c r="B3389" s="48" t="str">
        <f>IFERROR(VLOOKUP(A3389,CLIENTES!A:E,2,0),"CADASTRAR CLIENTE")</f>
        <v>EXAME CENTRO DIAG.M.ARACATUBA SC LTDA.</v>
      </c>
      <c r="C3389" s="54" t="s">
        <v>3</v>
      </c>
      <c r="D3389" s="54">
        <v>99460</v>
      </c>
      <c r="E3389" s="51">
        <v>1286.8</v>
      </c>
      <c r="F3389" s="48"/>
      <c r="G3389" s="51"/>
      <c r="H3389" s="52"/>
      <c r="I3389" s="53">
        <v>46211</v>
      </c>
    </row>
    <row r="3390" spans="1:9">
      <c r="A3390" s="47">
        <v>1971</v>
      </c>
      <c r="B3390" s="48" t="str">
        <f>IFERROR(VLOOKUP(A3390,CLIENTES!A:E,2,0),"CADASTRAR CLIENTE")</f>
        <v>LABORATORIO POPULAR LAB 7 LTDA</v>
      </c>
      <c r="C3390" s="54" t="s">
        <v>3</v>
      </c>
      <c r="D3390" s="54">
        <v>99481</v>
      </c>
      <c r="E3390" s="51">
        <v>333.6</v>
      </c>
      <c r="F3390" s="48"/>
      <c r="G3390" s="51"/>
      <c r="H3390" s="52"/>
      <c r="I3390" s="53">
        <v>46213</v>
      </c>
    </row>
    <row r="3391" spans="1:9">
      <c r="A3391" s="47">
        <v>708</v>
      </c>
      <c r="B3391" s="48" t="str">
        <f>IFERROR(VLOOKUP(A3391,CLIENTES!A:E,2,0),"CADASTRAR CLIENTE")</f>
        <v>IMEDI INST.MEDICO DE PAT.E DIAGNOSTICO SC LTDA.</v>
      </c>
      <c r="C3391" s="54" t="s">
        <v>3</v>
      </c>
      <c r="D3391" s="54">
        <v>99484</v>
      </c>
      <c r="E3391" s="51">
        <v>8348</v>
      </c>
      <c r="F3391" s="48"/>
      <c r="G3391" s="51"/>
      <c r="H3391" s="52"/>
      <c r="I3391" s="53">
        <v>46213</v>
      </c>
    </row>
    <row r="3392" spans="1:9">
      <c r="A3392" s="47">
        <v>2199</v>
      </c>
      <c r="B3392" s="48" t="str">
        <f>IFERROR(VLOOKUP(A3392,CLIENTES!A:E,2,0),"CADASTRAR CLIENTE")</f>
        <v>SOCIEDADE EDUCACIONAL UBERABENSE</v>
      </c>
      <c r="C3392" s="54" t="s">
        <v>3</v>
      </c>
      <c r="D3392" s="54">
        <v>99471</v>
      </c>
      <c r="E3392" s="88">
        <v>672</v>
      </c>
      <c r="F3392" s="48"/>
      <c r="G3392" s="88"/>
      <c r="H3392" s="52"/>
      <c r="I3392" s="53">
        <v>46213</v>
      </c>
    </row>
    <row r="3393" spans="1:9">
      <c r="A3393" s="47">
        <v>500888</v>
      </c>
      <c r="B3393" s="48" t="str">
        <f>IFERROR(VLOOKUP(A3393,CLIENTES!A:E,2,0),"CADASTRAR CLIENTE")</f>
        <v>CAETANO FACCHINI DA VEIGA</v>
      </c>
      <c r="C3393" s="54" t="s">
        <v>3</v>
      </c>
      <c r="D3393" s="54">
        <v>99380</v>
      </c>
      <c r="E3393" s="88"/>
      <c r="F3393" s="48"/>
      <c r="G3393" s="88">
        <v>5500</v>
      </c>
      <c r="H3393" s="52"/>
      <c r="I3393" s="53">
        <v>46213</v>
      </c>
    </row>
    <row r="3394" spans="1:9">
      <c r="A3394" s="47">
        <v>500507</v>
      </c>
      <c r="B3394" s="48" t="str">
        <f>IFERROR(VLOOKUP(A3394,CLIENTES!A:E,2,0),"CADASTRAR CLIENTE")</f>
        <v>LABORATORIOS DOCTOR</v>
      </c>
      <c r="C3394" s="54" t="s">
        <v>3</v>
      </c>
      <c r="D3394" s="54">
        <v>99274</v>
      </c>
      <c r="E3394" s="88">
        <v>607.65</v>
      </c>
      <c r="F3394" s="48"/>
      <c r="G3394" s="88"/>
      <c r="H3394" s="52"/>
      <c r="I3394" s="53">
        <v>46213</v>
      </c>
    </row>
    <row r="3395" spans="1:9">
      <c r="A3395" s="47">
        <v>501070</v>
      </c>
      <c r="B3395" s="48" t="str">
        <f>IFERROR(VLOOKUP(A3395,CLIENTES!A:E,2,0),"CADASTRAR CLIENTE")</f>
        <v>EASYMED SERVICOS MEDICOS LTDA</v>
      </c>
      <c r="C3395" s="54" t="s">
        <v>3</v>
      </c>
      <c r="D3395" s="54">
        <v>99326</v>
      </c>
      <c r="E3395" s="88">
        <v>451.2</v>
      </c>
      <c r="F3395" s="48"/>
      <c r="G3395" s="88"/>
      <c r="H3395" s="52"/>
      <c r="I3395" s="53">
        <v>46213</v>
      </c>
    </row>
    <row r="3396" spans="1:9">
      <c r="A3396" s="47">
        <v>501078</v>
      </c>
      <c r="B3396" s="48" t="str">
        <f>IFERROR(VLOOKUP(A3396,CLIENTES!A:E,2,0),"CADASTRAR CLIENTE")</f>
        <v>EASYMED SERVICOS MEDICOS LTDA</v>
      </c>
      <c r="C3396" s="54" t="s">
        <v>3</v>
      </c>
      <c r="D3396" s="54">
        <v>99323</v>
      </c>
      <c r="E3396" s="88">
        <v>420.65</v>
      </c>
      <c r="F3396" s="48"/>
      <c r="G3396" s="88"/>
      <c r="H3396" s="52"/>
      <c r="I3396" s="53">
        <v>46213</v>
      </c>
    </row>
    <row r="3397" spans="1:9">
      <c r="A3397" s="47">
        <v>501054</v>
      </c>
      <c r="B3397" s="48" t="str">
        <f>IFERROR(VLOOKUP(A3397,CLIENTES!A:E,2,0),"CADASTRAR CLIENTE")</f>
        <v>EASYMED SERVICOS MEDICOS LTDA</v>
      </c>
      <c r="C3397" s="54" t="s">
        <v>3</v>
      </c>
      <c r="D3397" s="54">
        <v>99277</v>
      </c>
      <c r="E3397" s="88">
        <v>1984.75</v>
      </c>
      <c r="F3397" s="48"/>
      <c r="G3397" s="88"/>
      <c r="H3397" s="52"/>
      <c r="I3397" s="53">
        <v>46213</v>
      </c>
    </row>
    <row r="3398" spans="1:9">
      <c r="A3398" s="47">
        <v>501079</v>
      </c>
      <c r="B3398" s="48" t="str">
        <f>IFERROR(VLOOKUP(A3398,CLIENTES!A:E,2,0),"CADASTRAR CLIENTE")</f>
        <v>EASYMED SERVICOS MEDICOS LTDA</v>
      </c>
      <c r="C3398" s="54" t="s">
        <v>3</v>
      </c>
      <c r="D3398" s="54">
        <v>99324</v>
      </c>
      <c r="E3398" s="88">
        <v>2251.88</v>
      </c>
      <c r="F3398" s="48"/>
      <c r="G3398" s="88"/>
      <c r="H3398" s="52"/>
      <c r="I3398" s="53">
        <v>46213</v>
      </c>
    </row>
    <row r="3399" spans="1:9">
      <c r="A3399" s="47">
        <v>475</v>
      </c>
      <c r="B3399" s="48" t="str">
        <f>IFERROR(VLOOKUP(A3399,CLIENTES!A:E,2,0),"CADASTRAR CLIENTE")</f>
        <v>LABORATORIO DE ANALISES CLINICAS SRC LTDA</v>
      </c>
      <c r="C3399" s="54" t="s">
        <v>3</v>
      </c>
      <c r="D3399" s="54" t="s">
        <v>1101</v>
      </c>
      <c r="E3399" s="88">
        <v>5387.46</v>
      </c>
      <c r="F3399" s="48"/>
      <c r="G3399" s="88"/>
      <c r="H3399" s="52"/>
      <c r="I3399" s="53">
        <v>46213</v>
      </c>
    </row>
    <row r="3400" spans="1:9">
      <c r="A3400" s="47">
        <v>412</v>
      </c>
      <c r="B3400" s="48" t="str">
        <f>IFERROR(VLOOKUP(A3400,CLIENTES!A:E,2,0),"CADASTRAR CLIENTE")</f>
        <v>LAB.ANAL.CLIN.SAO MANUEL SC LTDA.</v>
      </c>
      <c r="C3400" s="54" t="s">
        <v>3</v>
      </c>
      <c r="D3400" s="54">
        <v>99539</v>
      </c>
      <c r="E3400" s="51">
        <v>834</v>
      </c>
      <c r="F3400" s="48"/>
      <c r="G3400" s="51"/>
      <c r="H3400" s="52"/>
      <c r="I3400" s="53">
        <v>46216</v>
      </c>
    </row>
    <row r="3401" spans="1:9">
      <c r="A3401" s="47">
        <v>1616</v>
      </c>
      <c r="B3401" s="48" t="str">
        <f>IFERROR(VLOOKUP(A3401,CLIENTES!A:E,2,0),"CADASTRAR CLIENTE")</f>
        <v>NOVO HORIZONTE LAB.ANAL.CLIN.S/C LTDA.</v>
      </c>
      <c r="C3401" s="54" t="s">
        <v>3</v>
      </c>
      <c r="D3401" s="54">
        <v>99534</v>
      </c>
      <c r="E3401" s="51">
        <v>605.6</v>
      </c>
      <c r="F3401" s="48"/>
      <c r="G3401" s="51"/>
      <c r="H3401" s="52"/>
      <c r="I3401" s="53">
        <v>46216</v>
      </c>
    </row>
    <row r="3402" spans="1:9">
      <c r="A3402" s="47">
        <v>2022</v>
      </c>
      <c r="B3402" s="48" t="str">
        <f>IFERROR(VLOOKUP(A3402,CLIENTES!A:E,2,0),"CADASTRAR CLIENTE")</f>
        <v>LAB. MEDICO DR. MARICONDI S/C LTDA.</v>
      </c>
      <c r="C3402" s="54" t="s">
        <v>3</v>
      </c>
      <c r="D3402" s="54">
        <v>99419</v>
      </c>
      <c r="E3402" s="88">
        <v>281.38</v>
      </c>
      <c r="F3402" s="48"/>
      <c r="G3402" s="88"/>
      <c r="H3402" s="52"/>
      <c r="I3402" s="53">
        <v>46217</v>
      </c>
    </row>
    <row r="3403" spans="1:9">
      <c r="A3403" s="47">
        <v>1905</v>
      </c>
      <c r="B3403" s="48" t="str">
        <f>IFERROR(VLOOKUP(A3403,CLIENTES!A:E,2,0),"CADASTRAR CLIENTE")</f>
        <v>A.C. CORREA DE OLIVEIRA LABORATORIO CLÍNICO</v>
      </c>
      <c r="C3403" s="54" t="s">
        <v>3</v>
      </c>
      <c r="D3403" s="54">
        <v>99581</v>
      </c>
      <c r="E3403" s="51">
        <v>813.1</v>
      </c>
      <c r="F3403" s="48"/>
      <c r="G3403" s="51"/>
      <c r="H3403" s="52"/>
      <c r="I3403" s="53">
        <v>46217</v>
      </c>
    </row>
    <row r="3404" spans="1:9">
      <c r="A3404" s="47">
        <v>3194</v>
      </c>
      <c r="B3404" s="48" t="str">
        <f>IFERROR(VLOOKUP(A3404,CLIENTES!A:E,2,0),"CADASTRAR CLIENTE")</f>
        <v>CENTRO DE DIAGNOSTICOS CONTROLE LTDA</v>
      </c>
      <c r="C3404" s="54" t="s">
        <v>3</v>
      </c>
      <c r="D3404" s="54">
        <v>99538</v>
      </c>
      <c r="E3404" s="51">
        <v>862</v>
      </c>
      <c r="F3404" s="48"/>
      <c r="G3404" s="51"/>
      <c r="H3404" s="52"/>
      <c r="I3404" s="53">
        <v>46217</v>
      </c>
    </row>
    <row r="3405" spans="1:9">
      <c r="A3405" s="47">
        <v>197</v>
      </c>
      <c r="B3405" s="48" t="str">
        <f>IFERROR(VLOOKUP(A3405,CLIENTES!A:E,2,0),"CADASTRAR CLIENTE")</f>
        <v>LAB.ANAL.CLIN.DE ITAPETININGA</v>
      </c>
      <c r="C3405" s="54" t="s">
        <v>3</v>
      </c>
      <c r="D3405" s="54">
        <v>99590</v>
      </c>
      <c r="E3405" s="51">
        <v>682.1</v>
      </c>
      <c r="F3405" s="48"/>
      <c r="G3405" s="51"/>
      <c r="H3405" s="52"/>
      <c r="I3405" s="53">
        <v>46217</v>
      </c>
    </row>
    <row r="3406" spans="1:9">
      <c r="A3406" s="47">
        <v>501153</v>
      </c>
      <c r="B3406" s="48" t="str">
        <f>IFERROR(VLOOKUP(A3406,CLIENTES!A:E,2,0),"CADASTRAR CLIENTE")</f>
        <v>LABORATORIO SAO ROQUE LTDA</v>
      </c>
      <c r="C3406" s="54" t="s">
        <v>3</v>
      </c>
      <c r="D3406" s="54">
        <v>98945</v>
      </c>
      <c r="E3406" s="51">
        <v>189</v>
      </c>
      <c r="F3406" s="48"/>
      <c r="G3406" s="51"/>
      <c r="H3406" s="52"/>
      <c r="I3406" s="53">
        <v>46217</v>
      </c>
    </row>
    <row r="3407" spans="1:9">
      <c r="A3407" s="47">
        <v>1989</v>
      </c>
      <c r="B3407" s="48" t="str">
        <f>IFERROR(VLOOKUP(A3407,CLIENTES!A:E,2,0),"CADASTRAR CLIENTE")</f>
        <v>SAO FRANCISCO ANAL. CLIN.</v>
      </c>
      <c r="C3407" s="54" t="s">
        <v>3</v>
      </c>
      <c r="D3407" s="54">
        <v>98946</v>
      </c>
      <c r="E3407" s="51">
        <v>616.03</v>
      </c>
      <c r="F3407" s="48"/>
      <c r="G3407" s="51"/>
      <c r="H3407" s="52"/>
      <c r="I3407" s="53">
        <v>46217</v>
      </c>
    </row>
    <row r="3408" spans="1:9">
      <c r="A3408" s="47">
        <v>690</v>
      </c>
      <c r="B3408" s="48" t="str">
        <f>IFERROR(VLOOKUP(A3408,CLIENTES!A:E,2,0),"CADASTRAR CLIENTE")</f>
        <v>SAO ROQUE MEDICINA DIAGNOSTICA LTDA EPP</v>
      </c>
      <c r="C3408" s="54" t="s">
        <v>3</v>
      </c>
      <c r="D3408" s="54" t="s">
        <v>1102</v>
      </c>
      <c r="E3408" s="51">
        <v>2970.7</v>
      </c>
      <c r="F3408" s="48"/>
      <c r="G3408" s="51"/>
      <c r="H3408" s="52"/>
      <c r="I3408" s="53">
        <v>46217</v>
      </c>
    </row>
    <row r="3409" spans="1:9">
      <c r="A3409" s="47">
        <v>581</v>
      </c>
      <c r="B3409" s="48" t="str">
        <f>IFERROR(VLOOKUP(A3409,CLIENTES!A:E,2,0),"CADASTRAR CLIENTE")</f>
        <v>CLINILAB LABORAT. ANAL. CLIN SC LTDA</v>
      </c>
      <c r="C3409" s="54" t="s">
        <v>3</v>
      </c>
      <c r="D3409" s="54">
        <v>99467</v>
      </c>
      <c r="E3409" s="51">
        <v>735.35</v>
      </c>
      <c r="F3409" s="48"/>
      <c r="G3409" s="51"/>
      <c r="H3409" s="52"/>
      <c r="I3409" s="53">
        <v>46218</v>
      </c>
    </row>
    <row r="3410" spans="1:9">
      <c r="A3410" s="47">
        <v>311</v>
      </c>
      <c r="B3410" s="48" t="str">
        <f>IFERROR(VLOOKUP(A3410,CLIENTES!A:E,2,0),"CADASTRAR CLIENTE")</f>
        <v>CENTRO DE ANAL.CLIN. UNILAB  SC LTDA.</v>
      </c>
      <c r="C3410" s="54" t="s">
        <v>3</v>
      </c>
      <c r="D3410" s="54">
        <v>99620</v>
      </c>
      <c r="E3410" s="51">
        <v>386</v>
      </c>
      <c r="F3410" s="48"/>
      <c r="G3410" s="51"/>
      <c r="H3410" s="52"/>
      <c r="I3410" s="53">
        <v>46218</v>
      </c>
    </row>
    <row r="3411" spans="1:9">
      <c r="A3411" s="47">
        <v>761</v>
      </c>
      <c r="B3411" s="48" t="str">
        <f>IFERROR(VLOOKUP(A3411,CLIENTES!A:E,2,0),"CADASTRAR CLIENTE")</f>
        <v>EXAME CENTRO DIAG.M.ARACATUBA SC LTDA.</v>
      </c>
      <c r="C3411" s="54" t="s">
        <v>3</v>
      </c>
      <c r="D3411" s="54">
        <v>98852</v>
      </c>
      <c r="E3411" s="51">
        <v>2356.12</v>
      </c>
      <c r="F3411" s="48"/>
      <c r="G3411" s="51"/>
      <c r="H3411" s="52"/>
      <c r="I3411" s="53">
        <v>46218</v>
      </c>
    </row>
    <row r="3412" spans="1:9">
      <c r="A3412" s="47">
        <v>1493</v>
      </c>
      <c r="B3412" s="48" t="str">
        <f>IFERROR(VLOOKUP(A3412,CLIENTES!A:E,2,0),"CADASTRAR CLIENTE")</f>
        <v>CEDIMA  CENTRO DE DIAG MONTE AZUL ANAL CLIN E CIT</v>
      </c>
      <c r="C3412" s="54" t="s">
        <v>3</v>
      </c>
      <c r="D3412" s="54">
        <v>99592</v>
      </c>
      <c r="E3412" s="51">
        <v>589.96</v>
      </c>
      <c r="F3412" s="48"/>
      <c r="G3412" s="51"/>
      <c r="H3412" s="52"/>
      <c r="I3412" s="53">
        <v>46218</v>
      </c>
    </row>
    <row r="3413" spans="1:9">
      <c r="A3413" s="47">
        <v>874</v>
      </c>
      <c r="B3413" s="48" t="str">
        <f>IFERROR(VLOOKUP(A3413,CLIENTES!A:E,2,0),"CADASTRAR CLIENTE")</f>
        <v>LAB.ANAL.CLIN ABI JAUDI SC LTDA.</v>
      </c>
      <c r="C3413" s="54" t="s">
        <v>3</v>
      </c>
      <c r="D3413" s="54">
        <v>99641</v>
      </c>
      <c r="E3413" s="51">
        <v>2094.1999999999998</v>
      </c>
      <c r="F3413" s="48"/>
      <c r="G3413" s="51"/>
      <c r="H3413" s="52"/>
      <c r="I3413" s="53">
        <v>46218</v>
      </c>
    </row>
    <row r="3414" spans="1:9">
      <c r="A3414" s="47">
        <v>1240</v>
      </c>
      <c r="B3414" s="48" t="str">
        <f>IFERROR(VLOOKUP(A3414,CLIENTES!A:E,2,0),"CADASTRAR CLIENTE")</f>
        <v>MONICA VIEIRA DE CAMPOS REBELO-ME</v>
      </c>
      <c r="C3414" s="54" t="s">
        <v>3</v>
      </c>
      <c r="D3414" s="54">
        <v>99552</v>
      </c>
      <c r="E3414" s="88">
        <v>2023.8</v>
      </c>
      <c r="F3414" s="48"/>
      <c r="G3414" s="88"/>
      <c r="H3414" s="52"/>
      <c r="I3414" s="53">
        <v>46218</v>
      </c>
    </row>
    <row r="3415" spans="1:9">
      <c r="A3415" s="47">
        <v>1122</v>
      </c>
      <c r="B3415" s="48" t="str">
        <f>IFERROR(VLOOKUP(A3415,CLIENTES!A:E,2,0),"CADASTRAR CLIENTE")</f>
        <v>FUNDEPAG</v>
      </c>
      <c r="C3415" s="54" t="s">
        <v>3</v>
      </c>
      <c r="D3415" s="54">
        <v>99656</v>
      </c>
      <c r="E3415" s="88">
        <v>2030</v>
      </c>
      <c r="F3415" s="48"/>
      <c r="G3415" s="88"/>
      <c r="H3415" s="52"/>
      <c r="I3415" s="53">
        <v>46218</v>
      </c>
    </row>
    <row r="3416" spans="1:9">
      <c r="A3416" s="47">
        <v>823</v>
      </c>
      <c r="B3416" s="48" t="str">
        <f>IFERROR(VLOOKUP(A3416,CLIENTES!A:E,2,0),"CADASTRAR CLIENTE")</f>
        <v>SANCHES x SANCHES S/C LTDA</v>
      </c>
      <c r="C3416" s="54" t="s">
        <v>3</v>
      </c>
      <c r="D3416" s="54">
        <v>99537</v>
      </c>
      <c r="E3416" s="51">
        <v>6740.32</v>
      </c>
      <c r="F3416" s="48"/>
      <c r="G3416" s="51"/>
      <c r="H3416" s="52"/>
      <c r="I3416" s="53">
        <v>46219</v>
      </c>
    </row>
    <row r="3417" spans="1:9">
      <c r="A3417" s="47">
        <v>2199</v>
      </c>
      <c r="B3417" s="48" t="str">
        <f>IFERROR(VLOOKUP(A3417,CLIENTES!A:E,2,0),"CADASTRAR CLIENTE")</f>
        <v>SOCIEDADE EDUCACIONAL UBERABENSE</v>
      </c>
      <c r="C3417" s="54" t="s">
        <v>3</v>
      </c>
      <c r="D3417" s="54" t="s">
        <v>1103</v>
      </c>
      <c r="E3417" s="51">
        <v>3201.9</v>
      </c>
      <c r="F3417" s="48"/>
      <c r="G3417" s="51"/>
      <c r="H3417" s="52"/>
      <c r="I3417" s="53">
        <v>46219</v>
      </c>
    </row>
    <row r="3418" spans="1:9">
      <c r="A3418" s="47">
        <v>500982</v>
      </c>
      <c r="B3418" s="48" t="str">
        <f>IFERROR(VLOOKUP(A3418,CLIENTES!A:E,2,0),"CADASTRAR CLIENTE")</f>
        <v>INOVA LABORATORIO DE ANALISES CLINICAS LTDA</v>
      </c>
      <c r="C3418" s="54" t="s">
        <v>3</v>
      </c>
      <c r="D3418" s="54">
        <v>99695</v>
      </c>
      <c r="E3418" s="51">
        <v>1934.6</v>
      </c>
      <c r="F3418" s="48"/>
      <c r="G3418" s="51"/>
      <c r="H3418" s="52"/>
      <c r="I3418" s="53">
        <v>46219</v>
      </c>
    </row>
    <row r="3419" spans="1:9">
      <c r="A3419" s="47">
        <v>501070</v>
      </c>
      <c r="B3419" s="48" t="str">
        <f>IFERROR(VLOOKUP(A3419,CLIENTES!A:E,2,0),"CADASTRAR CLIENTE")</f>
        <v>EASYMED SERVICOS MEDICOS LTDA</v>
      </c>
      <c r="C3419" s="54" t="s">
        <v>3</v>
      </c>
      <c r="D3419" s="54">
        <v>99731</v>
      </c>
      <c r="E3419" s="51">
        <v>1238.05</v>
      </c>
      <c r="F3419" s="48"/>
      <c r="G3419" s="51"/>
      <c r="H3419" s="52"/>
      <c r="I3419" s="53">
        <v>46220</v>
      </c>
    </row>
    <row r="3420" spans="1:9">
      <c r="A3420" s="47">
        <v>501033</v>
      </c>
      <c r="B3420" s="48" t="str">
        <f>IFERROR(VLOOKUP(A3420,CLIENTES!A:E,2,0),"CADASTRAR CLIENTE")</f>
        <v>EASYMED SERVICOS MEDICOS LTDA</v>
      </c>
      <c r="C3420" s="54" t="s">
        <v>3</v>
      </c>
      <c r="D3420" s="54">
        <v>99565</v>
      </c>
      <c r="E3420" s="51">
        <v>1167</v>
      </c>
      <c r="F3420" s="48"/>
      <c r="G3420" s="51"/>
      <c r="H3420" s="52"/>
      <c r="I3420" s="53">
        <v>46220</v>
      </c>
    </row>
    <row r="3421" spans="1:9">
      <c r="A3421" s="47">
        <v>501035</v>
      </c>
      <c r="B3421" s="48" t="str">
        <f>IFERROR(VLOOKUP(A3421,CLIENTES!A:E,2,0),"CADASTRAR CLIENTE")</f>
        <v>EASYMED SERVICOS MEDICOS LTDA</v>
      </c>
      <c r="C3421" s="54" t="s">
        <v>3</v>
      </c>
      <c r="D3421" s="54">
        <v>99727</v>
      </c>
      <c r="E3421" s="51">
        <v>1008</v>
      </c>
      <c r="F3421" s="48"/>
      <c r="G3421" s="51"/>
      <c r="H3421" s="52"/>
      <c r="I3421" s="53">
        <v>46220</v>
      </c>
    </row>
    <row r="3422" spans="1:9">
      <c r="A3422" s="47">
        <v>2199</v>
      </c>
      <c r="B3422" s="48" t="str">
        <f>IFERROR(VLOOKUP(A3422,CLIENTES!A:E,2,0),"CADASTRAR CLIENTE")</f>
        <v>SOCIEDADE EDUCACIONAL UBERABENSE</v>
      </c>
      <c r="C3422" s="54" t="s">
        <v>3</v>
      </c>
      <c r="D3422" s="54" t="s">
        <v>1105</v>
      </c>
      <c r="E3422" s="88">
        <v>4865.25</v>
      </c>
      <c r="F3422" s="48"/>
      <c r="G3422" s="88"/>
      <c r="H3422" s="52"/>
      <c r="I3422" s="53">
        <v>46220</v>
      </c>
    </row>
    <row r="3423" spans="1:9">
      <c r="A3423" s="47">
        <v>1234</v>
      </c>
      <c r="B3423" s="48" t="str">
        <f>IFERROR(VLOOKUP(A3423,CLIENTES!A:E,2,0),"CADASTRAR CLIENTE")</f>
        <v>LAB ANAL CLIN SAO JUDAS TADEU SC LTDA</v>
      </c>
      <c r="C3423" s="54" t="s">
        <v>3</v>
      </c>
      <c r="D3423" s="54">
        <v>99748</v>
      </c>
      <c r="E3423" s="51">
        <v>1232</v>
      </c>
      <c r="F3423" s="48"/>
      <c r="G3423" s="51"/>
      <c r="H3423" s="52"/>
      <c r="I3423" s="53">
        <v>46220</v>
      </c>
    </row>
    <row r="3424" spans="1:9">
      <c r="A3424" s="47">
        <v>784</v>
      </c>
      <c r="B3424" s="48" t="str">
        <f>IFERROR(VLOOKUP(A3424,CLIENTES!A:E,2,0),"CADASTRAR CLIENTE")</f>
        <v>LAB.ANAL.CLIN. ALBERT SABIN SC LTDA.</v>
      </c>
      <c r="C3424" s="54" t="s">
        <v>3</v>
      </c>
      <c r="D3424" s="54">
        <v>99756</v>
      </c>
      <c r="E3424" s="51">
        <v>58</v>
      </c>
      <c r="F3424" s="48"/>
      <c r="G3424" s="51"/>
      <c r="H3424" s="52"/>
      <c r="I3424" s="53">
        <v>46220</v>
      </c>
    </row>
    <row r="3425" spans="1:9">
      <c r="A3425" s="47">
        <v>1277</v>
      </c>
      <c r="B3425" s="48" t="str">
        <f>IFERROR(VLOOKUP(A3425,CLIENTES!A:E,2,0),"CADASTRAR CLIENTE")</f>
        <v>SAO ROQUE MEDICINA DIAGNOSTICA LTDA</v>
      </c>
      <c r="C3425" s="54" t="s">
        <v>3</v>
      </c>
      <c r="D3425" s="54">
        <v>99758</v>
      </c>
      <c r="E3425" s="51">
        <v>1751.8</v>
      </c>
      <c r="F3425" s="48"/>
      <c r="G3425" s="51"/>
      <c r="H3425" s="52"/>
      <c r="I3425" s="53">
        <v>46220</v>
      </c>
    </row>
    <row r="3426" spans="1:9">
      <c r="A3426" s="47">
        <v>1016</v>
      </c>
      <c r="B3426" s="48" t="str">
        <f>IFERROR(VLOOKUP(A3426,CLIENTES!A:E,2,0),"CADASTRAR CLIENTE")</f>
        <v>LAB.ANAL.CLIN. SAO LUCAS SC LTDA.</v>
      </c>
      <c r="C3426" s="54" t="s">
        <v>3</v>
      </c>
      <c r="D3426" s="54">
        <v>99767</v>
      </c>
      <c r="E3426" s="88">
        <v>2182.5</v>
      </c>
      <c r="F3426" s="48"/>
      <c r="G3426" s="88"/>
      <c r="H3426" s="52"/>
      <c r="I3426" s="53">
        <v>46220</v>
      </c>
    </row>
    <row r="3427" spans="1:9">
      <c r="A3427" s="47">
        <v>3492</v>
      </c>
      <c r="B3427" s="48" t="str">
        <f>IFERROR(VLOOKUP(A3427,CLIENTES!A:E,2,0),"CADASTRAR CLIENTE")</f>
        <v>SOCIEDADE EDUCACIONAL UBERABENSE</v>
      </c>
      <c r="C3427" s="54" t="s">
        <v>738</v>
      </c>
      <c r="D3427" s="54" t="s">
        <v>1104</v>
      </c>
      <c r="E3427" s="51">
        <v>510.5</v>
      </c>
      <c r="F3427" s="48"/>
      <c r="G3427" s="51"/>
      <c r="H3427" s="52"/>
      <c r="I3427" s="53">
        <v>46220</v>
      </c>
    </row>
    <row r="3428" spans="1:9">
      <c r="A3428" s="47">
        <v>501173</v>
      </c>
      <c r="B3428" s="48" t="str">
        <f>IFERROR(VLOOKUP(A3428,CLIENTES!A:E,2,0),"CADASTRAR CLIENTE")</f>
        <v>LUIZ FRANCISCO ZAFALON</v>
      </c>
      <c r="C3428" s="54" t="s">
        <v>3</v>
      </c>
      <c r="D3428" s="54">
        <v>98623</v>
      </c>
      <c r="E3428" s="51">
        <v>499</v>
      </c>
      <c r="F3428" s="48"/>
      <c r="G3428" s="51"/>
      <c r="H3428" s="52"/>
      <c r="I3428" s="53">
        <v>46223</v>
      </c>
    </row>
    <row r="3429" spans="1:9">
      <c r="A3429" s="47">
        <v>501160</v>
      </c>
      <c r="B3429" s="48" t="str">
        <f>IFERROR(VLOOKUP(A3429,CLIENTES!A:E,2,0),"CADASTRAR CLIENTE")</f>
        <v>SAO ROQUE MEDICINA DIAGNOSTICA LTDA</v>
      </c>
      <c r="C3429" s="54" t="s">
        <v>3</v>
      </c>
      <c r="D3429" s="54">
        <v>99778</v>
      </c>
      <c r="E3429" s="51">
        <v>410.78</v>
      </c>
      <c r="F3429" s="48"/>
      <c r="G3429" s="51"/>
      <c r="H3429" s="52"/>
      <c r="I3429" s="53">
        <v>46223</v>
      </c>
    </row>
    <row r="3430" spans="1:9">
      <c r="A3430" s="47">
        <v>3557</v>
      </c>
      <c r="B3430" s="48" t="str">
        <f>IFERROR(VLOOKUP(A3430,CLIENTES!A:E,2,0),"CADASTRAR CLIENTE")</f>
        <v>ASSOCIACAO BENEFICIENTE NOSSA SENHORA DE NAZARE</v>
      </c>
      <c r="C3430" s="54" t="s">
        <v>3</v>
      </c>
      <c r="D3430" s="54">
        <v>99470</v>
      </c>
      <c r="E3430" s="88">
        <v>5000</v>
      </c>
      <c r="F3430" s="48"/>
      <c r="G3430" s="88"/>
      <c r="H3430" s="52"/>
      <c r="I3430" s="53">
        <v>46223</v>
      </c>
    </row>
    <row r="3431" spans="1:9">
      <c r="A3431" s="47">
        <v>432</v>
      </c>
      <c r="B3431" s="48" t="str">
        <f>IFERROR(VLOOKUP(A3431,CLIENTES!A:E,2,0),"CADASTRAR CLIENTE")</f>
        <v>LABORATORIO PASTEUR HEMATOLOGIA E MICROBIOLOGIA S/S LTDA</v>
      </c>
      <c r="C3431" s="54" t="s">
        <v>3</v>
      </c>
      <c r="D3431" s="54">
        <v>103546</v>
      </c>
      <c r="E3431" s="88">
        <v>534.75</v>
      </c>
      <c r="F3431" s="48"/>
      <c r="G3431" s="88"/>
      <c r="H3431" s="52"/>
      <c r="I3431" s="53">
        <v>46223</v>
      </c>
    </row>
    <row r="3432" spans="1:9">
      <c r="A3432" s="47">
        <v>500202</v>
      </c>
      <c r="B3432" s="48" t="str">
        <f>IFERROR(VLOOKUP(A3432,CLIENTES!A:E,2,0),"CADASTRAR CLIENTE")</f>
        <v>SOCIEDADE EDUCACIONAL UBERABENSE</v>
      </c>
      <c r="C3432" s="54" t="s">
        <v>3</v>
      </c>
      <c r="D3432" s="54">
        <v>99676</v>
      </c>
      <c r="E3432" s="51">
        <v>540</v>
      </c>
      <c r="F3432" s="48"/>
      <c r="G3432" s="51"/>
      <c r="H3432" s="52"/>
      <c r="I3432" s="53">
        <v>46223</v>
      </c>
    </row>
    <row r="3433" spans="1:9">
      <c r="A3433" s="47">
        <v>51061</v>
      </c>
      <c r="B3433" s="48" t="str">
        <f>IFERROR(VLOOKUP(A3433,CLIENTES!A:E,2,0),"CADASTRAR CLIENTE")</f>
        <v>UNIMED AMPARO COOPERATIVA DE TRABALHO MEDICO</v>
      </c>
      <c r="C3433" s="54" t="s">
        <v>3</v>
      </c>
      <c r="D3433" s="54">
        <v>99768</v>
      </c>
      <c r="E3433" s="51">
        <v>592.5</v>
      </c>
      <c r="F3433" s="48"/>
      <c r="G3433" s="51"/>
      <c r="H3433" s="52"/>
      <c r="I3433" s="53">
        <v>46223</v>
      </c>
    </row>
    <row r="3434" spans="1:9">
      <c r="A3434" s="47">
        <v>51175</v>
      </c>
      <c r="B3434" s="48" t="str">
        <f>IFERROR(VLOOKUP(A3434,CLIENTES!A:E,2,0),"CADASTRAR CLIENTE")</f>
        <v>CLINICA MEDICA E ODONTOLOGICA AMOR SAUDE TUPA LTDA</v>
      </c>
      <c r="C3434" s="54" t="s">
        <v>3</v>
      </c>
      <c r="D3434" s="54">
        <v>99804</v>
      </c>
      <c r="E3434" s="51"/>
      <c r="F3434" s="48"/>
      <c r="G3434" s="51">
        <v>1731.5</v>
      </c>
      <c r="H3434" s="52"/>
      <c r="I3434" s="53">
        <v>46223</v>
      </c>
    </row>
    <row r="3435" spans="1:9">
      <c r="A3435" s="62">
        <v>50185</v>
      </c>
      <c r="B3435" s="48" t="str">
        <f>IFERROR(VLOOKUP(A3435,CLIENTES!A:E,2,0),"CADASTRAR CLIENTE")</f>
        <v>ANIMALAB SS LTDA</v>
      </c>
      <c r="C3435" s="54" t="s">
        <v>3</v>
      </c>
      <c r="D3435" s="54">
        <v>99810</v>
      </c>
      <c r="E3435" s="88">
        <v>143.35</v>
      </c>
      <c r="F3435" s="48"/>
      <c r="G3435" s="88"/>
      <c r="H3435" s="52"/>
      <c r="I3435" s="53">
        <v>46223</v>
      </c>
    </row>
    <row r="3436" spans="1:9">
      <c r="A3436" s="47">
        <v>705</v>
      </c>
      <c r="B3436" s="48" t="str">
        <f>IFERROR(VLOOKUP(A3436,CLIENTES!A:E,2,0),"CADASTRAR CLIENTE")</f>
        <v>JOAO JOSE SCHIAVUZZO ME</v>
      </c>
      <c r="C3436" s="54" t="s">
        <v>3</v>
      </c>
      <c r="D3436" s="54">
        <v>99829</v>
      </c>
      <c r="E3436" s="51">
        <v>1334</v>
      </c>
      <c r="F3436" s="48"/>
      <c r="G3436" s="51"/>
      <c r="H3436" s="52"/>
      <c r="I3436" s="53">
        <v>46224</v>
      </c>
    </row>
    <row r="3437" spans="1:9">
      <c r="A3437" s="47">
        <v>50558</v>
      </c>
      <c r="B3437" s="48" t="str">
        <f>IFERROR(VLOOKUP(A3437,CLIENTES!A:E,2,0),"CADASTRAR CLIENTE")</f>
        <v>FUNDACAO PAULISTA DE TECNOLOGIA E EDUCACAO</v>
      </c>
      <c r="C3437" s="54" t="s">
        <v>3</v>
      </c>
      <c r="D3437" s="54">
        <v>99362</v>
      </c>
      <c r="E3437" s="51">
        <v>1623.92</v>
      </c>
      <c r="F3437" s="48"/>
      <c r="G3437" s="51"/>
      <c r="H3437" s="52"/>
      <c r="I3437" s="53">
        <v>46224</v>
      </c>
    </row>
    <row r="3438" spans="1:9">
      <c r="A3438" s="47">
        <v>516</v>
      </c>
      <c r="B3438" s="48" t="str">
        <f>IFERROR(VLOOKUP(A3438,CLIENTES!A:E,2,0),"CADASTRAR CLIENTE")</f>
        <v>TECNOLAB PATOLOGIA CLINICA S/C LTDA</v>
      </c>
      <c r="C3438" s="54" t="s">
        <v>2</v>
      </c>
      <c r="D3438" s="54">
        <v>97747</v>
      </c>
      <c r="E3438" s="88">
        <v>6270.14</v>
      </c>
      <c r="F3438" s="48"/>
      <c r="G3438" s="88"/>
      <c r="H3438" s="52"/>
      <c r="I3438" s="53">
        <v>46225</v>
      </c>
    </row>
    <row r="3439" spans="1:9">
      <c r="A3439" s="47">
        <v>3017</v>
      </c>
      <c r="B3439" s="48" t="str">
        <f>IFERROR(VLOOKUP(A3439,CLIENTES!A:E,2,0),"CADASTRAR CLIENTE")</f>
        <v>IMUNOLAB LABORATORIO DE ANALISES CLINICAS LTDA ME</v>
      </c>
      <c r="C3439" s="54" t="s">
        <v>3</v>
      </c>
      <c r="D3439" s="54">
        <v>99861</v>
      </c>
      <c r="E3439" s="51">
        <v>705.8</v>
      </c>
      <c r="F3439" s="48"/>
      <c r="G3439" s="51"/>
      <c r="H3439" s="52"/>
      <c r="I3439" s="53">
        <v>46225</v>
      </c>
    </row>
    <row r="3440" spans="1:9">
      <c r="A3440" s="47">
        <v>572</v>
      </c>
      <c r="B3440" s="48" t="str">
        <f>IFERROR(VLOOKUP(A3440,CLIENTES!A:E,2,0),"CADASTRAR CLIENTE")</f>
        <v>LABORATORIO MULTIANALISES LTDA-ME</v>
      </c>
      <c r="C3440" s="54" t="s">
        <v>3</v>
      </c>
      <c r="D3440" s="54">
        <v>97985</v>
      </c>
      <c r="E3440" s="51">
        <v>915.05</v>
      </c>
      <c r="F3440" s="48"/>
      <c r="G3440" s="51"/>
      <c r="H3440" s="52"/>
      <c r="I3440" s="53">
        <v>46225</v>
      </c>
    </row>
    <row r="3441" spans="1:9">
      <c r="A3441" s="47">
        <v>1652</v>
      </c>
      <c r="B3441" s="48" t="str">
        <f>IFERROR(VLOOKUP(A3441,CLIENTES!A:E,2,0),"CADASTRAR CLIENTE")</f>
        <v>LAB. SANTA CLARA ANAL.CLIN.</v>
      </c>
      <c r="C3441" s="54" t="s">
        <v>3</v>
      </c>
      <c r="D3441" s="54">
        <v>103539</v>
      </c>
      <c r="E3441" s="51">
        <v>733.57</v>
      </c>
      <c r="F3441" s="48"/>
      <c r="G3441" s="51"/>
      <c r="H3441" s="52"/>
      <c r="I3441" s="53">
        <v>46226</v>
      </c>
    </row>
    <row r="3442" spans="1:9">
      <c r="A3442" s="47">
        <v>480</v>
      </c>
      <c r="B3442" s="48" t="str">
        <f>IFERROR(VLOOKUP(A3442,CLIENTES!A:E,2,0),"CADASTRAR CLIENTE")</f>
        <v>LAB SAO LUCAS</v>
      </c>
      <c r="C3442" s="54" t="s">
        <v>3</v>
      </c>
      <c r="D3442" s="54" t="s">
        <v>1107</v>
      </c>
      <c r="E3442" s="51">
        <v>1255.75</v>
      </c>
      <c r="F3442" s="48"/>
      <c r="G3442" s="51"/>
      <c r="H3442" s="52"/>
      <c r="I3442" s="53">
        <v>46226</v>
      </c>
    </row>
    <row r="3443" spans="1:9">
      <c r="A3443" s="47">
        <v>761</v>
      </c>
      <c r="B3443" s="48" t="str">
        <f>IFERROR(VLOOKUP(A3443,CLIENTES!A:E,2,0),"CADASTRAR CLIENTE")</f>
        <v>EXAME CENTRO DIAG.M.ARACATUBA SC LTDA.</v>
      </c>
      <c r="C3443" s="54" t="s">
        <v>3</v>
      </c>
      <c r="D3443" s="54" t="s">
        <v>1108</v>
      </c>
      <c r="E3443" s="51">
        <v>1371.83</v>
      </c>
      <c r="F3443" s="48"/>
      <c r="G3443" s="51"/>
      <c r="H3443" s="52"/>
      <c r="I3443" s="53">
        <v>46226</v>
      </c>
    </row>
    <row r="3444" spans="1:9">
      <c r="A3444" s="47">
        <v>2415</v>
      </c>
      <c r="B3444" s="48" t="str">
        <f>IFERROR(VLOOKUP(A3444,CLIENTES!A:E,2,0),"CADASTRAR CLIENTE")</f>
        <v>ROSSETTO E BARROS LABORATORIO DE ANALISES CLINICAS LTDA</v>
      </c>
      <c r="C3444" s="54" t="s">
        <v>3</v>
      </c>
      <c r="D3444" s="54">
        <v>99357</v>
      </c>
      <c r="E3444" s="51">
        <v>487.5</v>
      </c>
      <c r="F3444" s="48"/>
      <c r="G3444" s="51"/>
      <c r="H3444" s="52"/>
      <c r="I3444" s="53">
        <v>46226</v>
      </c>
    </row>
    <row r="3445" spans="1:9">
      <c r="A3445" s="47">
        <v>1164</v>
      </c>
      <c r="B3445" s="48" t="str">
        <f>IFERROR(VLOOKUP(A3445,CLIENTES!A:E,2,0),"CADASTRAR CLIENTE")</f>
        <v>LAB. ANAL. CLIN. SAO LOURENCO S/C LTDA</v>
      </c>
      <c r="C3445" s="54" t="s">
        <v>3</v>
      </c>
      <c r="D3445" s="54" t="s">
        <v>1109</v>
      </c>
      <c r="E3445" s="51">
        <v>1452.19</v>
      </c>
      <c r="F3445" s="48"/>
      <c r="G3445" s="51"/>
      <c r="H3445" s="52"/>
      <c r="I3445" s="53">
        <v>46226</v>
      </c>
    </row>
    <row r="3446" spans="1:9">
      <c r="A3446" s="47">
        <v>906</v>
      </c>
      <c r="B3446" s="48" t="str">
        <f>IFERROR(VLOOKUP(A3446,CLIENTES!A:E,2,0),"CADASTRAR CLIENTE")</f>
        <v>LABORATORIO ANAL. CLIN. DESCALVADO LTDA</v>
      </c>
      <c r="C3446" s="54" t="s">
        <v>3</v>
      </c>
      <c r="D3446" s="54" t="s">
        <v>1110</v>
      </c>
      <c r="E3446" s="88">
        <v>1648.53</v>
      </c>
      <c r="F3446" s="48"/>
      <c r="G3446" s="88"/>
      <c r="H3446" s="52"/>
      <c r="I3446" s="53">
        <v>46230</v>
      </c>
    </row>
    <row r="3447" spans="1:9">
      <c r="A3447" s="47">
        <v>822</v>
      </c>
      <c r="B3447" s="48" t="str">
        <f>IFERROR(VLOOKUP(A3447,CLIENTES!A:E,2,0),"CADASTRAR CLIENTE")</f>
        <v>SAO LUCAS LABORATORIO ANAL. CLIN. S/C LTDA</v>
      </c>
      <c r="C3447" s="54" t="s">
        <v>3</v>
      </c>
      <c r="D3447" s="54" t="s">
        <v>1111</v>
      </c>
      <c r="E3447" s="51">
        <v>702.85</v>
      </c>
      <c r="F3447" s="48"/>
      <c r="G3447" s="51"/>
      <c r="H3447" s="52"/>
      <c r="I3447" s="53">
        <v>46230</v>
      </c>
    </row>
    <row r="3448" spans="1:9">
      <c r="A3448" s="47">
        <v>1813</v>
      </c>
      <c r="B3448" s="48" t="str">
        <f>IFERROR(VLOOKUP(A3448,CLIENTES!A:E,2,0),"CADASTRAR CLIENTE")</f>
        <v>BIOMED LAB.ANAL.CLIN. SC  LTDA</v>
      </c>
      <c r="C3448" s="54" t="s">
        <v>2</v>
      </c>
      <c r="D3448" s="54">
        <v>99993</v>
      </c>
      <c r="E3448" s="51">
        <v>934.61</v>
      </c>
      <c r="F3448" s="48"/>
      <c r="G3448" s="51"/>
      <c r="H3448" s="52"/>
      <c r="I3448" s="53">
        <v>46230</v>
      </c>
    </row>
    <row r="3449" spans="1:9">
      <c r="A3449" s="47">
        <v>690</v>
      </c>
      <c r="B3449" s="48" t="str">
        <f>IFERROR(VLOOKUP(A3449,CLIENTES!A:E,2,0),"CADASTRAR CLIENTE")</f>
        <v>SAO ROQUE MEDICINA DIAGNOSTICA LTDA EPP</v>
      </c>
      <c r="C3449" s="54" t="s">
        <v>3</v>
      </c>
      <c r="D3449" s="54" t="s">
        <v>1112</v>
      </c>
      <c r="E3449" s="51">
        <v>2331.5</v>
      </c>
      <c r="F3449" s="48"/>
      <c r="G3449" s="51"/>
      <c r="H3449" s="52"/>
      <c r="I3449" s="53">
        <v>46230</v>
      </c>
    </row>
    <row r="3450" spans="1:9">
      <c r="A3450" s="47">
        <v>475</v>
      </c>
      <c r="B3450" s="48" t="str">
        <f>IFERROR(VLOOKUP(A3450,CLIENTES!A:E,2,0),"CADASTRAR CLIENTE")</f>
        <v>LABORATORIO DE ANALISES CLINICAS SRC LTDA</v>
      </c>
      <c r="C3450" s="54" t="s">
        <v>3</v>
      </c>
      <c r="D3450" s="54" t="s">
        <v>1113</v>
      </c>
      <c r="E3450" s="88">
        <v>7600.66</v>
      </c>
      <c r="F3450" s="48"/>
      <c r="G3450" s="88"/>
      <c r="H3450" s="52"/>
      <c r="I3450" s="53">
        <v>46230</v>
      </c>
    </row>
    <row r="3451" spans="1:9">
      <c r="A3451" s="47">
        <v>501266</v>
      </c>
      <c r="B3451" s="48" t="str">
        <f>IFERROR(VLOOKUP(A3451,CLIENTES!A:E,2,0),"CADASTRAR CLIENTE")</f>
        <v>LABORATORIO DE ANALISES CLINICAS SRC FOZ DO IGUACU LTDA</v>
      </c>
      <c r="C3451" s="54" t="s">
        <v>3</v>
      </c>
      <c r="D3451" s="54">
        <v>99900</v>
      </c>
      <c r="E3451" s="51">
        <v>12152.27</v>
      </c>
      <c r="F3451" s="48"/>
      <c r="G3451" s="51"/>
      <c r="H3451" s="52"/>
      <c r="I3451" s="53">
        <v>46230</v>
      </c>
    </row>
    <row r="3452" spans="1:9">
      <c r="A3452" s="47">
        <v>2199</v>
      </c>
      <c r="B3452" s="48" t="str">
        <f>IFERROR(VLOOKUP(A3452,CLIENTES!A:E,2,0),"CADASTRAR CLIENTE")</f>
        <v>SOCIEDADE EDUCACIONAL UBERABENSE</v>
      </c>
      <c r="C3452" s="54" t="s">
        <v>738</v>
      </c>
      <c r="D3452" s="54" t="s">
        <v>1115</v>
      </c>
      <c r="E3452" s="51">
        <v>4628</v>
      </c>
      <c r="F3452" s="48"/>
      <c r="G3452" s="51"/>
      <c r="H3452" s="52"/>
      <c r="I3452" s="53">
        <v>46230</v>
      </c>
    </row>
    <row r="3453" spans="1:9">
      <c r="A3453" s="47">
        <v>761</v>
      </c>
      <c r="B3453" s="48" t="str">
        <f>IFERROR(VLOOKUP(A3453,CLIENTES!A:E,2,0),"CADASTRAR CLIENTE")</f>
        <v>EXAME CENTRO DIAG.M.ARACATUBA SC LTDA.</v>
      </c>
      <c r="C3453" s="54" t="s">
        <v>3</v>
      </c>
      <c r="D3453" s="54">
        <v>99945</v>
      </c>
      <c r="E3453" s="51">
        <v>16564.53</v>
      </c>
      <c r="F3453" s="48"/>
      <c r="G3453" s="51"/>
      <c r="H3453" s="52"/>
      <c r="I3453" s="53">
        <v>46230</v>
      </c>
    </row>
    <row r="3454" spans="1:9">
      <c r="A3454" s="47">
        <v>500005</v>
      </c>
      <c r="B3454" s="48" t="str">
        <f>IFERROR(VLOOKUP(A3454,CLIENTES!A:E,2,0),"CADASTRAR CLIENTE")</f>
        <v>ASSOCIACAO EDUCACIONAL DE ENSINO SUPERIOR</v>
      </c>
      <c r="C3454" s="54" t="s">
        <v>3</v>
      </c>
      <c r="D3454" s="54">
        <v>99352</v>
      </c>
      <c r="E3454" s="51">
        <v>634.11</v>
      </c>
      <c r="F3454" s="48"/>
      <c r="G3454" s="51"/>
      <c r="H3454" s="52"/>
      <c r="I3454" s="53">
        <v>46230</v>
      </c>
    </row>
    <row r="3455" spans="1:9">
      <c r="A3455" s="47">
        <v>432</v>
      </c>
      <c r="B3455" s="48" t="str">
        <f>IFERROR(VLOOKUP(A3455,CLIENTES!A:E,2,0),"CADASTRAR CLIENTE")</f>
        <v>LABORATORIO PASTEUR HEMATOLOGIA E MICROBIOLOGIA S/S LTDA</v>
      </c>
      <c r="C3455" s="54" t="s">
        <v>3</v>
      </c>
      <c r="D3455" s="54">
        <v>100015</v>
      </c>
      <c r="E3455" s="51">
        <v>189</v>
      </c>
      <c r="F3455" s="48"/>
      <c r="G3455" s="51"/>
      <c r="H3455" s="52"/>
      <c r="I3455" s="53">
        <v>46230</v>
      </c>
    </row>
    <row r="3456" spans="1:9">
      <c r="A3456" s="47">
        <v>905</v>
      </c>
      <c r="B3456" s="48" t="str">
        <f>IFERROR(VLOOKUP(A3456,CLIENTES!A:E,2,0),"CADASTRAR CLIENTE")</f>
        <v>LAB AN CLIN DR NESTOR FERRAREZZI FILHO  SC LTDA</v>
      </c>
      <c r="C3456" s="54" t="s">
        <v>3</v>
      </c>
      <c r="D3456" s="54">
        <v>98823</v>
      </c>
      <c r="E3456" s="51">
        <v>1678.06</v>
      </c>
      <c r="F3456" s="48"/>
      <c r="G3456" s="51"/>
      <c r="H3456" s="52"/>
      <c r="I3456" s="53">
        <v>46230</v>
      </c>
    </row>
    <row r="3457" spans="1:9">
      <c r="A3457" s="47">
        <v>51042</v>
      </c>
      <c r="B3457" s="48" t="str">
        <f>IFERROR(VLOOKUP(A3457,CLIENTES!A:E,2,0),"CADASTRAR CLIENTE")</f>
        <v>CLINICAO ANDRADINA PET SHOP E CLINICA VETERINARIA LTDA</v>
      </c>
      <c r="C3457" s="54" t="s">
        <v>3</v>
      </c>
      <c r="D3457" s="54" t="s">
        <v>1116</v>
      </c>
      <c r="E3457" s="51">
        <v>317.10000000000002</v>
      </c>
      <c r="F3457" s="48"/>
      <c r="G3457" s="51"/>
      <c r="H3457" s="52"/>
      <c r="I3457" s="53">
        <v>46230</v>
      </c>
    </row>
    <row r="3458" spans="1:9">
      <c r="A3458" s="47">
        <v>708</v>
      </c>
      <c r="B3458" s="48" t="str">
        <f>IFERROR(VLOOKUP(A3458,CLIENTES!A:E,2,0),"CADASTRAR CLIENTE")</f>
        <v>IMEDI INST.MEDICO DE PAT.E DIAGNOSTICO SC LTDA.</v>
      </c>
      <c r="C3458" s="54" t="s">
        <v>3</v>
      </c>
      <c r="D3458" s="54">
        <v>99855</v>
      </c>
      <c r="E3458" s="51">
        <v>2067.31</v>
      </c>
      <c r="F3458" s="48"/>
      <c r="G3458" s="51"/>
      <c r="H3458" s="52"/>
      <c r="I3458" s="53">
        <v>46231</v>
      </c>
    </row>
    <row r="3459" spans="1:9">
      <c r="A3459" s="47">
        <v>500873</v>
      </c>
      <c r="B3459" s="48" t="str">
        <f>IFERROR(VLOOKUP(A3459,CLIENTES!A:E,2,0),"CADASTRAR CLIENTE")</f>
        <v>HOUPILLARD SERVICOS VETERINARIOS LTDA.</v>
      </c>
      <c r="C3459" s="54" t="s">
        <v>3</v>
      </c>
      <c r="D3459" s="54" t="s">
        <v>1117</v>
      </c>
      <c r="E3459" s="51">
        <v>2008.05</v>
      </c>
      <c r="F3459" s="48"/>
      <c r="G3459" s="51"/>
      <c r="H3459" s="52"/>
      <c r="I3459" s="53">
        <v>46231</v>
      </c>
    </row>
    <row r="3460" spans="1:9">
      <c r="A3460" s="47">
        <v>2199</v>
      </c>
      <c r="B3460" s="48" t="str">
        <f>IFERROR(VLOOKUP(A3460,CLIENTES!A:E,2,0),"CADASTRAR CLIENTE")</f>
        <v>SOCIEDADE EDUCACIONAL UBERABENSE</v>
      </c>
      <c r="C3460" s="54" t="s">
        <v>3</v>
      </c>
      <c r="D3460" s="54" t="s">
        <v>1118</v>
      </c>
      <c r="E3460" s="51">
        <v>1180</v>
      </c>
      <c r="F3460" s="48"/>
      <c r="G3460" s="51"/>
      <c r="H3460" s="52"/>
      <c r="I3460" s="53">
        <v>46231</v>
      </c>
    </row>
    <row r="3461" spans="1:9">
      <c r="A3461" s="47">
        <v>762</v>
      </c>
      <c r="B3461" s="48" t="str">
        <f>IFERROR(VLOOKUP(A3461,CLIENTES!A:E,2,0),"CADASTRAR CLIENTE")</f>
        <v>STA. CASA MISERICORDIA DE ARACATUBA</v>
      </c>
      <c r="C3461" s="54" t="s">
        <v>738</v>
      </c>
      <c r="D3461" s="54" t="s">
        <v>1119</v>
      </c>
      <c r="E3461" s="51">
        <v>2820.45</v>
      </c>
      <c r="F3461" s="48"/>
      <c r="G3461" s="51"/>
      <c r="H3461" s="52"/>
      <c r="I3461" s="53">
        <v>46231</v>
      </c>
    </row>
    <row r="3462" spans="1:9">
      <c r="A3462" s="47">
        <v>1234</v>
      </c>
      <c r="B3462" s="48" t="str">
        <f>IFERROR(VLOOKUP(A3462,CLIENTES!A:E,2,0),"CADASTRAR CLIENTE")</f>
        <v>LAB ANAL CLIN SAO JUDAS TADEU SC LTDA</v>
      </c>
      <c r="C3462" s="54" t="s">
        <v>3</v>
      </c>
      <c r="D3462" s="54">
        <v>100085</v>
      </c>
      <c r="E3462" s="51">
        <v>861.45</v>
      </c>
      <c r="F3462" s="48"/>
      <c r="G3462" s="51"/>
      <c r="H3462" s="52"/>
      <c r="I3462" s="53">
        <v>46232</v>
      </c>
    </row>
    <row r="3463" spans="1:9">
      <c r="A3463" s="47">
        <v>501070</v>
      </c>
      <c r="B3463" s="48" t="str">
        <f>IFERROR(VLOOKUP(A3463,CLIENTES!A:E,2,0),"CADASTRAR CLIENTE")</f>
        <v>EASYMED SERVICOS MEDICOS LTDA</v>
      </c>
      <c r="C3463" s="54" t="s">
        <v>3</v>
      </c>
      <c r="D3463" s="54">
        <v>98166</v>
      </c>
      <c r="E3463" s="88">
        <v>1670.75</v>
      </c>
      <c r="F3463" s="48"/>
      <c r="G3463" s="88"/>
      <c r="H3463" s="52"/>
      <c r="I3463" s="53">
        <v>46232</v>
      </c>
    </row>
    <row r="3464" spans="1:9">
      <c r="A3464" s="47">
        <v>501078</v>
      </c>
      <c r="B3464" s="48" t="str">
        <f>IFERROR(VLOOKUP(A3464,CLIENTES!A:E,2,0),"CADASTRAR CLIENTE")</f>
        <v>EASYMED SERVICOS MEDICOS LTDA</v>
      </c>
      <c r="C3464" s="54" t="s">
        <v>3</v>
      </c>
      <c r="D3464" s="54">
        <v>99504</v>
      </c>
      <c r="E3464" s="88">
        <v>2037.49</v>
      </c>
      <c r="F3464" s="48"/>
      <c r="G3464" s="88"/>
      <c r="H3464" s="52"/>
      <c r="I3464" s="53">
        <v>46232</v>
      </c>
    </row>
    <row r="3465" spans="1:9">
      <c r="A3465" s="47">
        <v>501054</v>
      </c>
      <c r="B3465" s="48" t="str">
        <f>IFERROR(VLOOKUP(A3465,CLIENTES!A:E,2,0),"CADASTRAR CLIENTE")</f>
        <v>EASYMED SERVICOS MEDICOS LTDA</v>
      </c>
      <c r="C3465" s="54" t="s">
        <v>3</v>
      </c>
      <c r="D3465" s="54">
        <v>98165</v>
      </c>
      <c r="E3465" s="88">
        <v>1881.2</v>
      </c>
      <c r="F3465" s="48"/>
      <c r="G3465" s="88"/>
      <c r="H3465" s="52"/>
      <c r="I3465" s="53">
        <v>46232</v>
      </c>
    </row>
    <row r="3466" spans="1:9">
      <c r="A3466" s="47">
        <v>500507</v>
      </c>
      <c r="B3466" s="48" t="str">
        <f>IFERROR(VLOOKUP(A3466,CLIENTES!A:E,2,0),"CADASTRAR CLIENTE")</f>
        <v>LABORATORIOS DOCTOR</v>
      </c>
      <c r="C3466" s="54" t="s">
        <v>3</v>
      </c>
      <c r="D3466" s="54">
        <v>98163</v>
      </c>
      <c r="E3466" s="88">
        <v>2155.5700000000002</v>
      </c>
      <c r="F3466" s="48"/>
      <c r="G3466" s="88"/>
      <c r="H3466" s="52"/>
      <c r="I3466" s="53">
        <v>46232</v>
      </c>
    </row>
    <row r="3467" spans="1:9">
      <c r="A3467" s="47">
        <v>501079</v>
      </c>
      <c r="B3467" s="48" t="str">
        <f>IFERROR(VLOOKUP(A3467,CLIENTES!A:E,2,0),"CADASTRAR CLIENTE")</f>
        <v>EASYMED SERVICOS MEDICOS LTDA</v>
      </c>
      <c r="C3467" s="54" t="s">
        <v>3</v>
      </c>
      <c r="D3467" s="54">
        <v>98164</v>
      </c>
      <c r="E3467" s="88">
        <v>5131.3900000000003</v>
      </c>
      <c r="F3467" s="48"/>
      <c r="G3467" s="88"/>
      <c r="H3467" s="52"/>
      <c r="I3467" s="53">
        <v>46232</v>
      </c>
    </row>
    <row r="3468" spans="1:9">
      <c r="A3468" s="47">
        <v>772</v>
      </c>
      <c r="B3468" s="48" t="str">
        <f>IFERROR(VLOOKUP(A3468,CLIENTES!A:E,2,0),"CADASTRAR CLIENTE")</f>
        <v>MEGARON LABORATORIO ANAL.CLIN.SC LTDA.</v>
      </c>
      <c r="C3468" s="54" t="s">
        <v>3</v>
      </c>
      <c r="D3468" s="54" t="s">
        <v>1120</v>
      </c>
      <c r="E3468" s="51">
        <v>1096</v>
      </c>
      <c r="F3468" s="48"/>
      <c r="G3468" s="51"/>
      <c r="H3468" s="52"/>
      <c r="I3468" s="53">
        <v>46232</v>
      </c>
    </row>
    <row r="3469" spans="1:9">
      <c r="A3469" s="47">
        <v>50558</v>
      </c>
      <c r="B3469" s="48" t="str">
        <f>IFERROR(VLOOKUP(A3469,CLIENTES!A:E,2,0),"CADASTRAR CLIENTE")</f>
        <v>FUNDACAO PAULISTA DE TECNOLOGIA E EDUCACAO</v>
      </c>
      <c r="C3469" s="54" t="s">
        <v>3</v>
      </c>
      <c r="D3469" s="54">
        <v>98459</v>
      </c>
      <c r="E3469" s="88">
        <v>1868</v>
      </c>
      <c r="F3469" s="48"/>
      <c r="G3469" s="88"/>
      <c r="H3469" s="52"/>
      <c r="I3469" s="53">
        <v>46232</v>
      </c>
    </row>
    <row r="3470" spans="1:9">
      <c r="A3470" s="47">
        <v>50418</v>
      </c>
      <c r="B3470" s="48" t="str">
        <f>IFERROR(VLOOKUP(A3470,CLIENTES!A:E,2,0),"CADASTRAR CLIENTE")</f>
        <v>LABORATORIO SAO LUCAS DE BROTAS SS LTDA</v>
      </c>
      <c r="C3470" s="54" t="s">
        <v>3</v>
      </c>
      <c r="D3470" s="54">
        <v>100099</v>
      </c>
      <c r="E3470" s="51">
        <v>1382.14</v>
      </c>
      <c r="F3470" s="48"/>
      <c r="G3470" s="51"/>
      <c r="H3470" s="52"/>
      <c r="I3470" s="53">
        <v>46232</v>
      </c>
    </row>
    <row r="3471" spans="1:9">
      <c r="A3471" s="47">
        <v>1164</v>
      </c>
      <c r="B3471" s="48" t="str">
        <f>IFERROR(VLOOKUP(A3471,CLIENTES!A:E,2,0),"CADASTRAR CLIENTE")</f>
        <v>LAB. ANAL. CLIN. SAO LOURENCO S/C LTDA</v>
      </c>
      <c r="C3471" s="54" t="s">
        <v>3</v>
      </c>
      <c r="D3471" s="54" t="s">
        <v>1121</v>
      </c>
      <c r="E3471" s="51">
        <v>1031.6400000000001</v>
      </c>
      <c r="F3471" s="48"/>
      <c r="G3471" s="51"/>
      <c r="H3471" s="52"/>
      <c r="I3471" s="53">
        <v>46232</v>
      </c>
    </row>
    <row r="3472" spans="1:9">
      <c r="A3472" s="47">
        <v>2911</v>
      </c>
      <c r="B3472" s="48" t="str">
        <f>IFERROR(VLOOKUP(A3472,CLIENTES!A:E,2,0),"CADASTRAR CLIENTE")</f>
        <v>BIOLIFE-LABORATORIO DE ANALISES CLINICAS LTDA</v>
      </c>
      <c r="C3472" s="54" t="s">
        <v>3</v>
      </c>
      <c r="D3472" s="54" t="s">
        <v>1122</v>
      </c>
      <c r="E3472" s="88">
        <v>1163.3</v>
      </c>
      <c r="F3472" s="48"/>
      <c r="G3472" s="88"/>
      <c r="H3472" s="52"/>
      <c r="I3472" s="53">
        <v>46233</v>
      </c>
    </row>
    <row r="3473" spans="1:9">
      <c r="A3473" s="47">
        <v>474</v>
      </c>
      <c r="B3473" s="48" t="str">
        <f>IFERROR(VLOOKUP(A3473,CLIENTES!A:E,2,0),"CADASTRAR CLIENTE")</f>
        <v>LABORATI LAB. ANAL. CLIN. TIETE S/C LTDA.</v>
      </c>
      <c r="C3473" s="54" t="s">
        <v>3</v>
      </c>
      <c r="D3473" s="54" t="s">
        <v>1123</v>
      </c>
      <c r="E3473" s="51">
        <v>490.21</v>
      </c>
      <c r="F3473" s="48"/>
      <c r="G3473" s="51"/>
      <c r="H3473" s="52"/>
      <c r="I3473" s="53">
        <v>46233</v>
      </c>
    </row>
    <row r="3474" spans="1:9">
      <c r="A3474" s="47">
        <v>572</v>
      </c>
      <c r="B3474" s="48" t="str">
        <f>IFERROR(VLOOKUP(A3474,CLIENTES!A:E,2,0),"CADASTRAR CLIENTE")</f>
        <v>LABORATORIO MULTIANALISES LTDA-ME</v>
      </c>
      <c r="C3474" s="54" t="s">
        <v>3</v>
      </c>
      <c r="D3474" s="54">
        <v>100113</v>
      </c>
      <c r="E3474" s="88">
        <v>976.3</v>
      </c>
      <c r="F3474" s="48"/>
      <c r="G3474" s="88"/>
      <c r="H3474" s="52"/>
      <c r="I3474" s="53">
        <v>46233</v>
      </c>
    </row>
    <row r="3475" spans="1:9">
      <c r="A3475" s="47">
        <v>823</v>
      </c>
      <c r="B3475" s="48" t="str">
        <f>IFERROR(VLOOKUP(A3475,CLIENTES!A:E,2,0),"CADASTRAR CLIENTE")</f>
        <v>SANCHES x SANCHES S/C LTDA</v>
      </c>
      <c r="C3475" s="54" t="s">
        <v>3</v>
      </c>
      <c r="D3475" s="54" t="s">
        <v>1124</v>
      </c>
      <c r="E3475" s="51">
        <v>2087.85</v>
      </c>
      <c r="F3475" s="48"/>
      <c r="G3475" s="51"/>
      <c r="H3475" s="52"/>
      <c r="I3475" s="53">
        <v>46233</v>
      </c>
    </row>
    <row r="3476" spans="1:9">
      <c r="A3476" s="47">
        <v>3557</v>
      </c>
      <c r="B3476" s="48" t="str">
        <f>IFERROR(VLOOKUP(A3476,CLIENTES!A:E,2,0),"CADASTRAR CLIENTE")</f>
        <v>ASSOCIACAO BENEFICIENTE NOSSA SENHORA DE NAZARE</v>
      </c>
      <c r="C3476" s="54" t="s">
        <v>738</v>
      </c>
      <c r="D3476" s="54">
        <v>99798</v>
      </c>
      <c r="E3476" s="51">
        <v>4559.45</v>
      </c>
      <c r="F3476" s="48"/>
      <c r="G3476" s="51"/>
      <c r="H3476" s="52"/>
      <c r="I3476" s="53">
        <v>46233</v>
      </c>
    </row>
    <row r="3477" spans="1:9">
      <c r="A3477" s="47">
        <v>2199</v>
      </c>
      <c r="B3477" s="48" t="str">
        <f>IFERROR(VLOOKUP(A3477,CLIENTES!A:E,2,0),"CADASTRAR CLIENTE")</f>
        <v>SOCIEDADE EDUCACIONAL UBERABENSE</v>
      </c>
      <c r="C3477" s="54" t="s">
        <v>738</v>
      </c>
      <c r="D3477" s="54">
        <v>99688</v>
      </c>
      <c r="E3477" s="51">
        <v>676</v>
      </c>
      <c r="F3477" s="48"/>
      <c r="G3477" s="51"/>
      <c r="H3477" s="52"/>
      <c r="I3477" s="53">
        <v>46233</v>
      </c>
    </row>
    <row r="3478" spans="1:9">
      <c r="A3478" s="47">
        <v>762</v>
      </c>
      <c r="B3478" s="48" t="str">
        <f>IFERROR(VLOOKUP(A3478,CLIENTES!A:E,2,0),"CADASTRAR CLIENTE")</f>
        <v>STA. CASA MISERICORDIA DE ARACATUBA</v>
      </c>
      <c r="C3478" s="54" t="s">
        <v>3</v>
      </c>
      <c r="D3478" s="54">
        <v>99418</v>
      </c>
      <c r="E3478" s="51">
        <v>1448.5</v>
      </c>
      <c r="F3478" s="48"/>
      <c r="G3478" s="51"/>
      <c r="H3478" s="52"/>
      <c r="I3478" s="53">
        <v>46233</v>
      </c>
    </row>
    <row r="3479" spans="1:9">
      <c r="A3479" s="47">
        <v>761</v>
      </c>
      <c r="B3479" s="48" t="str">
        <f>IFERROR(VLOOKUP(A3479,CLIENTES!A:E,2,0),"CADASTRAR CLIENTE")</f>
        <v>EXAME CENTRO DIAG.M.ARACATUBA SC LTDA.</v>
      </c>
      <c r="C3479" s="54" t="s">
        <v>3</v>
      </c>
      <c r="D3479" s="54" t="s">
        <v>1125</v>
      </c>
      <c r="E3479" s="88">
        <v>17115.82</v>
      </c>
      <c r="F3479" s="48"/>
      <c r="G3479" s="88"/>
      <c r="H3479" s="52"/>
      <c r="I3479" s="53">
        <v>46234</v>
      </c>
    </row>
    <row r="3480" spans="1:9">
      <c r="A3480" s="47">
        <v>3018</v>
      </c>
      <c r="B3480" s="48" t="str">
        <f>IFERROR(VLOOKUP(A3480,CLIENTES!A:E,2,0),"CADASTRAR CLIENTE")</f>
        <v>NP- LABORATORIO DE ANALISES CLINICAS LTDA</v>
      </c>
      <c r="C3480" s="54" t="s">
        <v>3</v>
      </c>
      <c r="D3480" s="54" t="s">
        <v>1126</v>
      </c>
      <c r="E3480" s="88">
        <v>1385.33</v>
      </c>
      <c r="F3480" s="48"/>
      <c r="G3480" s="88"/>
      <c r="H3480" s="52"/>
      <c r="I3480" s="53">
        <v>46234</v>
      </c>
    </row>
    <row r="3481" spans="1:9">
      <c r="A3481" s="47">
        <v>50558</v>
      </c>
      <c r="B3481" s="48" t="str">
        <f>IFERROR(VLOOKUP(A3481,CLIENTES!A:E,2,0),"CADASTRAR CLIENTE")</f>
        <v>FUNDACAO PAULISTA DE TECNOLOGIA E EDUCACAO</v>
      </c>
      <c r="C3481" s="54" t="s">
        <v>3</v>
      </c>
      <c r="D3481" s="54">
        <v>98459</v>
      </c>
      <c r="E3481" s="51">
        <v>1988</v>
      </c>
      <c r="F3481" s="48"/>
      <c r="G3481" s="51"/>
      <c r="H3481" s="52"/>
      <c r="I3481" s="53">
        <v>46234</v>
      </c>
    </row>
    <row r="3482" spans="1:9">
      <c r="A3482" s="47">
        <v>784</v>
      </c>
      <c r="B3482" s="48" t="str">
        <f>IFERROR(VLOOKUP(A3482,CLIENTES!A:E,2,0),"CADASTRAR CLIENTE")</f>
        <v>LAB.ANAL.CLIN. ALBERT SABIN SC LTDA.</v>
      </c>
      <c r="C3482" s="54" t="s">
        <v>3</v>
      </c>
      <c r="D3482" s="54">
        <v>100061</v>
      </c>
      <c r="E3482" s="51">
        <v>2980.94</v>
      </c>
      <c r="F3482" s="48"/>
      <c r="G3482" s="51"/>
      <c r="H3482" s="52"/>
      <c r="I3482" s="53">
        <v>46234</v>
      </c>
    </row>
    <row r="3483" spans="1:9">
      <c r="A3483" s="47">
        <v>618</v>
      </c>
      <c r="B3483" s="48" t="str">
        <f>IFERROR(VLOOKUP(A3483,CLIENTES!A:E,2,0),"CADASTRAR CLIENTE")</f>
        <v>LAB. ANAL. CLIN. POMPEIA</v>
      </c>
      <c r="C3483" s="54" t="s">
        <v>3</v>
      </c>
      <c r="D3483" s="54" t="s">
        <v>1127</v>
      </c>
      <c r="E3483" s="51">
        <v>1261.77</v>
      </c>
      <c r="F3483" s="48"/>
      <c r="G3483" s="51"/>
      <c r="H3483" s="52"/>
      <c r="I3483" s="53">
        <v>46234</v>
      </c>
    </row>
    <row r="3484" spans="1:9">
      <c r="A3484" s="47">
        <v>1206</v>
      </c>
      <c r="B3484" s="48" t="str">
        <f>IFERROR(VLOOKUP(A3484,CLIENTES!A:E,2,0),"CADASTRAR CLIENTE")</f>
        <v>LABORATORIO RIO NEGRO CENTER DE MARILIA  LTDA</v>
      </c>
      <c r="C3484" s="54" t="s">
        <v>2</v>
      </c>
      <c r="D3484" s="54">
        <v>100176</v>
      </c>
      <c r="E3484" s="88">
        <v>1651</v>
      </c>
      <c r="F3484" s="48"/>
      <c r="G3484" s="88"/>
      <c r="H3484" s="52"/>
      <c r="I3484" s="53">
        <v>46234</v>
      </c>
    </row>
    <row r="3485" spans="1:9">
      <c r="A3485" s="47">
        <v>832</v>
      </c>
      <c r="B3485" s="48" t="str">
        <f>IFERROR(VLOOKUP(A3485,CLIENTES!A:E,2,0),"CADASTRAR CLIENTE")</f>
        <v>ASSOCIACAO DE ENSINO E CULTURA DE MATO GROSSO</v>
      </c>
      <c r="C3485" s="54" t="s">
        <v>3</v>
      </c>
      <c r="D3485" s="54">
        <v>100168</v>
      </c>
      <c r="E3485" s="51">
        <v>2078.14</v>
      </c>
      <c r="F3485" s="48"/>
      <c r="G3485" s="51"/>
      <c r="H3485" s="52"/>
      <c r="I3485" s="53">
        <v>46234</v>
      </c>
    </row>
    <row r="3486" spans="1:9">
      <c r="A3486" s="47">
        <v>500005</v>
      </c>
      <c r="B3486" s="48" t="str">
        <f>IFERROR(VLOOKUP(A3486,CLIENTES!A:E,2,0),"CADASTRAR CLIENTE")</f>
        <v>ASSOCIACAO EDUCACIONAL DE ENSINO SUPERIOR</v>
      </c>
      <c r="C3486" s="54" t="s">
        <v>3</v>
      </c>
      <c r="D3486" s="54">
        <v>100198</v>
      </c>
      <c r="E3486" s="51">
        <v>2329.85</v>
      </c>
      <c r="F3486" s="48"/>
      <c r="G3486" s="51"/>
      <c r="H3486" s="52"/>
      <c r="I3486" s="53">
        <v>46237</v>
      </c>
    </row>
    <row r="3487" spans="1:9">
      <c r="A3487" s="47">
        <v>761</v>
      </c>
      <c r="B3487" s="48" t="str">
        <f>IFERROR(VLOOKUP(A3487,CLIENTES!A:E,2,0),"CADASTRAR CLIENTE")</f>
        <v>EXAME CENTRO DIAG.M.ARACATUBA SC LTDA.</v>
      </c>
      <c r="C3487" s="54" t="s">
        <v>3</v>
      </c>
      <c r="D3487" s="54">
        <v>100223</v>
      </c>
      <c r="E3487" s="51">
        <v>8684.64</v>
      </c>
      <c r="F3487" s="48"/>
      <c r="G3487" s="51"/>
      <c r="H3487" s="52"/>
      <c r="I3487" s="53">
        <v>46237</v>
      </c>
    </row>
    <row r="3488" spans="1:9">
      <c r="A3488" s="47">
        <v>2163</v>
      </c>
      <c r="B3488" s="48" t="str">
        <f>IFERROR(VLOOKUP(A3488,CLIENTES!A:E,2,0),"CADASTRAR CLIENTE")</f>
        <v>BIO-LAB SAO JUDAS TADEU S/C LTDA - ME</v>
      </c>
      <c r="C3488" s="54" t="s">
        <v>3</v>
      </c>
      <c r="D3488" s="54">
        <v>100228</v>
      </c>
      <c r="E3488" s="51">
        <v>1362.8</v>
      </c>
      <c r="F3488" s="48"/>
      <c r="G3488" s="51"/>
      <c r="H3488" s="52"/>
      <c r="I3488" s="53">
        <v>46237</v>
      </c>
    </row>
    <row r="3489" spans="1:9">
      <c r="A3489" s="47">
        <v>575</v>
      </c>
      <c r="B3489" s="48" t="str">
        <f>IFERROR(VLOOKUP(A3489,CLIENTES!A:E,2,0),"CADASTRAR CLIENTE")</f>
        <v>DR MUNHOZ HOSPITAL VETERINARIO E PET SHOP</v>
      </c>
      <c r="C3489" s="54" t="s">
        <v>3</v>
      </c>
      <c r="D3489" s="54">
        <v>100237</v>
      </c>
      <c r="E3489" s="51">
        <v>566.05999999999995</v>
      </c>
      <c r="F3489" s="48"/>
      <c r="G3489" s="51"/>
      <c r="H3489" s="52"/>
      <c r="I3489" s="53">
        <v>46237</v>
      </c>
    </row>
    <row r="3490" spans="1:9">
      <c r="A3490" s="47">
        <v>311</v>
      </c>
      <c r="B3490" s="48" t="str">
        <f>IFERROR(VLOOKUP(A3490,CLIENTES!A:E,2,0),"CADASTRAR CLIENTE")</f>
        <v>CENTRO DE ANAL.CLIN. UNILAB  SC LTDA.</v>
      </c>
      <c r="C3490" s="54" t="s">
        <v>3</v>
      </c>
      <c r="D3490" s="54" t="s">
        <v>1128</v>
      </c>
      <c r="E3490" s="51">
        <v>1330.55</v>
      </c>
      <c r="F3490" s="48"/>
      <c r="G3490" s="51"/>
      <c r="H3490" s="52"/>
      <c r="I3490" s="53">
        <v>46237</v>
      </c>
    </row>
    <row r="3491" spans="1:9">
      <c r="A3491" s="47">
        <v>3153</v>
      </c>
      <c r="B3491" s="48" t="str">
        <f>IFERROR(VLOOKUP(A3491,CLIENTES!A:E,2,0),"CADASTRAR CLIENTE")</f>
        <v>UNIMED DE TUPA COOPERATIVA DE TRABALHO MEDICO</v>
      </c>
      <c r="C3491" s="54" t="s">
        <v>3</v>
      </c>
      <c r="D3491" s="54">
        <v>100255</v>
      </c>
      <c r="E3491" s="51">
        <v>1826.9</v>
      </c>
      <c r="F3491" s="48"/>
      <c r="G3491" s="51"/>
      <c r="H3491" s="52"/>
      <c r="I3491" s="53">
        <v>46238</v>
      </c>
    </row>
    <row r="3492" spans="1:9">
      <c r="A3492" s="47">
        <v>325</v>
      </c>
      <c r="B3492" s="48" t="str">
        <f>IFERROR(VLOOKUP(A3492,CLIENTES!A:E,2,0),"CADASTRAR CLIENTE")</f>
        <v>EXAME-LABORAT. DE ANAL. CLIN. CITODIAGNOSTICO S/S LTDA</v>
      </c>
      <c r="C3492" s="54" t="s">
        <v>3</v>
      </c>
      <c r="D3492" s="54" t="s">
        <v>1129</v>
      </c>
      <c r="E3492" s="51">
        <v>1469.4</v>
      </c>
      <c r="F3492" s="48"/>
      <c r="G3492" s="51"/>
      <c r="H3492" s="52"/>
      <c r="I3492" s="53">
        <v>46238</v>
      </c>
    </row>
    <row r="3493" spans="1:9">
      <c r="A3493" s="47">
        <v>746</v>
      </c>
      <c r="B3493" s="48" t="str">
        <f>IFERROR(VLOOKUP(A3493,CLIENTES!A:E,2,0),"CADASTRAR CLIENTE")</f>
        <v>LAB.ANAL.CLIN.BIOCLIN SC LTDA.</v>
      </c>
      <c r="C3493" s="54" t="s">
        <v>3</v>
      </c>
      <c r="D3493" s="54" t="s">
        <v>1130</v>
      </c>
      <c r="E3493" s="51">
        <v>788.56</v>
      </c>
      <c r="F3493" s="48"/>
      <c r="G3493" s="51"/>
      <c r="H3493" s="52"/>
      <c r="I3493" s="53">
        <v>46238</v>
      </c>
    </row>
    <row r="3494" spans="1:9">
      <c r="A3494" s="47">
        <v>3017</v>
      </c>
      <c r="B3494" s="48" t="str">
        <f>IFERROR(VLOOKUP(A3494,CLIENTES!A:E,2,0),"CADASTRAR CLIENTE")</f>
        <v>IMUNOLAB LABORATORIO DE ANALISES CLINICAS LTDA ME</v>
      </c>
      <c r="C3494" s="54" t="s">
        <v>3</v>
      </c>
      <c r="D3494" s="54">
        <v>100278</v>
      </c>
      <c r="E3494" s="51">
        <v>1597.14</v>
      </c>
      <c r="F3494" s="48"/>
      <c r="G3494" s="51"/>
      <c r="H3494" s="52"/>
      <c r="I3494" s="53">
        <v>46238</v>
      </c>
    </row>
    <row r="3495" spans="1:9">
      <c r="A3495" s="47">
        <v>960</v>
      </c>
      <c r="B3495" s="48" t="str">
        <f>IFERROR(VLOOKUP(A3495,CLIENTES!A:E,2,0),"CADASTRAR CLIENTE")</f>
        <v>LUIS VALERIO FILHO-ME</v>
      </c>
      <c r="C3495" s="54" t="s">
        <v>3</v>
      </c>
      <c r="D3495" s="54" t="s">
        <v>1131</v>
      </c>
      <c r="E3495" s="88">
        <v>1327.55</v>
      </c>
      <c r="F3495" s="48"/>
      <c r="G3495" s="88"/>
      <c r="H3495" s="52"/>
      <c r="I3495" s="53">
        <v>46238</v>
      </c>
    </row>
    <row r="3496" spans="1:9">
      <c r="A3496" s="47">
        <v>620</v>
      </c>
      <c r="B3496" s="48" t="str">
        <f>IFERROR(VLOOKUP(A3496,CLIENTES!A:E,2,0),"CADASTRAR CLIENTE")</f>
        <v>LAB.SAO PAULO DE ANAL.CLIN.SC LTDA.</v>
      </c>
      <c r="C3496" s="54" t="s">
        <v>3</v>
      </c>
      <c r="D3496" s="54" t="s">
        <v>1132</v>
      </c>
      <c r="E3496" s="51">
        <v>471.85</v>
      </c>
      <c r="F3496" s="48"/>
      <c r="G3496" s="51"/>
      <c r="H3496" s="52"/>
      <c r="I3496" s="53">
        <v>46239</v>
      </c>
    </row>
    <row r="3497" spans="1:9">
      <c r="A3497" s="62">
        <v>500243</v>
      </c>
      <c r="B3497" s="48" t="str">
        <f>IFERROR(VLOOKUP(A3497,CLIENTES!A:E,2,0),"CADASTRAR CLIENTE")</f>
        <v>UNIMED DE IBITINGA COOPERATIVA DE TRABALHO MEDICO</v>
      </c>
      <c r="C3497" s="54" t="s">
        <v>3</v>
      </c>
      <c r="D3497" s="54">
        <v>99996</v>
      </c>
      <c r="E3497" s="88">
        <v>695.3</v>
      </c>
      <c r="F3497" s="48"/>
      <c r="G3497" s="88"/>
      <c r="H3497" s="52"/>
      <c r="I3497" s="53">
        <v>46239</v>
      </c>
    </row>
    <row r="3498" spans="1:9">
      <c r="A3498" s="47">
        <v>475</v>
      </c>
      <c r="B3498" s="48" t="str">
        <f>IFERROR(VLOOKUP(A3498,CLIENTES!A:E,2,0),"CADASTRAR CLIENTE")</f>
        <v>LABORATORIO DE ANALISES CLINICAS SRC LTDA</v>
      </c>
      <c r="C3498" s="54" t="s">
        <v>3</v>
      </c>
      <c r="D3498" s="54" t="s">
        <v>1133</v>
      </c>
      <c r="E3498" s="51">
        <v>15586.8</v>
      </c>
      <c r="F3498" s="48"/>
      <c r="G3498" s="51"/>
      <c r="H3498" s="52"/>
      <c r="I3498" s="53">
        <v>46239</v>
      </c>
    </row>
    <row r="3499" spans="1:9">
      <c r="A3499" s="47">
        <v>1616</v>
      </c>
      <c r="B3499" s="48" t="str">
        <f>IFERROR(VLOOKUP(A3499,CLIENTES!A:E,2,0),"CADASTRAR CLIENTE")</f>
        <v>NOVO HORIZONTE LAB.ANAL.CLIN.S/C LTDA.</v>
      </c>
      <c r="C3499" s="54" t="s">
        <v>3</v>
      </c>
      <c r="D3499" s="54">
        <v>100337</v>
      </c>
      <c r="E3499" s="51">
        <v>388.3</v>
      </c>
      <c r="F3499" s="48"/>
      <c r="G3499" s="51"/>
      <c r="H3499" s="52"/>
      <c r="I3499" s="53">
        <v>46239</v>
      </c>
    </row>
    <row r="3500" spans="1:9">
      <c r="A3500" s="47">
        <v>3019</v>
      </c>
      <c r="B3500" s="48" t="str">
        <f>IFERROR(VLOOKUP(A3500,CLIENTES!A:E,2,0),"CADASTRAR CLIENTE")</f>
        <v>SOCIEDADE EDUCACIONAL UBERABENSE</v>
      </c>
      <c r="C3500" s="54" t="s">
        <v>738</v>
      </c>
      <c r="D3500" s="54">
        <v>100318</v>
      </c>
      <c r="E3500" s="51">
        <v>844.6</v>
      </c>
      <c r="F3500" s="48"/>
      <c r="G3500" s="51"/>
      <c r="H3500" s="52"/>
      <c r="I3500" s="53">
        <v>46239</v>
      </c>
    </row>
    <row r="3501" spans="1:9">
      <c r="A3501" s="47">
        <v>434</v>
      </c>
      <c r="B3501" s="48" t="str">
        <f>IFERROR(VLOOKUP(A3501,CLIENTES!A:E,2,0),"CADASTRAR CLIENTE")</f>
        <v>BIOLABOR LAB. ANAL. CLIN. SC LTDA.</v>
      </c>
      <c r="C3501" s="54" t="s">
        <v>3</v>
      </c>
      <c r="D3501" s="54">
        <v>100361</v>
      </c>
      <c r="E3501" s="88">
        <v>3101.2</v>
      </c>
      <c r="F3501" s="48"/>
      <c r="G3501" s="88"/>
      <c r="H3501" s="52"/>
      <c r="I3501" s="53">
        <v>46240</v>
      </c>
    </row>
    <row r="3502" spans="1:9">
      <c r="A3502" s="47">
        <v>581</v>
      </c>
      <c r="B3502" s="48" t="str">
        <f>IFERROR(VLOOKUP(A3502,CLIENTES!A:E,2,0),"CADASTRAR CLIENTE")</f>
        <v>CLINILAB LABORAT. ANAL. CLIN SC LTDA</v>
      </c>
      <c r="C3502" s="54" t="s">
        <v>3</v>
      </c>
      <c r="D3502" s="54" t="s">
        <v>1134</v>
      </c>
      <c r="E3502" s="88">
        <v>3197.08</v>
      </c>
      <c r="F3502" s="48"/>
      <c r="G3502" s="88"/>
      <c r="H3502" s="52"/>
      <c r="I3502" s="53">
        <v>46239</v>
      </c>
    </row>
    <row r="3503" spans="1:9">
      <c r="A3503" s="47">
        <v>761</v>
      </c>
      <c r="B3503" s="48" t="str">
        <f>IFERROR(VLOOKUP(A3503,CLIENTES!A:E,2,0),"CADASTRAR CLIENTE")</f>
        <v>EXAME CENTRO DIAG.M.ARACATUBA SC LTDA.</v>
      </c>
      <c r="C3503" s="54" t="s">
        <v>3</v>
      </c>
      <c r="D3503" s="54">
        <v>100166</v>
      </c>
      <c r="E3503" s="51">
        <v>4562.08</v>
      </c>
      <c r="F3503" s="48"/>
      <c r="G3503" s="51"/>
      <c r="H3503" s="52"/>
      <c r="I3503" s="53">
        <v>46240</v>
      </c>
    </row>
    <row r="3504" spans="1:9">
      <c r="A3504" s="47">
        <v>50219</v>
      </c>
      <c r="B3504" s="48" t="str">
        <f>IFERROR(VLOOKUP(A3504,CLIENTES!A:E,2,0),"CADASTRAR CLIENTE")</f>
        <v>UNIPREV LAB DE ANALISES LOCACAO DE BENS E REPAROS LTDA EPP</v>
      </c>
      <c r="C3504" s="54" t="s">
        <v>3</v>
      </c>
      <c r="D3504" s="54" t="s">
        <v>1135</v>
      </c>
      <c r="E3504" s="51">
        <v>1608.55</v>
      </c>
      <c r="F3504" s="48"/>
      <c r="G3504" s="51"/>
      <c r="H3504" s="52"/>
      <c r="I3504" s="53">
        <v>46240</v>
      </c>
    </row>
    <row r="3505" spans="1:9">
      <c r="A3505" s="47">
        <v>516</v>
      </c>
      <c r="B3505" s="48" t="str">
        <f>IFERROR(VLOOKUP(A3505,CLIENTES!A:E,2,0),"CADASTRAR CLIENTE")</f>
        <v>TECNOLAB PATOLOGIA CLINICA S/C LTDA</v>
      </c>
      <c r="C3505" s="54" t="s">
        <v>3</v>
      </c>
      <c r="D3505" s="54">
        <v>100388</v>
      </c>
      <c r="E3505" s="51">
        <v>3597.6</v>
      </c>
      <c r="F3505" s="48"/>
      <c r="G3505" s="51"/>
      <c r="H3505" s="52"/>
      <c r="I3505" s="53">
        <v>46240</v>
      </c>
    </row>
    <row r="3506" spans="1:9">
      <c r="A3506" s="47">
        <v>500005</v>
      </c>
      <c r="B3506" s="48" t="str">
        <f>IFERROR(VLOOKUP(A3506,CLIENTES!A:E,2,0),"CADASTRAR CLIENTE")</f>
        <v>ASSOCIACAO EDUCACIONAL DE ENSINO SUPERIOR</v>
      </c>
      <c r="C3506" s="54" t="s">
        <v>3</v>
      </c>
      <c r="D3506" s="54">
        <v>99654</v>
      </c>
      <c r="E3506" s="88"/>
      <c r="F3506" s="48"/>
      <c r="G3506" s="88">
        <v>6580</v>
      </c>
      <c r="H3506" s="52"/>
      <c r="I3506" s="53">
        <v>46240</v>
      </c>
    </row>
    <row r="3507" spans="1:9">
      <c r="A3507" s="47">
        <v>311</v>
      </c>
      <c r="B3507" s="48" t="str">
        <f>IFERROR(VLOOKUP(A3507,CLIENTES!A:E,2,0),"CADASTRAR CLIENTE")</f>
        <v>CENTRO DE ANAL.CLIN. UNILAB  SC LTDA.</v>
      </c>
      <c r="C3507" s="54" t="s">
        <v>3</v>
      </c>
      <c r="D3507" s="54" t="s">
        <v>1140</v>
      </c>
      <c r="E3507" s="51">
        <v>1489.9</v>
      </c>
      <c r="F3507" s="48"/>
      <c r="G3507" s="51">
        <v>1340</v>
      </c>
      <c r="H3507" s="52"/>
      <c r="I3507" s="53">
        <v>46240</v>
      </c>
    </row>
    <row r="3508" spans="1:9">
      <c r="A3508" s="47">
        <v>51182</v>
      </c>
      <c r="B3508" s="48" t="str">
        <f>IFERROR(VLOOKUP(A3508,CLIENTES!A:E,2,0),"CADASTRAR CLIENTE")</f>
        <v>GENNER FABRIS FLORENCIO OLIVO</v>
      </c>
      <c r="C3508" s="54" t="s">
        <v>3</v>
      </c>
      <c r="D3508" s="54">
        <v>100102</v>
      </c>
      <c r="E3508" s="88">
        <v>999.12</v>
      </c>
      <c r="F3508" s="48"/>
      <c r="G3508" s="88"/>
      <c r="H3508" s="52"/>
      <c r="I3508" s="53">
        <v>46240</v>
      </c>
    </row>
    <row r="3509" spans="1:9">
      <c r="A3509" s="47">
        <v>50961</v>
      </c>
      <c r="B3509" s="48" t="str">
        <f>IFERROR(VLOOKUP(A3509,CLIENTES!A:E,2,0),"CADASTRAR CLIENTE")</f>
        <v>SOLUTE MEDICAL GROUP BRAZIL LTDA</v>
      </c>
      <c r="C3509" s="54" t="s">
        <v>3</v>
      </c>
      <c r="D3509" s="54">
        <v>100400</v>
      </c>
      <c r="E3509" s="88">
        <v>332.8</v>
      </c>
      <c r="F3509" s="48"/>
      <c r="G3509" s="88"/>
      <c r="H3509" s="52"/>
      <c r="I3509" s="53">
        <v>46240</v>
      </c>
    </row>
    <row r="3510" spans="1:9">
      <c r="A3510" s="47">
        <v>408</v>
      </c>
      <c r="B3510" s="48" t="str">
        <f>IFERROR(VLOOKUP(A3510,CLIENTES!A:E,2,0),"CADASTRAR CLIENTE")</f>
        <v>FUND.DESENV.DE CIENCIAS FARMACEUTICAS</v>
      </c>
      <c r="C3510" s="54" t="s">
        <v>3</v>
      </c>
      <c r="D3510" s="54" t="s">
        <v>1136</v>
      </c>
      <c r="E3510" s="88">
        <v>1857.8</v>
      </c>
      <c r="F3510" s="48"/>
      <c r="G3510" s="88"/>
      <c r="H3510" s="52"/>
      <c r="I3510" s="53">
        <v>46240</v>
      </c>
    </row>
    <row r="3511" spans="1:9">
      <c r="A3511" s="47">
        <v>500507</v>
      </c>
      <c r="B3511" s="48" t="str">
        <f>IFERROR(VLOOKUP(A3511,CLIENTES!A:E,2,0),"CADASTRAR CLIENTE")</f>
        <v>LABORATORIOS DOCTOR</v>
      </c>
      <c r="C3511" s="54" t="s">
        <v>3</v>
      </c>
      <c r="D3511" s="54">
        <v>100355</v>
      </c>
      <c r="E3511" s="88">
        <v>2096.67</v>
      </c>
      <c r="F3511" s="48"/>
      <c r="G3511" s="88"/>
      <c r="H3511" s="52"/>
      <c r="I3511" s="53">
        <v>46240</v>
      </c>
    </row>
    <row r="3512" spans="1:9">
      <c r="A3512" s="47">
        <v>501070</v>
      </c>
      <c r="B3512" s="48" t="str">
        <f>IFERROR(VLOOKUP(A3512,CLIENTES!A:E,2,0),"CADASTRAR CLIENTE")</f>
        <v>EASYMED SERVICOS MEDICOS LTDA</v>
      </c>
      <c r="C3512" s="54" t="s">
        <v>3</v>
      </c>
      <c r="D3512" s="54">
        <v>100364</v>
      </c>
      <c r="E3512" s="88">
        <v>1423.75</v>
      </c>
      <c r="F3512" s="48"/>
      <c r="G3512" s="88"/>
      <c r="H3512" s="52"/>
      <c r="I3512" s="53">
        <v>46240</v>
      </c>
    </row>
    <row r="3513" spans="1:9">
      <c r="A3513" s="47">
        <v>501078</v>
      </c>
      <c r="B3513" s="48" t="str">
        <f>IFERROR(VLOOKUP(A3513,CLIENTES!A:E,2,0),"CADASTRAR CLIENTE")</f>
        <v>EASYMED SERVICOS MEDICOS LTDA</v>
      </c>
      <c r="C3513" s="54" t="s">
        <v>3</v>
      </c>
      <c r="D3513" s="54">
        <v>100344</v>
      </c>
      <c r="E3513" s="88">
        <v>1830.57</v>
      </c>
      <c r="F3513" s="48"/>
      <c r="G3513" s="88"/>
      <c r="H3513" s="52"/>
      <c r="I3513" s="53">
        <v>46240</v>
      </c>
    </row>
    <row r="3514" spans="1:9">
      <c r="A3514" s="47">
        <v>501054</v>
      </c>
      <c r="B3514" s="48" t="str">
        <f>IFERROR(VLOOKUP(A3514,CLIENTES!A:E,2,0),"CADASTRAR CLIENTE")</f>
        <v>EASYMED SERVICOS MEDICOS LTDA</v>
      </c>
      <c r="C3514" s="54" t="s">
        <v>3</v>
      </c>
      <c r="D3514" s="54">
        <v>100086</v>
      </c>
      <c r="E3514" s="88">
        <v>1391.7</v>
      </c>
      <c r="F3514" s="48"/>
      <c r="G3514" s="88"/>
      <c r="H3514" s="52"/>
      <c r="I3514" s="53">
        <v>46240</v>
      </c>
    </row>
    <row r="3515" spans="1:9">
      <c r="A3515" s="47">
        <v>501079</v>
      </c>
      <c r="B3515" s="48" t="str">
        <f>IFERROR(VLOOKUP(A3515,CLIENTES!A:E,2,0),"CADASTRAR CLIENTE")</f>
        <v>EASYMED SERVICOS MEDICOS LTDA</v>
      </c>
      <c r="C3515" s="54" t="s">
        <v>3</v>
      </c>
      <c r="D3515" s="54">
        <v>100369</v>
      </c>
      <c r="E3515" s="88">
        <v>4573.24</v>
      </c>
      <c r="F3515" s="48"/>
      <c r="G3515" s="88"/>
      <c r="H3515" s="52"/>
      <c r="I3515" s="53">
        <v>46240</v>
      </c>
    </row>
    <row r="3516" spans="1:9">
      <c r="A3516" s="47">
        <v>501153</v>
      </c>
      <c r="B3516" s="48" t="str">
        <f>IFERROR(VLOOKUP(A3516,CLIENTES!A:E,2,0),"CADASTRAR CLIENTE")</f>
        <v>LABORATORIO SAO ROQUE LTDA</v>
      </c>
      <c r="C3516" s="54" t="s">
        <v>3</v>
      </c>
      <c r="D3516" s="54" t="s">
        <v>1137</v>
      </c>
      <c r="E3516" s="88">
        <v>4987.79</v>
      </c>
      <c r="F3516" s="48"/>
      <c r="G3516" s="88"/>
      <c r="H3516" s="52"/>
      <c r="I3516" s="53">
        <v>46240</v>
      </c>
    </row>
    <row r="3517" spans="1:9">
      <c r="A3517" s="47">
        <v>690</v>
      </c>
      <c r="B3517" s="48" t="str">
        <f>IFERROR(VLOOKUP(A3517,CLIENTES!A:E,2,0),"CADASTRAR CLIENTE")</f>
        <v>SAO ROQUE MEDICINA DIAGNOSTICA LTDA EPP</v>
      </c>
      <c r="C3517" s="54" t="s">
        <v>3</v>
      </c>
      <c r="D3517" s="54" t="s">
        <v>1138</v>
      </c>
      <c r="E3517" s="51">
        <v>4273.04</v>
      </c>
      <c r="F3517" s="48"/>
      <c r="G3517" s="51"/>
      <c r="H3517" s="52"/>
      <c r="I3517" s="53">
        <v>46241</v>
      </c>
    </row>
    <row r="3518" spans="1:9">
      <c r="A3518" s="47">
        <v>2199</v>
      </c>
      <c r="B3518" s="48" t="str">
        <f>IFERROR(VLOOKUP(A3518,CLIENTES!A:E,2,0),"CADASTRAR CLIENTE")</f>
        <v>SOCIEDADE EDUCACIONAL UBERABENSE</v>
      </c>
      <c r="C3518" s="54" t="s">
        <v>3</v>
      </c>
      <c r="D3518" s="54" t="s">
        <v>1139</v>
      </c>
      <c r="E3518" s="88">
        <v>1831.8</v>
      </c>
      <c r="F3518" s="48"/>
      <c r="G3518" s="88"/>
      <c r="H3518" s="52"/>
      <c r="I3518" s="53">
        <v>46244</v>
      </c>
    </row>
    <row r="3519" spans="1:9">
      <c r="A3519" s="47">
        <v>501160</v>
      </c>
      <c r="B3519" s="48" t="str">
        <f>IFERROR(VLOOKUP(A3519,CLIENTES!A:E,2,0),"CADASTRAR CLIENTE")</f>
        <v>SAO ROQUE MEDICINA DIAGNOSTICA LTDA</v>
      </c>
      <c r="C3519" s="54" t="s">
        <v>3</v>
      </c>
      <c r="D3519" s="54">
        <v>100034</v>
      </c>
      <c r="E3519" s="51">
        <v>1543.2</v>
      </c>
      <c r="F3519" s="48"/>
      <c r="G3519" s="51"/>
      <c r="H3519" s="52"/>
      <c r="I3519" s="53">
        <v>46244</v>
      </c>
    </row>
    <row r="3520" spans="1:9">
      <c r="A3520" s="62">
        <v>51042</v>
      </c>
      <c r="B3520" s="48" t="str">
        <f>IFERROR(VLOOKUP(A3520,CLIENTES!A:E,2,0),"CADASTRAR CLIENTE")</f>
        <v>CLINICAO ANDRADINA PET SHOP E CLINICA VETERINARIA LTDA</v>
      </c>
      <c r="C3520" s="54" t="s">
        <v>3</v>
      </c>
      <c r="D3520" s="54">
        <v>100372</v>
      </c>
      <c r="E3520" s="51">
        <v>246</v>
      </c>
      <c r="F3520" s="48"/>
      <c r="G3520" s="51"/>
      <c r="H3520" s="52"/>
      <c r="I3520" s="53">
        <v>46244</v>
      </c>
    </row>
    <row r="3521" spans="1:9">
      <c r="A3521" s="47">
        <v>663</v>
      </c>
      <c r="B3521" s="48" t="str">
        <f>IFERROR(VLOOKUP(A3521,CLIENTES!A:E,2,0),"CADASTRAR CLIENTE")</f>
        <v>LAB. MEDICO GUIMARAES</v>
      </c>
      <c r="C3521" s="54" t="s">
        <v>3</v>
      </c>
      <c r="D3521" s="54">
        <v>100417</v>
      </c>
      <c r="E3521" s="51">
        <v>1938.8</v>
      </c>
      <c r="F3521" s="48"/>
      <c r="G3521" s="51"/>
      <c r="H3521" s="52"/>
      <c r="I3521" s="53">
        <v>46244</v>
      </c>
    </row>
    <row r="3522" spans="1:9">
      <c r="A3522" s="47">
        <v>762</v>
      </c>
      <c r="B3522" s="48" t="str">
        <f>IFERROR(VLOOKUP(A3522,CLIENTES!A:E,2,0),"CADASTRAR CLIENTE")</f>
        <v>STA. CASA MISERICORDIA DE ARACATUBA</v>
      </c>
      <c r="C3522" s="54" t="s">
        <v>3</v>
      </c>
      <c r="D3522" s="54" t="s">
        <v>1141</v>
      </c>
      <c r="E3522" s="51">
        <v>4321.6099999999997</v>
      </c>
      <c r="F3522" s="48"/>
      <c r="G3522" s="51"/>
      <c r="H3522" s="52"/>
      <c r="I3522" s="53">
        <v>46244</v>
      </c>
    </row>
    <row r="3523" spans="1:9">
      <c r="A3523" s="62">
        <v>500873</v>
      </c>
      <c r="B3523" s="48" t="str">
        <f>IFERROR(VLOOKUP(A3523,CLIENTES!A:E,2,0),"CADASTRAR CLIENTE")</f>
        <v>HOUPILLARD SERVICOS VETERINARIOS LTDA.</v>
      </c>
      <c r="C3523" s="54" t="s">
        <v>3</v>
      </c>
      <c r="D3523" s="54" t="s">
        <v>1142</v>
      </c>
      <c r="E3523" s="51">
        <v>729.2</v>
      </c>
      <c r="F3523" s="48"/>
      <c r="G3523" s="51"/>
      <c r="H3523" s="52"/>
      <c r="I3523" s="53">
        <v>46244</v>
      </c>
    </row>
    <row r="3524" spans="1:9">
      <c r="A3524" s="47">
        <v>501035</v>
      </c>
      <c r="B3524" s="48" t="str">
        <f>IFERROR(VLOOKUP(A3524,CLIENTES!A:E,2,0),"CADASTRAR CLIENTE")</f>
        <v>EASYMED SERVICOS MEDICOS LTDA</v>
      </c>
      <c r="C3524" s="54" t="s">
        <v>3</v>
      </c>
      <c r="D3524" s="54">
        <v>100467</v>
      </c>
      <c r="E3524" s="51">
        <v>3174.44</v>
      </c>
      <c r="F3524" s="48"/>
      <c r="G3524" s="51"/>
      <c r="H3524" s="52"/>
      <c r="I3524" s="53">
        <v>46244</v>
      </c>
    </row>
    <row r="3525" spans="1:9">
      <c r="A3525" s="47">
        <v>500507</v>
      </c>
      <c r="B3525" s="48" t="str">
        <f>IFERROR(VLOOKUP(A3525,CLIENTES!A:E,2,0),"CADASTRAR CLIENTE")</f>
        <v>LABORATORIOS DOCTOR</v>
      </c>
      <c r="C3525" s="54" t="s">
        <v>3</v>
      </c>
      <c r="D3525" s="54">
        <v>100468</v>
      </c>
      <c r="E3525" s="88">
        <v>1424.85</v>
      </c>
      <c r="F3525" s="48"/>
      <c r="G3525" s="88"/>
      <c r="H3525" s="52"/>
      <c r="I3525" s="53">
        <v>46244</v>
      </c>
    </row>
    <row r="3526" spans="1:9">
      <c r="A3526" s="47">
        <v>501033</v>
      </c>
      <c r="B3526" s="48" t="str">
        <f>IFERROR(VLOOKUP(A3526,CLIENTES!A:E,2,0),"CADASTRAR CLIENTE")</f>
        <v>EASYMED SERVICOS MEDICOS LTDA</v>
      </c>
      <c r="C3526" s="54" t="s">
        <v>3</v>
      </c>
      <c r="D3526" s="54">
        <v>100469</v>
      </c>
      <c r="E3526" s="51">
        <v>554.11</v>
      </c>
      <c r="F3526" s="48"/>
      <c r="G3526" s="51"/>
      <c r="H3526" s="52"/>
      <c r="I3526" s="53">
        <v>46244</v>
      </c>
    </row>
    <row r="3527" spans="1:9">
      <c r="A3527" s="47">
        <v>50465</v>
      </c>
      <c r="B3527" s="48" t="str">
        <f>IFERROR(VLOOKUP(A3527,CLIENTES!A:E,2,0),"CADASTRAR CLIENTE")</f>
        <v>LABORATORIO DE ANALISES CLINICAS VIDA BIRIGUI LTDA</v>
      </c>
      <c r="C3527" s="54" t="s">
        <v>3</v>
      </c>
      <c r="D3527" s="54">
        <v>99370</v>
      </c>
      <c r="E3527" s="88">
        <v>2415.98</v>
      </c>
      <c r="F3527" s="48"/>
      <c r="G3527" s="88"/>
      <c r="H3527" s="52"/>
      <c r="I3527" s="53">
        <v>46244</v>
      </c>
    </row>
    <row r="3528" spans="1:9">
      <c r="A3528" s="47">
        <v>480</v>
      </c>
      <c r="B3528" s="48" t="str">
        <f>IFERROR(VLOOKUP(A3528,CLIENTES!A:E,2,0),"CADASTRAR CLIENTE")</f>
        <v>LAB SAO LUCAS</v>
      </c>
      <c r="C3528" s="54" t="s">
        <v>3</v>
      </c>
      <c r="D3528" s="54">
        <v>100493</v>
      </c>
      <c r="E3528" s="51">
        <v>3258.5</v>
      </c>
      <c r="F3528" s="48"/>
      <c r="G3528" s="51"/>
      <c r="H3528" s="52"/>
      <c r="I3528" s="53">
        <v>46245</v>
      </c>
    </row>
    <row r="3529" spans="1:9">
      <c r="A3529" s="47">
        <v>1277</v>
      </c>
      <c r="B3529" s="48" t="str">
        <f>IFERROR(VLOOKUP(A3529,CLIENTES!A:E,2,0),"CADASTRAR CLIENTE")</f>
        <v>SAO ROQUE MEDICINA DIAGNOSTICA LTDA</v>
      </c>
      <c r="C3529" s="54" t="s">
        <v>3</v>
      </c>
      <c r="D3529" s="54">
        <v>100491</v>
      </c>
      <c r="E3529" s="51">
        <v>1886.7</v>
      </c>
      <c r="F3529" s="48"/>
      <c r="G3529" s="51"/>
      <c r="H3529" s="52"/>
      <c r="I3529" s="53">
        <v>46245</v>
      </c>
    </row>
    <row r="3530" spans="1:9">
      <c r="A3530" s="47">
        <v>3557</v>
      </c>
      <c r="B3530" s="48" t="str">
        <f>IFERROR(VLOOKUP(A3530,CLIENTES!A:E,2,0),"CADASTRAR CLIENTE")</f>
        <v>ASSOCIACAO BENEFICIENTE NOSSA SENHORA DE NAZARE</v>
      </c>
      <c r="C3530" s="54" t="s">
        <v>738</v>
      </c>
      <c r="D3530" s="54">
        <v>100415</v>
      </c>
      <c r="E3530" s="51">
        <v>5730.55</v>
      </c>
      <c r="F3530" s="48"/>
      <c r="G3530" s="51"/>
      <c r="H3530" s="52"/>
      <c r="I3530" s="53">
        <v>46245</v>
      </c>
    </row>
    <row r="3531" spans="1:9">
      <c r="A3531" s="47">
        <v>2572</v>
      </c>
      <c r="B3531" s="48" t="str">
        <f>IFERROR(VLOOKUP(A3531,CLIENTES!A:E,2,0),"CADASTRAR CLIENTE")</f>
        <v>LAB. ANAL. CLIN. COFFERS S/C LTDA</v>
      </c>
      <c r="C3531" s="54" t="s">
        <v>3</v>
      </c>
      <c r="D3531" s="54">
        <v>99841</v>
      </c>
      <c r="E3531" s="51">
        <v>3380.62</v>
      </c>
      <c r="F3531" s="48"/>
      <c r="G3531" s="51"/>
      <c r="H3531" s="52"/>
      <c r="I3531" s="53">
        <v>46245</v>
      </c>
    </row>
    <row r="3532" spans="1:9">
      <c r="A3532" s="47">
        <v>2022</v>
      </c>
      <c r="B3532" s="48" t="str">
        <f>IFERROR(VLOOKUP(A3532,CLIENTES!A:E,2,0),"CADASTRAR CLIENTE")</f>
        <v>LAB. MEDICO DR. MARICONDI S/C LTDA.</v>
      </c>
      <c r="C3532" s="54" t="s">
        <v>3</v>
      </c>
      <c r="D3532" s="54">
        <v>100498</v>
      </c>
      <c r="E3532" s="51">
        <v>574.6</v>
      </c>
      <c r="F3532" s="48"/>
      <c r="G3532" s="51"/>
      <c r="H3532" s="52"/>
      <c r="I3532" s="53">
        <v>46245</v>
      </c>
    </row>
    <row r="3533" spans="1:9">
      <c r="A3533" s="47">
        <v>2955</v>
      </c>
      <c r="B3533" s="48" t="str">
        <f>IFERROR(VLOOKUP(A3533,CLIENTES!A:E,2,0),"CADASTRAR CLIENTE")</f>
        <v>ASSOCIACAO SANTA CASA SAUDE DE ARACATUBA</v>
      </c>
      <c r="C3533" s="54" t="s">
        <v>3</v>
      </c>
      <c r="D3533" s="54">
        <v>100501</v>
      </c>
      <c r="E3533" s="51">
        <v>3931.1</v>
      </c>
      <c r="F3533" s="48"/>
      <c r="G3533" s="51"/>
      <c r="H3533" s="52"/>
      <c r="I3533" s="53">
        <v>46245</v>
      </c>
    </row>
    <row r="3534" spans="1:9">
      <c r="A3534" s="47">
        <v>3475</v>
      </c>
      <c r="B3534" s="48" t="str">
        <f>IFERROR(VLOOKUP(A3534,CLIENTES!A:E,2,0),"CADASTRAR CLIENTE")</f>
        <v>LQF LABORATORIO QUIMICO FARMACEUTICO RIO PRETO EIRELI - ME</v>
      </c>
      <c r="C3534" s="54" t="s">
        <v>3</v>
      </c>
      <c r="D3534" s="54">
        <v>100146</v>
      </c>
      <c r="E3534" s="51">
        <v>1378.66</v>
      </c>
      <c r="F3534" s="48"/>
      <c r="G3534" s="51"/>
      <c r="H3534" s="52"/>
      <c r="I3534" s="53">
        <v>46246</v>
      </c>
    </row>
    <row r="3535" spans="1:9">
      <c r="A3535" s="47">
        <v>3105</v>
      </c>
      <c r="B3535" s="48" t="str">
        <f>IFERROR(VLOOKUP(A3535,CLIENTES!A:E,2,0),"CADASTRAR CLIENTE")</f>
        <v>BATISTA &amp; BATISTA ANALISES CLINICAS LTDA</v>
      </c>
      <c r="C3535" s="54" t="s">
        <v>3</v>
      </c>
      <c r="D3535" s="54">
        <v>100482</v>
      </c>
      <c r="E3535" s="51">
        <v>446.5</v>
      </c>
      <c r="F3535" s="48"/>
      <c r="G3535" s="51"/>
      <c r="H3535" s="52"/>
      <c r="I3535" s="53">
        <v>46246</v>
      </c>
    </row>
    <row r="3536" spans="1:9">
      <c r="A3536" s="47">
        <v>1533</v>
      </c>
      <c r="B3536" s="48" t="str">
        <f>IFERROR(VLOOKUP(A3536,CLIENTES!A:E,2,0),"CADASTRAR CLIENTE")</f>
        <v>LABORATORIO BIOANALISE DIAGNOSTICO LTDA</v>
      </c>
      <c r="C3536" s="54" t="s">
        <v>3</v>
      </c>
      <c r="D3536" s="54">
        <v>100494</v>
      </c>
      <c r="E3536" s="51">
        <v>445.6</v>
      </c>
      <c r="F3536" s="48"/>
      <c r="G3536" s="51"/>
      <c r="H3536" s="52"/>
      <c r="I3536" s="53">
        <v>46246</v>
      </c>
    </row>
    <row r="3537" spans="1:9">
      <c r="A3537" s="47">
        <v>500005</v>
      </c>
      <c r="B3537" s="48" t="str">
        <f>IFERROR(VLOOKUP(A3537,CLIENTES!A:E,2,0),"CADASTRAR CLIENTE")</f>
        <v>ASSOCIACAO EDUCACIONAL DE ENSINO SUPERIOR</v>
      </c>
      <c r="C3537" s="54" t="s">
        <v>3</v>
      </c>
      <c r="D3537" s="54">
        <v>98798</v>
      </c>
      <c r="E3537" s="51">
        <v>1617.25</v>
      </c>
      <c r="F3537" s="48"/>
      <c r="G3537" s="51"/>
      <c r="H3537" s="52"/>
      <c r="I3537" s="53">
        <v>46246</v>
      </c>
    </row>
    <row r="3538" spans="1:9">
      <c r="A3538" s="47">
        <v>500969</v>
      </c>
      <c r="B3538" s="48" t="str">
        <f>IFERROR(VLOOKUP(A3538,CLIENTES!A:E,2,0),"CADASTRAR CLIENTE")</f>
        <v>HOSPITAL BDW SP LTDA</v>
      </c>
      <c r="C3538" s="54" t="s">
        <v>3</v>
      </c>
      <c r="D3538" s="54">
        <v>100545</v>
      </c>
      <c r="E3538" s="51">
        <v>113.7</v>
      </c>
      <c r="F3538" s="48"/>
      <c r="G3538" s="51"/>
      <c r="H3538" s="52"/>
      <c r="I3538" s="53">
        <v>46246</v>
      </c>
    </row>
    <row r="3539" spans="1:9">
      <c r="A3539" s="47">
        <v>501153</v>
      </c>
      <c r="B3539" s="48" t="str">
        <f>IFERROR(VLOOKUP(A3539,CLIENTES!A:E,2,0),"CADASTRAR CLIENTE")</f>
        <v>LABORATORIO SAO ROQUE LTDA</v>
      </c>
      <c r="C3539" s="54" t="s">
        <v>3</v>
      </c>
      <c r="D3539" s="54">
        <v>100239</v>
      </c>
      <c r="E3539" s="51">
        <v>432.6</v>
      </c>
      <c r="F3539" s="48"/>
      <c r="G3539" s="51"/>
      <c r="H3539" s="52"/>
      <c r="I3539" s="53">
        <v>46246</v>
      </c>
    </row>
    <row r="3540" spans="1:9">
      <c r="A3540" s="47">
        <v>1989</v>
      </c>
      <c r="B3540" s="48" t="str">
        <f>IFERROR(VLOOKUP(A3540,CLIENTES!A:E,2,0),"CADASTRAR CLIENTE")</f>
        <v>SAO FRANCISCO ANAL. CLIN.</v>
      </c>
      <c r="C3540" s="54" t="s">
        <v>3</v>
      </c>
      <c r="D3540" s="54">
        <v>100238</v>
      </c>
      <c r="E3540" s="51">
        <v>616.03</v>
      </c>
      <c r="F3540" s="48"/>
      <c r="G3540" s="51"/>
      <c r="H3540" s="52"/>
      <c r="I3540" s="53">
        <v>46247</v>
      </c>
    </row>
    <row r="3541" spans="1:9">
      <c r="A3541" s="47">
        <v>3190</v>
      </c>
      <c r="B3541" s="48" t="str">
        <f>IFERROR(VLOOKUP(A3541,CLIENTES!A:E,2,0),"CADASTRAR CLIENTE")</f>
        <v>C D A CENTRO DE DIAGNOSTICO VETERINARIO</v>
      </c>
      <c r="C3541" s="54" t="s">
        <v>3</v>
      </c>
      <c r="D3541" s="54" t="s">
        <v>1143</v>
      </c>
      <c r="E3541" s="88">
        <v>1053.1500000000001</v>
      </c>
      <c r="F3541" s="48"/>
      <c r="G3541" s="88"/>
      <c r="H3541" s="52"/>
      <c r="I3541" s="53">
        <v>46247</v>
      </c>
    </row>
    <row r="3542" spans="1:9">
      <c r="A3542" s="47">
        <v>325</v>
      </c>
      <c r="B3542" s="48" t="str">
        <f>IFERROR(VLOOKUP(A3542,CLIENTES!A:E,2,0),"CADASTRAR CLIENTE")</f>
        <v>EXAME-LABORAT. DE ANAL. CLIN. CITODIAGNOSTICO S/S LTDA</v>
      </c>
      <c r="C3542" s="54" t="s">
        <v>3</v>
      </c>
      <c r="D3542" s="54" t="s">
        <v>1144</v>
      </c>
      <c r="E3542" s="51">
        <v>2226.0500000000002</v>
      </c>
      <c r="F3542" s="48"/>
      <c r="G3542" s="51"/>
      <c r="H3542" s="52"/>
      <c r="I3542" s="53">
        <v>46247</v>
      </c>
    </row>
    <row r="3543" spans="1:9">
      <c r="A3543" s="47">
        <v>463</v>
      </c>
      <c r="B3543" s="48" t="str">
        <f>IFERROR(VLOOKUP(A3543,CLIENTES!A:E,2,0),"CADASTRAR CLIENTE")</f>
        <v>MASUDA &amp; MASUDA LABORATORIO CLINICO LTDA</v>
      </c>
      <c r="C3543" s="54" t="s">
        <v>3</v>
      </c>
      <c r="D3543" s="54">
        <v>100581</v>
      </c>
      <c r="E3543" s="51">
        <v>1181.8</v>
      </c>
      <c r="F3543" s="48"/>
      <c r="G3543" s="51"/>
      <c r="H3543" s="52"/>
      <c r="I3543" s="53">
        <v>46247</v>
      </c>
    </row>
    <row r="3544" spans="1:9">
      <c r="A3544" s="47">
        <v>432</v>
      </c>
      <c r="B3544" s="48" t="str">
        <f>IFERROR(VLOOKUP(A3544,CLIENTES!A:E,2,0),"CADASTRAR CLIENTE")</f>
        <v>LABORATORIO PASTEUR HEMATOLOGIA E MICROBIOLOGIA S/S LTDA</v>
      </c>
      <c r="C3544" s="54" t="s">
        <v>3</v>
      </c>
      <c r="D3544" s="54">
        <v>103547</v>
      </c>
      <c r="E3544" s="51">
        <v>308.85000000000002</v>
      </c>
      <c r="F3544" s="48"/>
      <c r="G3544" s="51"/>
      <c r="H3544" s="52"/>
      <c r="I3544" s="53">
        <v>46247</v>
      </c>
    </row>
    <row r="3545" spans="1:9">
      <c r="A3545" s="47">
        <v>1971</v>
      </c>
      <c r="B3545" s="48" t="str">
        <f>IFERROR(VLOOKUP(A3545,CLIENTES!A:E,2,0),"CADASTRAR CLIENTE")</f>
        <v>LABORATORIO POPULAR LAB 7 LTDA</v>
      </c>
      <c r="C3545" s="54" t="s">
        <v>3</v>
      </c>
      <c r="D3545" s="54">
        <v>100591</v>
      </c>
      <c r="E3545" s="51">
        <v>752</v>
      </c>
      <c r="F3545" s="48"/>
      <c r="G3545" s="51"/>
      <c r="H3545" s="52"/>
      <c r="I3545" s="53">
        <v>46247</v>
      </c>
    </row>
    <row r="3546" spans="1:9">
      <c r="A3546" s="47">
        <v>1813</v>
      </c>
      <c r="B3546" s="48" t="str">
        <f>IFERROR(VLOOKUP(A3546,CLIENTES!A:E,2,0),"CADASTRAR CLIENTE")</f>
        <v>BIOMED LAB.ANAL.CLIN. SC  LTDA</v>
      </c>
      <c r="C3546" s="54" t="s">
        <v>3</v>
      </c>
      <c r="D3546" s="54">
        <v>100586</v>
      </c>
      <c r="E3546" s="51">
        <v>1192.06</v>
      </c>
      <c r="F3546" s="48"/>
      <c r="G3546" s="51"/>
      <c r="H3546" s="52"/>
      <c r="I3546" s="53">
        <v>46248</v>
      </c>
    </row>
    <row r="3547" spans="1:9">
      <c r="A3547" s="47">
        <v>784</v>
      </c>
      <c r="B3547" s="48" t="str">
        <f>IFERROR(VLOOKUP(A3547,CLIENTES!A:E,2,0),"CADASTRAR CLIENTE")</f>
        <v>LAB.ANAL.CLIN. ALBERT SABIN SC LTDA.</v>
      </c>
      <c r="C3547" s="54" t="s">
        <v>3</v>
      </c>
      <c r="D3547" s="54">
        <v>100283</v>
      </c>
      <c r="E3547" s="51">
        <v>777.84</v>
      </c>
      <c r="F3547" s="48"/>
      <c r="G3547" s="51"/>
      <c r="H3547" s="52"/>
      <c r="I3547" s="53">
        <v>46248</v>
      </c>
    </row>
    <row r="3548" spans="1:9">
      <c r="A3548" s="47">
        <v>762</v>
      </c>
      <c r="B3548" s="48" t="str">
        <f>IFERROR(VLOOKUP(A3548,CLIENTES!A:E,2,0),"CADASTRAR CLIENTE")</f>
        <v>STA. CASA MISERICORDIA DE ARACATUBA</v>
      </c>
      <c r="C3548" s="54" t="s">
        <v>2</v>
      </c>
      <c r="D3548" s="54">
        <v>100569</v>
      </c>
      <c r="E3548" s="51">
        <v>3090</v>
      </c>
      <c r="F3548" s="48"/>
      <c r="G3548" s="51"/>
      <c r="H3548" s="52"/>
      <c r="I3548" s="53">
        <v>46248</v>
      </c>
    </row>
    <row r="3549" spans="1:9">
      <c r="A3549" s="47">
        <v>50728</v>
      </c>
      <c r="B3549" s="48" t="str">
        <f>IFERROR(VLOOKUP(A3549,CLIENTES!A:E,2,0),"CADASTRAR CLIENTE")</f>
        <v>SESTITO &amp; TORRES CLINICA MEDICA</v>
      </c>
      <c r="C3549" s="54" t="s">
        <v>3</v>
      </c>
      <c r="D3549" s="54">
        <v>100615</v>
      </c>
      <c r="E3549" s="51">
        <v>1280.5899999999999</v>
      </c>
      <c r="F3549" s="48"/>
      <c r="G3549" s="51"/>
      <c r="H3549" s="52"/>
      <c r="I3549" s="53">
        <v>46248</v>
      </c>
    </row>
    <row r="3550" spans="1:9">
      <c r="A3550" s="47">
        <v>620</v>
      </c>
      <c r="B3550" s="48" t="str">
        <f>IFERROR(VLOOKUP(A3550,CLIENTES!A:E,2,0),"CADASTRAR CLIENTE")</f>
        <v>LAB.SAO PAULO DE ANAL.CLIN.SC LTDA.</v>
      </c>
      <c r="C3550" s="54" t="s">
        <v>3</v>
      </c>
      <c r="D3550" s="54" t="s">
        <v>1145</v>
      </c>
      <c r="E3550" s="51">
        <v>944.25</v>
      </c>
      <c r="F3550" s="48"/>
      <c r="G3550" s="51"/>
      <c r="H3550" s="52"/>
      <c r="I3550" s="53">
        <v>46251</v>
      </c>
    </row>
  </sheetData>
  <conditionalFormatting sqref="B1:B1048576">
    <cfRule type="containsText" dxfId="0" priority="1" operator="containsText" text="CADASTRAR CLIENTE">
      <formula>NOT(ISERROR(SEARCH("CADASTRAR CLIENTE",B1)))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AF28-2789-49A7-B2B8-159F9DFA2199}">
  <dimension ref="B2:M24"/>
  <sheetViews>
    <sheetView showGridLines="0" zoomScale="80" zoomScaleNormal="80" workbookViewId="0">
      <selection activeCell="J15" sqref="J15"/>
    </sheetView>
  </sheetViews>
  <sheetFormatPr defaultRowHeight="15"/>
  <cols>
    <col min="2" max="2" width="14.28515625" bestFit="1" customWidth="1"/>
    <col min="3" max="3" width="14.7109375" customWidth="1"/>
    <col min="5" max="5" width="14.28515625" bestFit="1" customWidth="1"/>
    <col min="7" max="7" width="12.5703125" bestFit="1" customWidth="1"/>
    <col min="8" max="8" width="12.5703125" customWidth="1"/>
    <col min="9" max="9" width="59.85546875" bestFit="1" customWidth="1"/>
    <col min="10" max="10" width="19.140625" bestFit="1" customWidth="1"/>
    <col min="11" max="11" width="25.140625" bestFit="1" customWidth="1"/>
    <col min="12" max="12" width="9.5703125" bestFit="1" customWidth="1"/>
    <col min="13" max="13" width="22.5703125" bestFit="1" customWidth="1"/>
  </cols>
  <sheetData>
    <row r="2" spans="2:13" ht="26.25">
      <c r="B2" s="121">
        <f>B7+B10</f>
        <v>143312.18000000002</v>
      </c>
      <c r="C2" s="121"/>
      <c r="E2" s="115">
        <f>B2/CONFIG!B3</f>
        <v>0.4976117361111112</v>
      </c>
      <c r="F2" s="116"/>
      <c r="H2" s="114" t="s">
        <v>379</v>
      </c>
      <c r="I2" s="114"/>
      <c r="J2" s="114"/>
      <c r="K2" s="114"/>
      <c r="L2" s="114"/>
      <c r="M2" s="114"/>
    </row>
    <row r="3" spans="2:13">
      <c r="B3" s="121"/>
      <c r="C3" s="121"/>
      <c r="E3" s="117"/>
      <c r="F3" s="118"/>
      <c r="H3" s="25" t="s">
        <v>0</v>
      </c>
      <c r="I3" s="26" t="s">
        <v>1</v>
      </c>
      <c r="J3" s="9" t="s">
        <v>377</v>
      </c>
      <c r="K3" s="9" t="s">
        <v>378</v>
      </c>
      <c r="L3" s="25" t="s">
        <v>380</v>
      </c>
      <c r="M3" s="25" t="s">
        <v>4</v>
      </c>
    </row>
    <row r="4" spans="2:13" ht="18.75">
      <c r="B4" s="122" t="s">
        <v>372</v>
      </c>
      <c r="C4" s="122"/>
      <c r="E4" s="119" t="s">
        <v>367</v>
      </c>
      <c r="F4" s="120"/>
      <c r="H4" s="13">
        <f>INDEX(CLIENTES!A:A,(MATCH('DASHBOARD 3.0'!I4,CLIENTES!B:B,0)))</f>
        <v>475</v>
      </c>
      <c r="I4" s="27" t="s">
        <v>40</v>
      </c>
      <c r="J4" s="28">
        <v>15586.8</v>
      </c>
      <c r="K4" s="28"/>
      <c r="L4" s="29">
        <f>(J4+K4)/$B$2</f>
        <v>0.10876116740391499</v>
      </c>
      <c r="M4" s="13" t="str">
        <f>INDEX(CLIENTES!E:E,(MATCH('DASHBOARD 3.0'!I4,CLIENTES!B:B,0)))</f>
        <v>CATANDUVA</v>
      </c>
    </row>
    <row r="5" spans="2:13">
      <c r="H5" s="13">
        <f>INDEX(CLIENTES!A:A,(MATCH('DASHBOARD 3.0'!I5,CLIENTES!B:B,0)))</f>
        <v>761</v>
      </c>
      <c r="I5" s="27" t="s">
        <v>100</v>
      </c>
      <c r="J5" s="28">
        <v>13246.72</v>
      </c>
      <c r="K5" s="28"/>
      <c r="L5" s="29">
        <f t="shared" ref="L5:L23" si="0">(J5+K5)/$B$2</f>
        <v>9.2432618078937864E-2</v>
      </c>
      <c r="M5" s="13" t="str">
        <f>INDEX(CLIENTES!E:E,(MATCH('DASHBOARD 3.0'!I5,CLIENTES!B:B,0)))</f>
        <v>ARACATUBA</v>
      </c>
    </row>
    <row r="6" spans="2:13">
      <c r="H6" s="13">
        <f>INDEX(CLIENTES!A:A,(MATCH('DASHBOARD 3.0'!I6,CLIENTES!B:B,0)))</f>
        <v>501033</v>
      </c>
      <c r="I6" s="27" t="s">
        <v>999</v>
      </c>
      <c r="J6" s="28">
        <v>12947.810000000001</v>
      </c>
      <c r="K6" s="28"/>
      <c r="L6" s="29">
        <f t="shared" si="0"/>
        <v>9.0346891659871476E-2</v>
      </c>
      <c r="M6" s="13">
        <f>INDEX(CLIENTES!E:E,(MATCH('DASHBOARD 3.0'!I6,CLIENTES!B:B,0)))</f>
        <v>0</v>
      </c>
    </row>
    <row r="7" spans="2:13">
      <c r="B7" s="123">
        <f>DINAMICOS!$B$1</f>
        <v>135392.18000000002</v>
      </c>
      <c r="C7" s="112"/>
      <c r="E7" s="115">
        <f>B2/(CONFIG!B3*12)</f>
        <v>4.1467644675925931E-2</v>
      </c>
      <c r="F7" s="116"/>
      <c r="H7" s="13">
        <f>INDEX(CLIENTES!A:A,(MATCH('DASHBOARD 3.0'!I7,CLIENTES!B:B,0)))</f>
        <v>762</v>
      </c>
      <c r="I7" s="27" t="s">
        <v>102</v>
      </c>
      <c r="J7" s="28">
        <v>7411.61</v>
      </c>
      <c r="K7" s="28"/>
      <c r="L7" s="29">
        <f t="shared" si="0"/>
        <v>5.1716539375787865E-2</v>
      </c>
      <c r="M7" s="13" t="str">
        <f>INDEX(CLIENTES!E:E,(MATCH('DASHBOARD 3.0'!I7,CLIENTES!B:B,0)))</f>
        <v>ARACATUBA</v>
      </c>
    </row>
    <row r="8" spans="2:13">
      <c r="B8" s="113" t="s">
        <v>368</v>
      </c>
      <c r="C8" s="113"/>
      <c r="E8" s="117"/>
      <c r="F8" s="118"/>
      <c r="H8" s="13">
        <f>INDEX(CLIENTES!A:A,(MATCH('DASHBOARD 3.0'!I8,CLIENTES!B:B,0)))</f>
        <v>3557</v>
      </c>
      <c r="I8" s="27" t="s">
        <v>745</v>
      </c>
      <c r="J8" s="28">
        <v>5730.55</v>
      </c>
      <c r="K8" s="28"/>
      <c r="L8" s="29">
        <f t="shared" si="0"/>
        <v>3.9986482656254332E-2</v>
      </c>
      <c r="M8" s="13" t="str">
        <f>INDEX(CLIENTES!E:E,(MATCH('DASHBOARD 3.0'!I8,CLIENTES!B:B,0)))</f>
        <v>SÃO PAULO</v>
      </c>
    </row>
    <row r="9" spans="2:13">
      <c r="E9" s="119" t="s">
        <v>371</v>
      </c>
      <c r="F9" s="120"/>
      <c r="H9" s="13">
        <f>INDEX(CLIENTES!A:A,(MATCH('DASHBOARD 3.0'!I9,CLIENTES!B:B,0)))</f>
        <v>501153</v>
      </c>
      <c r="I9" s="27" t="s">
        <v>1069</v>
      </c>
      <c r="J9" s="28">
        <v>5420.39</v>
      </c>
      <c r="K9" s="28"/>
      <c r="L9" s="29">
        <f t="shared" si="0"/>
        <v>3.7822256279961684E-2</v>
      </c>
      <c r="M9" s="13">
        <f>INDEX(CLIENTES!E:E,(MATCH('DASHBOARD 3.0'!I9,CLIENTES!B:B,0)))</f>
        <v>0</v>
      </c>
    </row>
    <row r="10" spans="2:13">
      <c r="B10" s="123">
        <f>DINAMICOS!$D$1</f>
        <v>7920</v>
      </c>
      <c r="C10" s="112"/>
      <c r="H10" s="13">
        <f>INDEX(CLIENTES!A:A,(MATCH('DASHBOARD 3.0'!I10,CLIENTES!B:B,0)))</f>
        <v>690</v>
      </c>
      <c r="I10" s="27" t="s">
        <v>73</v>
      </c>
      <c r="J10" s="28">
        <v>4273.04</v>
      </c>
      <c r="K10" s="28"/>
      <c r="L10" s="29">
        <f t="shared" si="0"/>
        <v>2.981630730898099E-2</v>
      </c>
      <c r="M10" s="13" t="str">
        <f>INDEX(CLIENTES!E:E,(MATCH('DASHBOARD 3.0'!I10,CLIENTES!B:B,0)))</f>
        <v>JALES</v>
      </c>
    </row>
    <row r="11" spans="2:13">
      <c r="B11" s="113" t="s">
        <v>370</v>
      </c>
      <c r="C11" s="113"/>
      <c r="H11" s="13">
        <f>INDEX(CLIENTES!A:A,(MATCH('DASHBOARD 3.0'!I11,CLIENTES!B:B,0)))</f>
        <v>500005</v>
      </c>
      <c r="I11" s="27" t="s">
        <v>315</v>
      </c>
      <c r="J11" s="28">
        <v>3947.1</v>
      </c>
      <c r="K11" s="28">
        <v>6580</v>
      </c>
      <c r="L11" s="29">
        <f t="shared" si="0"/>
        <v>7.3455724419236368E-2</v>
      </c>
      <c r="M11" s="13" t="str">
        <f>INDEX(CLIENTES!E:E,(MATCH('DASHBOARD 3.0'!I11,CLIENTES!B:B,0)))</f>
        <v>SAO JOSE DO RIO PRETO</v>
      </c>
    </row>
    <row r="12" spans="2:13">
      <c r="H12" s="13">
        <f>INDEX(CLIENTES!A:A,(MATCH('DASHBOARD 3.0'!I12,CLIENTES!B:B,0)))</f>
        <v>2955</v>
      </c>
      <c r="I12" s="27" t="s">
        <v>239</v>
      </c>
      <c r="J12" s="28">
        <v>3931.1</v>
      </c>
      <c r="K12" s="28"/>
      <c r="L12" s="29">
        <f t="shared" si="0"/>
        <v>2.7430327275741666E-2</v>
      </c>
      <c r="M12" s="13" t="str">
        <f>INDEX(CLIENTES!E:E,(MATCH('DASHBOARD 3.0'!I12,CLIENTES!B:B,0)))</f>
        <v>ARACATUBA</v>
      </c>
    </row>
    <row r="13" spans="2:13">
      <c r="B13" s="112">
        <f>DINAMICOS!$F$1</f>
        <v>47</v>
      </c>
      <c r="C13" s="112"/>
      <c r="H13" s="13">
        <f>INDEX(CLIENTES!A:A,(MATCH('DASHBOARD 3.0'!I13,CLIENTES!B:B,0)))</f>
        <v>325</v>
      </c>
      <c r="I13" s="27" t="s">
        <v>17</v>
      </c>
      <c r="J13" s="28">
        <v>3695.4500000000003</v>
      </c>
      <c r="K13" s="28"/>
      <c r="L13" s="29">
        <f t="shared" si="0"/>
        <v>2.5786014838375913E-2</v>
      </c>
      <c r="M13" s="13" t="str">
        <f>INDEX(CLIENTES!E:E,(MATCH('DASHBOARD 3.0'!I13,CLIENTES!B:B,0)))</f>
        <v>PRESIDENTE PRUDENTE</v>
      </c>
    </row>
    <row r="14" spans="2:13">
      <c r="B14" s="113" t="s">
        <v>373</v>
      </c>
      <c r="C14" s="113"/>
      <c r="H14" s="13">
        <f>INDEX(CLIENTES!A:A,(MATCH('DASHBOARD 3.0'!I14,CLIENTES!B:B,0)))</f>
        <v>516</v>
      </c>
      <c r="I14" s="27" t="s">
        <v>46</v>
      </c>
      <c r="J14" s="28">
        <v>3597.6</v>
      </c>
      <c r="K14" s="28"/>
      <c r="L14" s="29">
        <f t="shared" si="0"/>
        <v>2.5103239654856967E-2</v>
      </c>
      <c r="M14" s="13" t="str">
        <f>INDEX(CLIENTES!E:E,(MATCH('DASHBOARD 3.0'!I14,CLIENTES!B:B,0)))</f>
        <v>BAURU</v>
      </c>
    </row>
    <row r="15" spans="2:13">
      <c r="H15" s="13">
        <f>INDEX(CLIENTES!A:A,(MATCH('DASHBOARD 3.0'!I15,CLIENTES!B:B,0)))</f>
        <v>500507</v>
      </c>
      <c r="I15" s="27" t="s">
        <v>889</v>
      </c>
      <c r="J15" s="28">
        <v>3521.52</v>
      </c>
      <c r="K15" s="28"/>
      <c r="L15" s="29">
        <f t="shared" si="0"/>
        <v>2.4572370610788277E-2</v>
      </c>
      <c r="M15" s="13" t="str">
        <f>INDEX(CLIENTES!E:E,(MATCH('DASHBOARD 3.0'!I15,CLIENTES!B:B,0)))</f>
        <v>ITU</v>
      </c>
    </row>
    <row r="16" spans="2:13">
      <c r="B16" s="112">
        <f>DINAMICOS!$H$1</f>
        <v>0</v>
      </c>
      <c r="C16" s="112"/>
      <c r="H16" s="13">
        <f>INDEX(CLIENTES!A:A,(MATCH('DASHBOARD 3.0'!I16,CLIENTES!B:B,0)))</f>
        <v>500149</v>
      </c>
      <c r="I16" s="27" t="s">
        <v>532</v>
      </c>
      <c r="J16" s="28">
        <v>3429.9</v>
      </c>
      <c r="K16" s="28"/>
      <c r="L16" s="29">
        <f t="shared" si="0"/>
        <v>2.3933066959137734E-2</v>
      </c>
      <c r="M16" s="13" t="str">
        <f>INDEX(CLIENTES!E:E,(MATCH('DASHBOARD 3.0'!I16,CLIENTES!B:B,0)))</f>
        <v>SINOP</v>
      </c>
    </row>
    <row r="17" spans="2:13">
      <c r="B17" s="113" t="s">
        <v>374</v>
      </c>
      <c r="C17" s="113"/>
      <c r="H17" s="13">
        <f>INDEX(CLIENTES!A:A,(MATCH('DASHBOARD 3.0'!I17,CLIENTES!B:B,0)))</f>
        <v>2572</v>
      </c>
      <c r="I17" s="27" t="s">
        <v>223</v>
      </c>
      <c r="J17" s="28">
        <v>3380.62</v>
      </c>
      <c r="K17" s="28"/>
      <c r="L17" s="29">
        <f t="shared" si="0"/>
        <v>2.35892022576169E-2</v>
      </c>
      <c r="M17" s="13" t="str">
        <f>INDEX(CLIENTES!E:E,(MATCH('DASHBOARD 3.0'!I17,CLIENTES!B:B,0)))</f>
        <v>SANTA CRUZ DO RIO PARDO</v>
      </c>
    </row>
    <row r="18" spans="2:13">
      <c r="H18" s="13">
        <f>INDEX(CLIENTES!A:A,(MATCH('DASHBOARD 3.0'!I18,CLIENTES!B:B,0)))</f>
        <v>480</v>
      </c>
      <c r="I18" s="27" t="s">
        <v>43</v>
      </c>
      <c r="J18" s="28">
        <v>3258.5</v>
      </c>
      <c r="K18" s="28"/>
      <c r="L18" s="29">
        <f t="shared" si="0"/>
        <v>2.2737076499708533E-2</v>
      </c>
      <c r="M18" s="13" t="str">
        <f>INDEX(CLIENTES!E:E,(MATCH('DASHBOARD 3.0'!I18,CLIENTES!B:B,0)))</f>
        <v>TABATINGA</v>
      </c>
    </row>
    <row r="19" spans="2:13">
      <c r="H19" s="13">
        <f>INDEX(CLIENTES!A:A,(MATCH('DASHBOARD 3.0'!I19,CLIENTES!B:B,0)))</f>
        <v>581</v>
      </c>
      <c r="I19" s="27" t="s">
        <v>55</v>
      </c>
      <c r="J19" s="28">
        <v>3197.08</v>
      </c>
      <c r="K19" s="28"/>
      <c r="L19" s="29">
        <f t="shared" si="0"/>
        <v>2.2308501622123111E-2</v>
      </c>
      <c r="M19" s="13" t="str">
        <f>INDEX(CLIENTES!E:E,(MATCH('DASHBOARD 3.0'!I19,CLIENTES!B:B,0)))</f>
        <v>IBITINGA</v>
      </c>
    </row>
    <row r="20" spans="2:13">
      <c r="H20" s="13">
        <f>INDEX(CLIENTES!A:A,(MATCH('DASHBOARD 3.0'!I20,CLIENTES!B:B,0)))</f>
        <v>434</v>
      </c>
      <c r="I20" s="27" t="s">
        <v>749</v>
      </c>
      <c r="J20" s="28">
        <v>3101.2</v>
      </c>
      <c r="K20" s="28"/>
      <c r="L20" s="29">
        <f t="shared" si="0"/>
        <v>2.1639472653336229E-2</v>
      </c>
      <c r="M20" s="13">
        <f>INDEX(CLIENTES!E:E,(MATCH('DASHBOARD 3.0'!I20,CLIENTES!B:B,0)))</f>
        <v>0</v>
      </c>
    </row>
    <row r="21" spans="2:13">
      <c r="H21" s="13">
        <f>INDEX(CLIENTES!A:A,(MATCH('DASHBOARD 3.0'!I21,CLIENTES!B:B,0)))</f>
        <v>311</v>
      </c>
      <c r="I21" s="27" t="s">
        <v>14</v>
      </c>
      <c r="J21" s="28">
        <v>2820.45</v>
      </c>
      <c r="K21" s="28">
        <v>1340</v>
      </c>
      <c r="L21" s="29">
        <f t="shared" si="0"/>
        <v>2.9030679737060725E-2</v>
      </c>
      <c r="M21" s="13" t="str">
        <f>INDEX(CLIENTES!E:E,(MATCH('DASHBOARD 3.0'!I21,CLIENTES!B:B,0)))</f>
        <v>PRESIDENTE PRUDENTE</v>
      </c>
    </row>
    <row r="22" spans="2:13">
      <c r="H22" s="13">
        <f>INDEX(CLIENTES!A:A,(MATCH('DASHBOARD 3.0'!I22,CLIENTES!B:B,0)))</f>
        <v>3492</v>
      </c>
      <c r="I22" s="27" t="s">
        <v>747</v>
      </c>
      <c r="J22" s="28">
        <v>2676.4</v>
      </c>
      <c r="K22" s="28"/>
      <c r="L22" s="29">
        <f t="shared" si="0"/>
        <v>1.86753142684732E-2</v>
      </c>
      <c r="M22" s="13" t="str">
        <f>INDEX(CLIENTES!E:E,(MATCH('DASHBOARD 3.0'!I22,CLIENTES!B:B,0)))</f>
        <v>UBERABA</v>
      </c>
    </row>
    <row r="23" spans="2:13">
      <c r="H23" s="13">
        <f>INDEX(CLIENTES!A:A,(MATCH('DASHBOARD 3.0'!I23,CLIENTES!B:B,0)))</f>
        <v>50465</v>
      </c>
      <c r="I23" s="27" t="s">
        <v>286</v>
      </c>
      <c r="J23" s="28">
        <v>2415.98</v>
      </c>
      <c r="K23" s="28"/>
      <c r="L23" s="29">
        <f t="shared" si="0"/>
        <v>1.685816236973019E-2</v>
      </c>
      <c r="M23" s="13" t="str">
        <f>INDEX(CLIENTES!E:E,(MATCH('DASHBOARD 3.0'!I23,CLIENTES!B:B,0)))</f>
        <v>BIRIGUI</v>
      </c>
    </row>
    <row r="24" spans="2:13">
      <c r="H24" s="30"/>
      <c r="I24" s="27" t="s">
        <v>365</v>
      </c>
      <c r="J24" s="28">
        <v>107589.81999999999</v>
      </c>
      <c r="K24" s="28">
        <v>7920</v>
      </c>
      <c r="L24" s="31">
        <f>SUM(L4:L23)</f>
        <v>0.80600141592989516</v>
      </c>
      <c r="M24" s="30"/>
    </row>
  </sheetData>
  <mergeCells count="15">
    <mergeCell ref="B13:C13"/>
    <mergeCell ref="B14:C14"/>
    <mergeCell ref="B16:C16"/>
    <mergeCell ref="B17:C17"/>
    <mergeCell ref="H2:M2"/>
    <mergeCell ref="B11:C11"/>
    <mergeCell ref="E2:F3"/>
    <mergeCell ref="E4:F4"/>
    <mergeCell ref="E7:F8"/>
    <mergeCell ref="B2:C3"/>
    <mergeCell ref="B4:C4"/>
    <mergeCell ref="B7:C7"/>
    <mergeCell ref="B8:C8"/>
    <mergeCell ref="B10:C10"/>
    <mergeCell ref="E9:F9"/>
  </mergeCells>
  <conditionalFormatting sqref="E2">
    <cfRule type="dataBar" priority="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{37A648D9-7158-42EF-9521-B346F3BFD173}</x14:id>
        </ext>
      </extLst>
    </cfRule>
  </conditionalFormatting>
  <conditionalFormatting sqref="E7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{A7CDDBD3-5064-473A-8EC2-C7B5C6654574}</x14:id>
        </ext>
      </extLst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A648D9-7158-42EF-9521-B346F3BFD17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A7CDDBD3-5064-473A-8EC2-C7B5C665457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E7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CONFIG</vt:lpstr>
      <vt:lpstr>DINAMICOS</vt:lpstr>
      <vt:lpstr>LIGACAO</vt:lpstr>
      <vt:lpstr>CLIENTES</vt:lpstr>
      <vt:lpstr>DADOS</vt:lpstr>
      <vt:lpstr>DASHBOARD 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DE GINO MODA</dc:creator>
  <cp:lastModifiedBy>WALTER DE GINO MODA</cp:lastModifiedBy>
  <dcterms:created xsi:type="dcterms:W3CDTF">2024-11-19T19:18:42Z</dcterms:created>
  <dcterms:modified xsi:type="dcterms:W3CDTF">2026-08-20T20:25:44Z</dcterms:modified>
</cp:coreProperties>
</file>